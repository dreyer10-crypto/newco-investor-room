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d45ca1b2f59f257/Documents/RocDocs Personal docs/Property Portfolio Final/"/>
    </mc:Choice>
  </mc:AlternateContent>
  <xr:revisionPtr revIDLastSave="25" documentId="11_DDE10D4034D7374458684339A57E8E25FCC29617" xr6:coauthVersionLast="47" xr6:coauthVersionMax="47" xr10:uidLastSave="{57B78FE0-5E89-4369-8469-ACFB7B7649EE}"/>
  <bookViews>
    <workbookView xWindow="420" yWindow="120" windowWidth="22452" windowHeight="12432" tabRatio="937" firstSheet="2" activeTab="2" xr2:uid="{00000000-000D-0000-FFFF-FFFF00000000}"/>
  </bookViews>
  <sheets>
    <sheet name="Read Me &amp; Glossary" sheetId="1" r:id="rId1"/>
    <sheet name="Key Assumptions Sources" sheetId="2" r:id="rId2"/>
    <sheet name="Control" sheetId="3" r:id="rId3"/>
    <sheet name="African Sky P&amp;L" sheetId="4" r:id="rId4"/>
    <sheet name="Beachside P&amp;L" sheetId="5" r:id="rId5"/>
    <sheet name="Menlyn P&amp;L" sheetId="6" r:id="rId6"/>
    <sheet name="Valuation" sheetId="7" r:id="rId7"/>
    <sheet name="Portfolio NewCo" sheetId="8" r:id="rId8"/>
    <sheet name="INV - Property Breakdown" sheetId="9" r:id="rId9"/>
    <sheet name="INV - 3-Statement Model" sheetId="10" r:id="rId10"/>
    <sheet name="INV - Property KPIs" sheetId="11" r:id="rId11"/>
    <sheet name="INV - Investor KPIs" sheetId="12" r:id="rId12"/>
    <sheet name="INV - Sensitivity Risks" sheetId="13" r:id="rId13"/>
    <sheet name="INV - Investor Close Summary" sheetId="14" r:id="rId14"/>
    <sheet name="Leverage &amp; Growth" sheetId="15" r:id="rId15"/>
    <sheet name="ASKY Bookings" sheetId="16" r:id="rId16"/>
    <sheet name="ASKY Stay Calc" sheetId="17" r:id="rId17"/>
    <sheet name="ASKY Tours Calcs" sheetId="18" r:id="rId18"/>
    <sheet name="Change Log" sheetId="19" r:id="rId19"/>
    <sheet name="STRAT — Control" sheetId="20" r:id="rId20"/>
    <sheet name="STRAT 1 — Partner view" sheetId="21" r:id="rId21"/>
    <sheet name="STRAT 2 — Partner all-cash" sheetId="22" r:id="rId22"/>
    <sheet name="STRAT 3 — Partner full-bond" sheetId="23" r:id="rId23"/>
    <sheet name="STRAT — Compare" sheetId="24" r:id="rId24"/>
    <sheet name="ASKY Bookings CrossCheck" sheetId="25" r:id="rId25"/>
  </sheets>
  <definedNames>
    <definedName name="_xlnm._FilterDatabase" localSheetId="15" hidden="1">'ASKY Bookings'!$A$2:$I$366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24" l="1"/>
  <c r="D73" i="24"/>
  <c r="D61" i="24"/>
  <c r="D49" i="24"/>
  <c r="B11" i="24"/>
  <c r="B10" i="24"/>
  <c r="B8" i="24"/>
  <c r="B31" i="23"/>
  <c r="B34" i="23" s="1"/>
  <c r="B16" i="23"/>
  <c r="B18" i="21"/>
  <c r="B17" i="21"/>
  <c r="B9" i="21"/>
  <c r="B61" i="20"/>
  <c r="B60" i="20"/>
  <c r="B37" i="20"/>
  <c r="B8" i="20"/>
  <c r="G25" i="18"/>
  <c r="F25" i="18"/>
  <c r="E25" i="18"/>
  <c r="K22" i="18"/>
  <c r="G22" i="18"/>
  <c r="E22" i="18"/>
  <c r="K21" i="18"/>
  <c r="G21" i="18"/>
  <c r="E21" i="18"/>
  <c r="F21" i="18" s="1"/>
  <c r="K20" i="18"/>
  <c r="G20" i="18"/>
  <c r="F20" i="18"/>
  <c r="E20" i="18"/>
  <c r="K17" i="18"/>
  <c r="G17" i="18"/>
  <c r="F17" i="18"/>
  <c r="E17" i="18"/>
  <c r="K16" i="18"/>
  <c r="G16" i="18"/>
  <c r="E16" i="18"/>
  <c r="K15" i="18"/>
  <c r="G15" i="18"/>
  <c r="E15" i="18"/>
  <c r="F15" i="18" s="1"/>
  <c r="K14" i="18"/>
  <c r="G14" i="18"/>
  <c r="F14" i="18"/>
  <c r="E14" i="18"/>
  <c r="K13" i="18"/>
  <c r="G13" i="18"/>
  <c r="F13" i="18"/>
  <c r="E13" i="18"/>
  <c r="G10" i="18"/>
  <c r="F10" i="18"/>
  <c r="E10" i="18"/>
  <c r="G9" i="18"/>
  <c r="D9" i="18"/>
  <c r="E9" i="18" s="1"/>
  <c r="K8" i="18"/>
  <c r="K9" i="18" s="1"/>
  <c r="K10" i="18" s="1"/>
  <c r="G8" i="18"/>
  <c r="F8" i="18"/>
  <c r="E8" i="18"/>
  <c r="K7" i="18"/>
  <c r="G7" i="18"/>
  <c r="F7" i="18"/>
  <c r="E7" i="18"/>
  <c r="G6" i="18"/>
  <c r="F6" i="18"/>
  <c r="E6" i="18"/>
  <c r="C21" i="17"/>
  <c r="C20" i="17"/>
  <c r="C19" i="17"/>
  <c r="C18" i="17"/>
  <c r="H10" i="17"/>
  <c r="C461" i="16"/>
  <c r="C460" i="16"/>
  <c r="C459" i="16"/>
  <c r="C458" i="16"/>
  <c r="C457" i="16"/>
  <c r="C456" i="16"/>
  <c r="D442" i="16"/>
  <c r="D441" i="16"/>
  <c r="E431" i="16"/>
  <c r="D431" i="16"/>
  <c r="D434" i="16" s="1"/>
  <c r="C431" i="16"/>
  <c r="E430" i="16"/>
  <c r="D430" i="16"/>
  <c r="C430" i="16"/>
  <c r="E429" i="16"/>
  <c r="D429" i="16"/>
  <c r="C429" i="16"/>
  <c r="E423" i="16"/>
  <c r="D423" i="16"/>
  <c r="C423" i="16"/>
  <c r="E422" i="16"/>
  <c r="E425" i="16" s="1"/>
  <c r="D422" i="16"/>
  <c r="D425" i="16" s="1"/>
  <c r="C422" i="16"/>
  <c r="E421" i="16"/>
  <c r="D421" i="16"/>
  <c r="C421" i="16"/>
  <c r="D417" i="16"/>
  <c r="D418" i="16" s="1"/>
  <c r="D415" i="16"/>
  <c r="E414" i="16"/>
  <c r="D414" i="16"/>
  <c r="C414" i="16"/>
  <c r="E411" i="16"/>
  <c r="D411" i="16"/>
  <c r="C411" i="16"/>
  <c r="E410" i="16"/>
  <c r="D410" i="16"/>
  <c r="C410" i="16"/>
  <c r="E408" i="16"/>
  <c r="D408" i="16"/>
  <c r="C408" i="16"/>
  <c r="E407" i="16"/>
  <c r="D407" i="16"/>
  <c r="C407" i="16"/>
  <c r="C403" i="16"/>
  <c r="C402" i="16"/>
  <c r="E401" i="16"/>
  <c r="D401" i="16"/>
  <c r="D404" i="16" s="1"/>
  <c r="C401" i="16"/>
  <c r="C404" i="16" s="1"/>
  <c r="E400" i="16"/>
  <c r="D400" i="16"/>
  <c r="D403" i="16" s="1"/>
  <c r="C400" i="16"/>
  <c r="E399" i="16"/>
  <c r="D399" i="16"/>
  <c r="C399" i="16"/>
  <c r="E396" i="16"/>
  <c r="D396" i="16"/>
  <c r="C396" i="16"/>
  <c r="E395" i="16"/>
  <c r="D395" i="16"/>
  <c r="C395" i="16"/>
  <c r="E394" i="16"/>
  <c r="D394" i="16" a="1"/>
  <c r="D394" i="16"/>
  <c r="C394" i="16" a="1"/>
  <c r="C394" i="16" s="1"/>
  <c r="E393" i="16"/>
  <c r="D393" i="16"/>
  <c r="C442" i="16" s="1"/>
  <c r="E442" i="16" s="1"/>
  <c r="C393" i="16"/>
  <c r="D460" i="16" s="1"/>
  <c r="E460" i="16" s="1"/>
  <c r="F460" i="16" s="1"/>
  <c r="D388" i="16"/>
  <c r="D390" i="16" s="1"/>
  <c r="D387" i="16"/>
  <c r="C387" i="16"/>
  <c r="E384" i="16"/>
  <c r="D384" i="16" a="1"/>
  <c r="D384" i="16" s="1"/>
  <c r="C384" i="16" a="1"/>
  <c r="C384" i="16" s="1"/>
  <c r="E383" i="16"/>
  <c r="D383" i="16" a="1"/>
  <c r="D383" i="16" s="1"/>
  <c r="D389" i="16" s="1"/>
  <c r="C383" i="16" a="1"/>
  <c r="C383" i="16"/>
  <c r="E382" i="16"/>
  <c r="D382" i="16"/>
  <c r="D416" i="16" s="1"/>
  <c r="D459" i="16" s="1"/>
  <c r="C382" i="16"/>
  <c r="C416" i="16" s="1"/>
  <c r="D458" i="16" s="1"/>
  <c r="E381" i="16"/>
  <c r="D381" i="16"/>
  <c r="D424" i="16" s="1"/>
  <c r="C381" i="16"/>
  <c r="C415" i="16" s="1"/>
  <c r="D379" i="16"/>
  <c r="C379" i="16"/>
  <c r="D378" i="16"/>
  <c r="E377" i="16"/>
  <c r="E378" i="16" s="1"/>
  <c r="D377" i="16"/>
  <c r="C377" i="16"/>
  <c r="C378" i="16" s="1"/>
  <c r="C417" i="16" s="1"/>
  <c r="C418" i="16" s="1"/>
  <c r="E376" i="16"/>
  <c r="D376" i="16"/>
  <c r="C376" i="16"/>
  <c r="E375" i="16"/>
  <c r="D375" i="16"/>
  <c r="C375" i="16"/>
  <c r="I369" i="16"/>
  <c r="F369" i="16"/>
  <c r="E369" i="16"/>
  <c r="B369" i="16"/>
  <c r="C18" i="15"/>
  <c r="C15" i="15"/>
  <c r="C14" i="15"/>
  <c r="C12" i="15"/>
  <c r="C13" i="15" s="1"/>
  <c r="C11" i="15"/>
  <c r="C10" i="15"/>
  <c r="C9" i="15"/>
  <c r="B3" i="15"/>
  <c r="B42" i="11"/>
  <c r="B37" i="11"/>
  <c r="B35" i="11"/>
  <c r="B34" i="11"/>
  <c r="B6" i="11"/>
  <c r="D5" i="11"/>
  <c r="B43" i="11" s="1"/>
  <c r="C5" i="11"/>
  <c r="B5" i="11"/>
  <c r="B54" i="10"/>
  <c r="B53" i="10"/>
  <c r="B52" i="10"/>
  <c r="B51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44" i="10"/>
  <c r="T43" i="10"/>
  <c r="M43" i="10"/>
  <c r="K43" i="10"/>
  <c r="B43" i="10"/>
  <c r="B42" i="10"/>
  <c r="B41" i="10"/>
  <c r="B28" i="10"/>
  <c r="V26" i="10"/>
  <c r="U26" i="10"/>
  <c r="R26" i="10"/>
  <c r="L26" i="10"/>
  <c r="K26" i="10"/>
  <c r="J26" i="10"/>
  <c r="I26" i="10"/>
  <c r="H26" i="10"/>
  <c r="G26" i="10"/>
  <c r="F26" i="10"/>
  <c r="E26" i="10"/>
  <c r="B26" i="10"/>
  <c r="V25" i="10"/>
  <c r="U25" i="10"/>
  <c r="T25" i="10"/>
  <c r="T26" i="10" s="1"/>
  <c r="S25" i="10"/>
  <c r="S26" i="10" s="1"/>
  <c r="R25" i="10"/>
  <c r="Q25" i="10"/>
  <c r="Q26" i="10" s="1"/>
  <c r="P25" i="10"/>
  <c r="P26" i="10" s="1"/>
  <c r="O25" i="10"/>
  <c r="O26" i="10" s="1"/>
  <c r="N25" i="10"/>
  <c r="N26" i="10" s="1"/>
  <c r="M25" i="10"/>
  <c r="M26" i="10" s="1"/>
  <c r="L25" i="10"/>
  <c r="K25" i="10"/>
  <c r="J25" i="10"/>
  <c r="I25" i="10"/>
  <c r="H25" i="10"/>
  <c r="G25" i="10"/>
  <c r="F25" i="10"/>
  <c r="E25" i="10"/>
  <c r="D25" i="10"/>
  <c r="D26" i="10" s="1"/>
  <c r="C25" i="10"/>
  <c r="C26" i="10" s="1"/>
  <c r="B25" i="10"/>
  <c r="B22" i="10"/>
  <c r="B19" i="10"/>
  <c r="B18" i="10"/>
  <c r="B17" i="10"/>
  <c r="B13" i="10"/>
  <c r="B12" i="10"/>
  <c r="B59" i="10" s="1"/>
  <c r="B11" i="10"/>
  <c r="B10" i="10"/>
  <c r="B9" i="10"/>
  <c r="B8" i="10"/>
  <c r="C43" i="9"/>
  <c r="C44" i="9" s="1"/>
  <c r="D36" i="9"/>
  <c r="C36" i="9"/>
  <c r="C35" i="9"/>
  <c r="D16" i="9"/>
  <c r="C16" i="9"/>
  <c r="B16" i="9"/>
  <c r="U14" i="8"/>
  <c r="V43" i="10" s="1"/>
  <c r="T14" i="8"/>
  <c r="U43" i="10" s="1"/>
  <c r="S14" i="8"/>
  <c r="R14" i="8"/>
  <c r="S43" i="10" s="1"/>
  <c r="Q14" i="8"/>
  <c r="R43" i="10" s="1"/>
  <c r="P14" i="8"/>
  <c r="Q43" i="10" s="1"/>
  <c r="O14" i="8"/>
  <c r="P43" i="10" s="1"/>
  <c r="N14" i="8"/>
  <c r="O43" i="10" s="1"/>
  <c r="M14" i="8"/>
  <c r="N43" i="10" s="1"/>
  <c r="L14" i="8"/>
  <c r="K14" i="8"/>
  <c r="L43" i="10" s="1"/>
  <c r="J14" i="8"/>
  <c r="I14" i="8"/>
  <c r="J43" i="10" s="1"/>
  <c r="H14" i="8"/>
  <c r="I43" i="10" s="1"/>
  <c r="G14" i="8"/>
  <c r="H43" i="10" s="1"/>
  <c r="F14" i="8"/>
  <c r="G43" i="10" s="1"/>
  <c r="E14" i="8"/>
  <c r="F43" i="10" s="1"/>
  <c r="D14" i="8"/>
  <c r="E43" i="10" s="1"/>
  <c r="C14" i="8"/>
  <c r="D43" i="10" s="1"/>
  <c r="B14" i="8"/>
  <c r="C43" i="10" s="1"/>
  <c r="E9" i="7"/>
  <c r="B26" i="20" s="1"/>
  <c r="D9" i="7"/>
  <c r="B25" i="20" s="1"/>
  <c r="C9" i="7"/>
  <c r="F8" i="7"/>
  <c r="E8" i="7"/>
  <c r="D8" i="7"/>
  <c r="C8" i="7"/>
  <c r="E6" i="7"/>
  <c r="D6" i="7"/>
  <c r="C6" i="7"/>
  <c r="T11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V8" i="6"/>
  <c r="U8" i="6"/>
  <c r="T8" i="6"/>
  <c r="S8" i="6"/>
  <c r="R8" i="6"/>
  <c r="Q8" i="6"/>
  <c r="P8" i="6"/>
  <c r="P12" i="6" s="1"/>
  <c r="P13" i="6" s="1"/>
  <c r="O8" i="6"/>
  <c r="N8" i="6"/>
  <c r="M8" i="6"/>
  <c r="L8" i="6"/>
  <c r="K8" i="6"/>
  <c r="J8" i="6"/>
  <c r="I8" i="6"/>
  <c r="H8" i="6"/>
  <c r="G8" i="6"/>
  <c r="F8" i="6"/>
  <c r="E8" i="6"/>
  <c r="D8" i="6"/>
  <c r="C8" i="6"/>
  <c r="V6" i="6"/>
  <c r="U6" i="6"/>
  <c r="U11" i="6" s="1"/>
  <c r="T6" i="6"/>
  <c r="S6" i="6"/>
  <c r="S11" i="6" s="1"/>
  <c r="R6" i="6"/>
  <c r="R11" i="6" s="1"/>
  <c r="Q6" i="6"/>
  <c r="Q11" i="6" s="1"/>
  <c r="P6" i="6"/>
  <c r="P11" i="6" s="1"/>
  <c r="O6" i="6"/>
  <c r="O11" i="6" s="1"/>
  <c r="N6" i="6"/>
  <c r="N11" i="6" s="1"/>
  <c r="M6" i="6"/>
  <c r="M11" i="6" s="1"/>
  <c r="L6" i="6"/>
  <c r="L11" i="6" s="1"/>
  <c r="K6" i="6"/>
  <c r="J6" i="6"/>
  <c r="I6" i="6"/>
  <c r="H6" i="6"/>
  <c r="G6" i="6"/>
  <c r="G11" i="6" s="1"/>
  <c r="F6" i="6"/>
  <c r="E6" i="6"/>
  <c r="D6" i="6"/>
  <c r="D11" i="6" s="1"/>
  <c r="C6" i="6"/>
  <c r="C11" i="6" s="1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O10" i="5"/>
  <c r="N10" i="5"/>
  <c r="M10" i="5"/>
  <c r="L10" i="5"/>
  <c r="K10" i="5"/>
  <c r="J10" i="5"/>
  <c r="I10" i="5"/>
  <c r="H10" i="5"/>
  <c r="O8" i="5"/>
  <c r="N8" i="5"/>
  <c r="M8" i="5"/>
  <c r="L8" i="5"/>
  <c r="V7" i="5"/>
  <c r="V10" i="5" s="1"/>
  <c r="U7" i="5"/>
  <c r="U10" i="5" s="1"/>
  <c r="T7" i="5"/>
  <c r="T10" i="5" s="1"/>
  <c r="S7" i="5"/>
  <c r="R7" i="5"/>
  <c r="R10" i="5" s="1"/>
  <c r="Q7" i="5"/>
  <c r="P7" i="5"/>
  <c r="O7" i="5"/>
  <c r="N7" i="5"/>
  <c r="M7" i="5"/>
  <c r="L7" i="5"/>
  <c r="K7" i="5"/>
  <c r="J7" i="5"/>
  <c r="I7" i="5"/>
  <c r="H7" i="5"/>
  <c r="G7" i="5"/>
  <c r="G10" i="5" s="1"/>
  <c r="F7" i="5"/>
  <c r="F10" i="5" s="1"/>
  <c r="E7" i="5"/>
  <c r="E10" i="5" s="1"/>
  <c r="D7" i="5"/>
  <c r="D10" i="5" s="1"/>
  <c r="C7" i="5"/>
  <c r="V6" i="5"/>
  <c r="V8" i="5" s="1"/>
  <c r="U6" i="5"/>
  <c r="U8" i="5" s="1"/>
  <c r="T6" i="5"/>
  <c r="T8" i="5" s="1"/>
  <c r="S6" i="5"/>
  <c r="R6" i="5"/>
  <c r="Q6" i="5"/>
  <c r="P6" i="5"/>
  <c r="O6" i="5"/>
  <c r="N6" i="5"/>
  <c r="M6" i="5"/>
  <c r="L6" i="5"/>
  <c r="K6" i="5"/>
  <c r="K8" i="5" s="1"/>
  <c r="J6" i="5"/>
  <c r="J8" i="5" s="1"/>
  <c r="I6" i="5"/>
  <c r="I8" i="5" s="1"/>
  <c r="I14" i="5" s="1"/>
  <c r="H6" i="5"/>
  <c r="H8" i="5" s="1"/>
  <c r="G6" i="5"/>
  <c r="G8" i="5" s="1"/>
  <c r="F6" i="5"/>
  <c r="F8" i="5" s="1"/>
  <c r="E6" i="5"/>
  <c r="E8" i="5" s="1"/>
  <c r="D6" i="5"/>
  <c r="D8" i="5" s="1"/>
  <c r="C6" i="5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D28" i="9" s="1"/>
  <c r="C9" i="4"/>
  <c r="C28" i="9" s="1"/>
  <c r="B78" i="3"/>
  <c r="B69" i="3"/>
  <c r="B61" i="3"/>
  <c r="B56" i="3"/>
  <c r="B34" i="3"/>
  <c r="B15" i="3"/>
  <c r="F8" i="3" s="1"/>
  <c r="C8" i="3"/>
  <c r="C7" i="3"/>
  <c r="E6" i="3"/>
  <c r="C5" i="3"/>
  <c r="C13" i="2"/>
  <c r="C12" i="2"/>
  <c r="B36" i="25"/>
  <c r="B38" i="25" s="1"/>
  <c r="C38" i="25" s="1"/>
  <c r="B35" i="25"/>
  <c r="B37" i="25" s="1"/>
  <c r="C37" i="25" s="1"/>
  <c r="B26" i="25"/>
  <c r="B25" i="25"/>
  <c r="B22" i="25"/>
  <c r="B21" i="25"/>
  <c r="D12" i="25"/>
  <c r="D11" i="25"/>
  <c r="D7" i="25"/>
  <c r="C7" i="25"/>
  <c r="B7" i="25"/>
  <c r="D6" i="25"/>
  <c r="C6" i="25"/>
  <c r="B6" i="25"/>
  <c r="Q12" i="6" l="1"/>
  <c r="Q13" i="6" s="1"/>
  <c r="R12" i="6"/>
  <c r="R13" i="6" s="1"/>
  <c r="C12" i="6"/>
  <c r="C13" i="6" s="1"/>
  <c r="S12" i="6"/>
  <c r="S13" i="6" s="1"/>
  <c r="C14" i="6"/>
  <c r="C15" i="6" s="1"/>
  <c r="E5" i="7"/>
  <c r="B8" i="8"/>
  <c r="R8" i="8"/>
  <c r="S14" i="6"/>
  <c r="S15" i="6" s="1"/>
  <c r="R12" i="8" s="1"/>
  <c r="R23" i="8" s="1"/>
  <c r="R26" i="8" s="1"/>
  <c r="R27" i="11" s="1"/>
  <c r="S43" i="11" s="1"/>
  <c r="D15" i="5"/>
  <c r="U15" i="5"/>
  <c r="U16" i="5" s="1"/>
  <c r="P8" i="8"/>
  <c r="Q15" i="6"/>
  <c r="P12" i="8" s="1"/>
  <c r="P23" i="8" s="1"/>
  <c r="P26" i="8" s="1"/>
  <c r="P27" i="11" s="1"/>
  <c r="Q43" i="11" s="1"/>
  <c r="Q14" i="6"/>
  <c r="E15" i="5"/>
  <c r="E16" i="5" s="1"/>
  <c r="G14" i="5"/>
  <c r="G15" i="5" s="1"/>
  <c r="G16" i="5" s="1"/>
  <c r="C10" i="5"/>
  <c r="C8" i="5"/>
  <c r="S10" i="5"/>
  <c r="S8" i="5"/>
  <c r="J14" i="5"/>
  <c r="J15" i="5" s="1"/>
  <c r="J16" i="5" s="1"/>
  <c r="F15" i="5"/>
  <c r="F16" i="5" s="1"/>
  <c r="D12" i="6"/>
  <c r="D13" i="6" s="1"/>
  <c r="T12" i="6"/>
  <c r="U12" i="6"/>
  <c r="U13" i="6" s="1"/>
  <c r="O8" i="8"/>
  <c r="P15" i="6"/>
  <c r="O12" i="8" s="1"/>
  <c r="O23" i="8" s="1"/>
  <c r="O26" i="8" s="1"/>
  <c r="O27" i="11" s="1"/>
  <c r="P14" i="6"/>
  <c r="M14" i="5"/>
  <c r="V12" i="6"/>
  <c r="B62" i="3"/>
  <c r="G12" i="6"/>
  <c r="G13" i="6" s="1"/>
  <c r="Q8" i="8"/>
  <c r="R14" i="6"/>
  <c r="R15" i="6" s="1"/>
  <c r="Q12" i="8" s="1"/>
  <c r="Q23" i="8" s="1"/>
  <c r="Q26" i="8" s="1"/>
  <c r="Q27" i="11" s="1"/>
  <c r="R43" i="11" s="1"/>
  <c r="O14" i="5"/>
  <c r="V13" i="6"/>
  <c r="I15" i="5"/>
  <c r="J12" i="6"/>
  <c r="J13" i="6" s="1"/>
  <c r="B54" i="20"/>
  <c r="B24" i="20"/>
  <c r="B27" i="20" s="1"/>
  <c r="B45" i="20"/>
  <c r="B49" i="20" s="1"/>
  <c r="B8" i="9"/>
  <c r="C10" i="7"/>
  <c r="F9" i="7"/>
  <c r="L14" i="5"/>
  <c r="K15" i="5"/>
  <c r="K16" i="5" s="1"/>
  <c r="L12" i="6"/>
  <c r="L13" i="6" s="1"/>
  <c r="L15" i="5"/>
  <c r="L16" i="5" s="1"/>
  <c r="H14" i="5"/>
  <c r="H15" i="5" s="1"/>
  <c r="H16" i="5" s="1"/>
  <c r="M12" i="6"/>
  <c r="M13" i="6" s="1"/>
  <c r="D6" i="11"/>
  <c r="D8" i="9"/>
  <c r="E10" i="7"/>
  <c r="D14" i="5"/>
  <c r="D16" i="5"/>
  <c r="T14" i="5"/>
  <c r="T15" i="5" s="1"/>
  <c r="T16" i="5" s="1"/>
  <c r="P10" i="5"/>
  <c r="P8" i="5"/>
  <c r="M15" i="5"/>
  <c r="M16" i="5" s="1"/>
  <c r="N12" i="6"/>
  <c r="N13" i="6" s="1"/>
  <c r="I16" i="5"/>
  <c r="E14" i="5"/>
  <c r="U14" i="5"/>
  <c r="Q10" i="5"/>
  <c r="Q8" i="5"/>
  <c r="K14" i="5"/>
  <c r="O12" i="6"/>
  <c r="O13" i="6" s="1"/>
  <c r="F14" i="5"/>
  <c r="V14" i="5"/>
  <c r="V15" i="5" s="1"/>
  <c r="V16" i="5" s="1"/>
  <c r="O15" i="5"/>
  <c r="O16" i="5" s="1"/>
  <c r="T13" i="6"/>
  <c r="E11" i="6"/>
  <c r="E12" i="6" s="1"/>
  <c r="E13" i="6" s="1"/>
  <c r="F11" i="6"/>
  <c r="F12" i="6" s="1"/>
  <c r="F13" i="6" s="1"/>
  <c r="V11" i="6"/>
  <c r="C6" i="11"/>
  <c r="H11" i="6"/>
  <c r="H12" i="6" s="1"/>
  <c r="H13" i="6" s="1"/>
  <c r="I11" i="6"/>
  <c r="I12" i="6" s="1"/>
  <c r="I13" i="6" s="1"/>
  <c r="R8" i="5"/>
  <c r="N14" i="5"/>
  <c r="N15" i="5" s="1"/>
  <c r="N16" i="5" s="1"/>
  <c r="J11" i="6"/>
  <c r="D10" i="7"/>
  <c r="C35" i="25"/>
  <c r="K11" i="6"/>
  <c r="K12" i="6" s="1"/>
  <c r="K13" i="6" s="1"/>
  <c r="C8" i="9"/>
  <c r="C36" i="25"/>
  <c r="C93" i="13"/>
  <c r="C87" i="13"/>
  <c r="C79" i="13"/>
  <c r="C71" i="13"/>
  <c r="C89" i="13"/>
  <c r="C81" i="13"/>
  <c r="C77" i="13"/>
  <c r="B23" i="12"/>
  <c r="C5" i="14"/>
  <c r="C53" i="13"/>
  <c r="C37" i="12"/>
  <c r="C51" i="13"/>
  <c r="C32" i="12"/>
  <c r="C91" i="13"/>
  <c r="C65" i="13"/>
  <c r="C95" i="13"/>
  <c r="C75" i="13"/>
  <c r="C67" i="13"/>
  <c r="C34" i="12"/>
  <c r="C36" i="12"/>
  <c r="C31" i="12"/>
  <c r="C39" i="12"/>
  <c r="F5" i="11"/>
  <c r="E16" i="9" s="1"/>
  <c r="C57" i="13"/>
  <c r="C83" i="13"/>
  <c r="C33" i="12"/>
  <c r="B36" i="10"/>
  <c r="C30" i="12"/>
  <c r="C69" i="13"/>
  <c r="C63" i="13"/>
  <c r="C38" i="12"/>
  <c r="C55" i="13"/>
  <c r="C35" i="12"/>
  <c r="B50" i="10"/>
  <c r="C59" i="13"/>
  <c r="C453" i="16"/>
  <c r="H14" i="17"/>
  <c r="H13" i="17"/>
  <c r="E6" i="17"/>
  <c r="H6" i="17" s="1"/>
  <c r="D444" i="16"/>
  <c r="C37" i="9"/>
  <c r="D35" i="9"/>
  <c r="D37" i="9" s="1"/>
  <c r="E417" i="16"/>
  <c r="E418" i="16" s="1"/>
  <c r="E379" i="16"/>
  <c r="B46" i="10"/>
  <c r="B45" i="10"/>
  <c r="B41" i="11"/>
  <c r="B38" i="11"/>
  <c r="B32" i="11"/>
  <c r="B33" i="11"/>
  <c r="B39" i="11"/>
  <c r="B36" i="11"/>
  <c r="D43" i="9"/>
  <c r="D44" i="9" s="1"/>
  <c r="B40" i="11"/>
  <c r="F459" i="16"/>
  <c r="E459" i="16"/>
  <c r="D453" i="16"/>
  <c r="E453" i="16" s="1"/>
  <c r="F453" i="16" s="1"/>
  <c r="C444" i="16"/>
  <c r="E444" i="16" s="1"/>
  <c r="E424" i="16"/>
  <c r="D457" i="16" s="1"/>
  <c r="E415" i="16"/>
  <c r="E387" i="16"/>
  <c r="E402" i="16"/>
  <c r="E426" i="16"/>
  <c r="F458" i="16"/>
  <c r="E458" i="16"/>
  <c r="E409" i="16"/>
  <c r="E416" i="16"/>
  <c r="E388" i="16"/>
  <c r="E390" i="16" s="1"/>
  <c r="C409" i="16"/>
  <c r="C389" i="16"/>
  <c r="E433" i="16"/>
  <c r="E389" i="16"/>
  <c r="E404" i="16"/>
  <c r="D433" i="16"/>
  <c r="D402" i="16"/>
  <c r="C434" i="16"/>
  <c r="E434" i="16"/>
  <c r="F16" i="18"/>
  <c r="C426" i="16"/>
  <c r="C432" i="16"/>
  <c r="C388" i="16"/>
  <c r="D426" i="16"/>
  <c r="D432" i="16"/>
  <c r="D435" i="16"/>
  <c r="B15" i="20"/>
  <c r="B18" i="20"/>
  <c r="B65" i="20" s="1"/>
  <c r="C424" i="16"/>
  <c r="C441" i="16"/>
  <c r="E441" i="16" s="1"/>
  <c r="F9" i="18"/>
  <c r="C425" i="16"/>
  <c r="F22" i="18"/>
  <c r="D409" i="16"/>
  <c r="C435" i="16"/>
  <c r="E403" i="16"/>
  <c r="E432" i="16"/>
  <c r="C433" i="16"/>
  <c r="D461" i="16"/>
  <c r="E461" i="16" s="1"/>
  <c r="F461" i="16" s="1"/>
  <c r="E435" i="16"/>
  <c r="H8" i="8" l="1"/>
  <c r="I14" i="6"/>
  <c r="I15" i="6" s="1"/>
  <c r="H12" i="8" s="1"/>
  <c r="H23" i="8" s="1"/>
  <c r="H26" i="8" s="1"/>
  <c r="H27" i="11" s="1"/>
  <c r="G17" i="5"/>
  <c r="G18" i="5" s="1"/>
  <c r="F11" i="8" s="1"/>
  <c r="F22" i="8" s="1"/>
  <c r="F25" i="8" s="1"/>
  <c r="F26" i="11" s="1"/>
  <c r="F7" i="8"/>
  <c r="K17" i="5"/>
  <c r="J7" i="8"/>
  <c r="K18" i="5"/>
  <c r="J11" i="8" s="1"/>
  <c r="J22" i="8" s="1"/>
  <c r="J25" i="8" s="1"/>
  <c r="J26" i="11" s="1"/>
  <c r="G8" i="8"/>
  <c r="H14" i="6"/>
  <c r="H15" i="6" s="1"/>
  <c r="G12" i="8" s="1"/>
  <c r="G23" i="8" s="1"/>
  <c r="G26" i="8" s="1"/>
  <c r="G27" i="11" s="1"/>
  <c r="E14" i="6"/>
  <c r="D8" i="8"/>
  <c r="E15" i="6"/>
  <c r="D12" i="8" s="1"/>
  <c r="D23" i="8" s="1"/>
  <c r="D26" i="8" s="1"/>
  <c r="D27" i="11" s="1"/>
  <c r="U7" i="8"/>
  <c r="V17" i="5"/>
  <c r="V18" i="5" s="1"/>
  <c r="U11" i="8" s="1"/>
  <c r="U22" i="8" s="1"/>
  <c r="U25" i="8" s="1"/>
  <c r="U26" i="11" s="1"/>
  <c r="K7" i="8"/>
  <c r="L17" i="5"/>
  <c r="L18" i="5" s="1"/>
  <c r="K11" i="8" s="1"/>
  <c r="K22" i="8" s="1"/>
  <c r="K25" i="8" s="1"/>
  <c r="K26" i="11" s="1"/>
  <c r="T17" i="5"/>
  <c r="T18" i="5" s="1"/>
  <c r="S11" i="8" s="1"/>
  <c r="S22" i="8" s="1"/>
  <c r="S25" i="8" s="1"/>
  <c r="S26" i="11" s="1"/>
  <c r="T42" i="11" s="1"/>
  <c r="S7" i="8"/>
  <c r="D14" i="6"/>
  <c r="C8" i="8"/>
  <c r="D45" i="9" s="1"/>
  <c r="D15" i="6"/>
  <c r="C12" i="8" s="1"/>
  <c r="C23" i="8" s="1"/>
  <c r="C26" i="8" s="1"/>
  <c r="C27" i="11" s="1"/>
  <c r="D8" i="11"/>
  <c r="D9" i="11" s="1"/>
  <c r="D10" i="9" s="1"/>
  <c r="E18" i="5"/>
  <c r="D11" i="8" s="1"/>
  <c r="D22" i="8" s="1"/>
  <c r="D25" i="8" s="1"/>
  <c r="D26" i="11" s="1"/>
  <c r="E17" i="5"/>
  <c r="D7" i="8"/>
  <c r="J8" i="8"/>
  <c r="K14" i="6"/>
  <c r="K15" i="6" s="1"/>
  <c r="J12" i="8" s="1"/>
  <c r="J23" i="8" s="1"/>
  <c r="J26" i="8" s="1"/>
  <c r="J27" i="11" s="1"/>
  <c r="E7" i="8"/>
  <c r="F17" i="5"/>
  <c r="F18" i="5" s="1"/>
  <c r="E11" i="8" s="1"/>
  <c r="E22" i="8" s="1"/>
  <c r="E25" i="8" s="1"/>
  <c r="E26" i="11" s="1"/>
  <c r="F14" i="6"/>
  <c r="F15" i="6" s="1"/>
  <c r="E12" i="8" s="1"/>
  <c r="E23" i="8" s="1"/>
  <c r="E26" i="8" s="1"/>
  <c r="E27" i="11" s="1"/>
  <c r="E8" i="8"/>
  <c r="T7" i="8"/>
  <c r="U18" i="5"/>
  <c r="T11" i="8" s="1"/>
  <c r="T22" i="8" s="1"/>
  <c r="T25" i="8" s="1"/>
  <c r="T26" i="11" s="1"/>
  <c r="U42" i="11" s="1"/>
  <c r="U17" i="5"/>
  <c r="J17" i="5"/>
  <c r="I7" i="8"/>
  <c r="J18" i="5"/>
  <c r="I11" i="8" s="1"/>
  <c r="I22" i="8" s="1"/>
  <c r="I25" i="8" s="1"/>
  <c r="I26" i="11" s="1"/>
  <c r="M7" i="8"/>
  <c r="N18" i="5"/>
  <c r="M11" i="8" s="1"/>
  <c r="M22" i="8" s="1"/>
  <c r="M25" i="8" s="1"/>
  <c r="M26" i="11" s="1"/>
  <c r="N17" i="5"/>
  <c r="L7" i="8"/>
  <c r="M17" i="5"/>
  <c r="M18" i="5" s="1"/>
  <c r="L11" i="8" s="1"/>
  <c r="L22" i="8" s="1"/>
  <c r="L25" i="8" s="1"/>
  <c r="L26" i="11" s="1"/>
  <c r="N7" i="8"/>
  <c r="O17" i="5"/>
  <c r="O18" i="5" s="1"/>
  <c r="N11" i="8" s="1"/>
  <c r="N22" i="8" s="1"/>
  <c r="N25" i="8" s="1"/>
  <c r="N26" i="11" s="1"/>
  <c r="H17" i="5"/>
  <c r="G7" i="8"/>
  <c r="H18" i="5"/>
  <c r="G11" i="8" s="1"/>
  <c r="G22" i="8" s="1"/>
  <c r="G25" i="8" s="1"/>
  <c r="G26" i="11" s="1"/>
  <c r="V14" i="6"/>
  <c r="V15" i="6" s="1"/>
  <c r="U12" i="8" s="1"/>
  <c r="U23" i="8" s="1"/>
  <c r="U26" i="8" s="1"/>
  <c r="U27" i="11" s="1"/>
  <c r="U8" i="8"/>
  <c r="C439" i="16"/>
  <c r="E439" i="16" s="1"/>
  <c r="D454" i="16"/>
  <c r="B31" i="3"/>
  <c r="R14" i="5"/>
  <c r="R15" i="5" s="1"/>
  <c r="R16" i="5"/>
  <c r="G14" i="6"/>
  <c r="G15" i="6" s="1"/>
  <c r="F12" i="8" s="1"/>
  <c r="F23" i="8" s="1"/>
  <c r="F26" i="8" s="1"/>
  <c r="F27" i="11" s="1"/>
  <c r="F8" i="8"/>
  <c r="I17" i="5"/>
  <c r="H7" i="8"/>
  <c r="I18" i="5"/>
  <c r="H11" i="8" s="1"/>
  <c r="H22" i="8" s="1"/>
  <c r="H25" i="8" s="1"/>
  <c r="H26" i="11" s="1"/>
  <c r="P14" i="5"/>
  <c r="P15" i="5" s="1"/>
  <c r="P16" i="5" s="1"/>
  <c r="C41" i="10"/>
  <c r="B47" i="10"/>
  <c r="B58" i="10" s="1"/>
  <c r="N8" i="8"/>
  <c r="O14" i="6"/>
  <c r="O15" i="6" s="1"/>
  <c r="N12" i="8" s="1"/>
  <c r="N23" i="8" s="1"/>
  <c r="N26" i="8" s="1"/>
  <c r="N27" i="11" s="1"/>
  <c r="P40" i="11"/>
  <c r="P43" i="11"/>
  <c r="D18" i="5"/>
  <c r="C11" i="8" s="1"/>
  <c r="C22" i="8" s="1"/>
  <c r="C25" i="8" s="1"/>
  <c r="C26" i="11" s="1"/>
  <c r="D17" i="5"/>
  <c r="C7" i="8"/>
  <c r="D38" i="9" s="1"/>
  <c r="B11" i="20"/>
  <c r="C16" i="15"/>
  <c r="C6" i="15"/>
  <c r="N27" i="10"/>
  <c r="R23" i="10"/>
  <c r="B23" i="10"/>
  <c r="B24" i="10" s="1"/>
  <c r="L27" i="10"/>
  <c r="P23" i="10"/>
  <c r="K27" i="10"/>
  <c r="O23" i="10"/>
  <c r="H27" i="10"/>
  <c r="L23" i="10"/>
  <c r="F6" i="11"/>
  <c r="E27" i="10"/>
  <c r="M23" i="10"/>
  <c r="D27" i="10"/>
  <c r="K23" i="10"/>
  <c r="C27" i="10"/>
  <c r="J23" i="10"/>
  <c r="V27" i="10"/>
  <c r="B27" i="10"/>
  <c r="I23" i="10"/>
  <c r="U27" i="10"/>
  <c r="H23" i="10"/>
  <c r="T27" i="10"/>
  <c r="G23" i="10"/>
  <c r="S27" i="10"/>
  <c r="F23" i="10"/>
  <c r="R27" i="10"/>
  <c r="E23" i="10"/>
  <c r="Q27" i="10"/>
  <c r="D23" i="10"/>
  <c r="P27" i="10"/>
  <c r="C23" i="10"/>
  <c r="V23" i="10"/>
  <c r="U23" i="10"/>
  <c r="T23" i="10"/>
  <c r="O27" i="10"/>
  <c r="S23" i="10"/>
  <c r="M27" i="10"/>
  <c r="Q23" i="10"/>
  <c r="J27" i="10"/>
  <c r="N23" i="10"/>
  <c r="E8" i="9"/>
  <c r="I27" i="10"/>
  <c r="G27" i="10"/>
  <c r="F27" i="10"/>
  <c r="F7" i="3"/>
  <c r="U14" i="6"/>
  <c r="U15" i="6" s="1"/>
  <c r="T12" i="8" s="1"/>
  <c r="T23" i="8" s="1"/>
  <c r="T26" i="8" s="1"/>
  <c r="T27" i="11" s="1"/>
  <c r="U43" i="11" s="1"/>
  <c r="T8" i="8"/>
  <c r="Q14" i="5"/>
  <c r="B7" i="11"/>
  <c r="B15" i="9"/>
  <c r="F10" i="7"/>
  <c r="M8" i="8"/>
  <c r="N14" i="6"/>
  <c r="N15" i="6" s="1"/>
  <c r="M12" i="8" s="1"/>
  <c r="M23" i="8" s="1"/>
  <c r="M26" i="8" s="1"/>
  <c r="M27" i="11" s="1"/>
  <c r="I8" i="8"/>
  <c r="J15" i="6"/>
  <c r="I12" i="8" s="1"/>
  <c r="I23" i="8" s="1"/>
  <c r="I26" i="8" s="1"/>
  <c r="I27" i="11" s="1"/>
  <c r="J14" i="6"/>
  <c r="Q15" i="5"/>
  <c r="Q16" i="5" s="1"/>
  <c r="S14" i="5"/>
  <c r="S15" i="5" s="1"/>
  <c r="S16" i="5" s="1"/>
  <c r="D9" i="9"/>
  <c r="C45" i="9"/>
  <c r="C390" i="16"/>
  <c r="K8" i="8"/>
  <c r="L14" i="6"/>
  <c r="L15" i="6" s="1"/>
  <c r="K12" i="8" s="1"/>
  <c r="K23" i="8" s="1"/>
  <c r="K26" i="8" s="1"/>
  <c r="K27" i="11" s="1"/>
  <c r="D7" i="11"/>
  <c r="D15" i="9"/>
  <c r="B50" i="20"/>
  <c r="B51" i="20"/>
  <c r="E12" i="7"/>
  <c r="E7" i="7"/>
  <c r="E11" i="7" s="1"/>
  <c r="C14" i="5"/>
  <c r="C15" i="5" s="1"/>
  <c r="C16" i="5" s="1"/>
  <c r="D455" i="16"/>
  <c r="C440" i="16"/>
  <c r="E440" i="16" s="1"/>
  <c r="B35" i="3"/>
  <c r="C7" i="11"/>
  <c r="C15" i="9"/>
  <c r="S8" i="8"/>
  <c r="T14" i="6"/>
  <c r="T15" i="6"/>
  <c r="S12" i="8" s="1"/>
  <c r="S23" i="8" s="1"/>
  <c r="S26" i="8" s="1"/>
  <c r="S27" i="11" s="1"/>
  <c r="T43" i="11" s="1"/>
  <c r="D18" i="9"/>
  <c r="B12" i="8"/>
  <c r="B23" i="8" s="1"/>
  <c r="B26" i="8" s="1"/>
  <c r="C445" i="16"/>
  <c r="E445" i="16" s="1"/>
  <c r="D456" i="16"/>
  <c r="E456" i="16" s="1"/>
  <c r="F456" i="16" s="1"/>
  <c r="L8" i="8"/>
  <c r="M14" i="6"/>
  <c r="M15" i="6" s="1"/>
  <c r="L12" i="8" s="1"/>
  <c r="L23" i="8" s="1"/>
  <c r="L26" i="8" s="1"/>
  <c r="L27" i="11" s="1"/>
  <c r="O43" i="11" l="1"/>
  <c r="O40" i="11"/>
  <c r="M43" i="11"/>
  <c r="M40" i="11"/>
  <c r="K43" i="11"/>
  <c r="K37" i="11"/>
  <c r="K40" i="11"/>
  <c r="C8" i="11"/>
  <c r="C17" i="5"/>
  <c r="C18" i="5" s="1"/>
  <c r="D5" i="7"/>
  <c r="B7" i="8"/>
  <c r="O42" i="11"/>
  <c r="O39" i="11"/>
  <c r="G40" i="11"/>
  <c r="G43" i="11"/>
  <c r="G37" i="11"/>
  <c r="L42" i="11"/>
  <c r="L39" i="11"/>
  <c r="F39" i="11"/>
  <c r="F36" i="11"/>
  <c r="F33" i="11"/>
  <c r="F42" i="11"/>
  <c r="L43" i="11"/>
  <c r="L40" i="11"/>
  <c r="O7" i="8"/>
  <c r="P18" i="5"/>
  <c r="O11" i="8" s="1"/>
  <c r="O22" i="8" s="1"/>
  <c r="O25" i="8" s="1"/>
  <c r="O26" i="11" s="1"/>
  <c r="P17" i="5"/>
  <c r="H43" i="11"/>
  <c r="H40" i="11"/>
  <c r="H37" i="11"/>
  <c r="S18" i="5"/>
  <c r="R11" i="8" s="1"/>
  <c r="R22" i="8" s="1"/>
  <c r="R25" i="8" s="1"/>
  <c r="R26" i="11" s="1"/>
  <c r="S42" i="11" s="1"/>
  <c r="S17" i="5"/>
  <c r="R7" i="8"/>
  <c r="G42" i="11"/>
  <c r="G36" i="11"/>
  <c r="G39" i="11"/>
  <c r="M42" i="11"/>
  <c r="M39" i="11"/>
  <c r="Q18" i="5"/>
  <c r="P11" i="8" s="1"/>
  <c r="P22" i="8" s="1"/>
  <c r="P25" i="8" s="1"/>
  <c r="P26" i="11" s="1"/>
  <c r="Q42" i="11" s="1"/>
  <c r="Q17" i="5"/>
  <c r="P7" i="8"/>
  <c r="I43" i="11"/>
  <c r="I37" i="11"/>
  <c r="I40" i="11"/>
  <c r="F40" i="11"/>
  <c r="F43" i="11"/>
  <c r="F34" i="11"/>
  <c r="F37" i="11"/>
  <c r="E40" i="11"/>
  <c r="E37" i="11"/>
  <c r="E43" i="11"/>
  <c r="E34" i="11"/>
  <c r="L36" i="11"/>
  <c r="V42" i="11"/>
  <c r="G33" i="11"/>
  <c r="V43" i="11"/>
  <c r="G34" i="11"/>
  <c r="L37" i="11"/>
  <c r="Q40" i="11"/>
  <c r="C7" i="15"/>
  <c r="C8" i="15" s="1"/>
  <c r="E39" i="11"/>
  <c r="E36" i="11"/>
  <c r="E33" i="11"/>
  <c r="E42" i="11"/>
  <c r="D40" i="11"/>
  <c r="D37" i="11"/>
  <c r="D43" i="11"/>
  <c r="D34" i="11"/>
  <c r="C19" i="15"/>
  <c r="D6" i="15"/>
  <c r="C17" i="15"/>
  <c r="J43" i="11"/>
  <c r="J37" i="11"/>
  <c r="J40" i="11"/>
  <c r="D39" i="11"/>
  <c r="D36" i="11"/>
  <c r="D33" i="11"/>
  <c r="D42" i="11"/>
  <c r="C17" i="17"/>
  <c r="C454" i="16"/>
  <c r="K36" i="11"/>
  <c r="K42" i="11"/>
  <c r="K39" i="11"/>
  <c r="E86" i="24"/>
  <c r="D86" i="24"/>
  <c r="C86" i="24"/>
  <c r="E74" i="24"/>
  <c r="D74" i="24"/>
  <c r="B24" i="22"/>
  <c r="E50" i="24"/>
  <c r="D50" i="24"/>
  <c r="C62" i="24"/>
  <c r="E454" i="16"/>
  <c r="F454" i="16" s="1"/>
  <c r="C455" i="16"/>
  <c r="E455" i="16" s="1"/>
  <c r="F455" i="16" s="1"/>
  <c r="N8" i="4"/>
  <c r="J8" i="4"/>
  <c r="I8" i="4"/>
  <c r="H8" i="4"/>
  <c r="V8" i="4"/>
  <c r="F8" i="4"/>
  <c r="E8" i="4"/>
  <c r="U8" i="4"/>
  <c r="T8" i="4"/>
  <c r="D8" i="4"/>
  <c r="D27" i="9" s="1"/>
  <c r="G8" i="4"/>
  <c r="P8" i="4"/>
  <c r="K8" i="4"/>
  <c r="R8" i="4"/>
  <c r="Q8" i="4"/>
  <c r="C8" i="4"/>
  <c r="C27" i="9" s="1"/>
  <c r="S8" i="4"/>
  <c r="L8" i="4"/>
  <c r="O8" i="4"/>
  <c r="M8" i="4"/>
  <c r="Q7" i="8"/>
  <c r="R18" i="5"/>
  <c r="Q11" i="8" s="1"/>
  <c r="Q22" i="8" s="1"/>
  <c r="Q25" i="8" s="1"/>
  <c r="Q26" i="11" s="1"/>
  <c r="R42" i="11" s="1"/>
  <c r="R17" i="5"/>
  <c r="B29" i="8"/>
  <c r="B27" i="11"/>
  <c r="N43" i="11"/>
  <c r="N40" i="11"/>
  <c r="I36" i="11"/>
  <c r="I42" i="11"/>
  <c r="I39" i="11"/>
  <c r="N42" i="11"/>
  <c r="N39" i="11"/>
  <c r="J36" i="11"/>
  <c r="J42" i="11"/>
  <c r="J39" i="11"/>
  <c r="B19" i="20"/>
  <c r="B22" i="21" s="1"/>
  <c r="B12" i="20"/>
  <c r="M11" i="12"/>
  <c r="M35" i="10" s="1"/>
  <c r="L11" i="12"/>
  <c r="L35" i="10" s="1"/>
  <c r="B24" i="12"/>
  <c r="J11" i="12"/>
  <c r="J35" i="10" s="1"/>
  <c r="C6" i="14"/>
  <c r="C7" i="14" s="1"/>
  <c r="I11" i="12"/>
  <c r="I35" i="10" s="1"/>
  <c r="H11" i="12"/>
  <c r="H35" i="10" s="1"/>
  <c r="G11" i="12"/>
  <c r="G35" i="10" s="1"/>
  <c r="F11" i="12"/>
  <c r="F35" i="10" s="1"/>
  <c r="V11" i="12"/>
  <c r="V35" i="10" s="1"/>
  <c r="D11" i="12"/>
  <c r="D35" i="10" s="1"/>
  <c r="O11" i="12"/>
  <c r="O35" i="10" s="1"/>
  <c r="N11" i="12"/>
  <c r="N35" i="10" s="1"/>
  <c r="K11" i="12"/>
  <c r="K35" i="10" s="1"/>
  <c r="E11" i="12"/>
  <c r="E35" i="10" s="1"/>
  <c r="F7" i="11"/>
  <c r="C11" i="12"/>
  <c r="C35" i="10" s="1"/>
  <c r="Q11" i="12"/>
  <c r="Q35" i="10" s="1"/>
  <c r="P16" i="10"/>
  <c r="O16" i="10"/>
  <c r="N16" i="10"/>
  <c r="U11" i="12"/>
  <c r="U35" i="10" s="1"/>
  <c r="M16" i="10"/>
  <c r="T11" i="12"/>
  <c r="T35" i="10" s="1"/>
  <c r="L16" i="10"/>
  <c r="S11" i="12"/>
  <c r="S35" i="10" s="1"/>
  <c r="B35" i="10"/>
  <c r="B37" i="10" s="1"/>
  <c r="B38" i="10" s="1"/>
  <c r="K16" i="10"/>
  <c r="R11" i="12"/>
  <c r="R35" i="10" s="1"/>
  <c r="J16" i="10"/>
  <c r="P11" i="12"/>
  <c r="P35" i="10" s="1"/>
  <c r="I16" i="10"/>
  <c r="G16" i="10"/>
  <c r="V16" i="10"/>
  <c r="U16" i="10"/>
  <c r="T16" i="10"/>
  <c r="S16" i="10"/>
  <c r="R16" i="10"/>
  <c r="F10" i="3"/>
  <c r="Q16" i="10"/>
  <c r="F9" i="3"/>
  <c r="H16" i="10"/>
  <c r="F16" i="10"/>
  <c r="D16" i="10"/>
  <c r="E15" i="9"/>
  <c r="E16" i="10"/>
  <c r="C16" i="10"/>
  <c r="B16" i="10"/>
  <c r="D10" i="11"/>
  <c r="D11" i="9" s="1"/>
  <c r="C443" i="16"/>
  <c r="D452" i="16"/>
  <c r="B30" i="3"/>
  <c r="B30" i="10"/>
  <c r="H36" i="11"/>
  <c r="H42" i="11"/>
  <c r="H39" i="11"/>
  <c r="C18" i="9" l="1"/>
  <c r="B11" i="8"/>
  <c r="B22" i="8" s="1"/>
  <c r="B25" i="8" s="1"/>
  <c r="C38" i="9"/>
  <c r="C9" i="9"/>
  <c r="P42" i="11"/>
  <c r="P39" i="11"/>
  <c r="D12" i="7"/>
  <c r="D7" i="7"/>
  <c r="D11" i="7" s="1"/>
  <c r="B29" i="10"/>
  <c r="B31" i="10"/>
  <c r="B32" i="10" s="1"/>
  <c r="B57" i="10" s="1"/>
  <c r="D7" i="15"/>
  <c r="D10" i="15" s="1"/>
  <c r="D12" i="15"/>
  <c r="D13" i="15" s="1"/>
  <c r="D8" i="15"/>
  <c r="D9" i="15"/>
  <c r="C9" i="11"/>
  <c r="C10" i="9" s="1"/>
  <c r="C10" i="11"/>
  <c r="C11" i="9" s="1"/>
  <c r="Q39" i="11"/>
  <c r="E5" i="17"/>
  <c r="H5" i="17" s="1"/>
  <c r="J22" i="18"/>
  <c r="N22" i="18" s="1"/>
  <c r="J16" i="18"/>
  <c r="N16" i="18" s="1"/>
  <c r="J10" i="18"/>
  <c r="N10" i="18" s="1"/>
  <c r="J25" i="18"/>
  <c r="N25" i="18" s="1"/>
  <c r="I22" i="18"/>
  <c r="I16" i="18"/>
  <c r="J13" i="18"/>
  <c r="N13" i="18" s="1"/>
  <c r="I10" i="18"/>
  <c r="J20" i="18"/>
  <c r="N20" i="18" s="1"/>
  <c r="I17" i="18"/>
  <c r="J14" i="18"/>
  <c r="N14" i="18" s="1"/>
  <c r="I20" i="18"/>
  <c r="I14" i="18"/>
  <c r="J8" i="18"/>
  <c r="N8" i="18" s="1"/>
  <c r="H14" i="18"/>
  <c r="I8" i="18"/>
  <c r="H11" i="17"/>
  <c r="J21" i="18"/>
  <c r="N21" i="18" s="1"/>
  <c r="J15" i="18"/>
  <c r="N15" i="18" s="1"/>
  <c r="J9" i="18"/>
  <c r="N9" i="18" s="1"/>
  <c r="I21" i="18"/>
  <c r="I15" i="18"/>
  <c r="I9" i="18"/>
  <c r="J6" i="18"/>
  <c r="N6" i="18" s="1"/>
  <c r="D443" i="16"/>
  <c r="E443" i="16" s="1"/>
  <c r="H21" i="18"/>
  <c r="I6" i="18"/>
  <c r="H17" i="18" s="1"/>
  <c r="J7" i="18"/>
  <c r="N7" i="18" s="1"/>
  <c r="I7" i="18"/>
  <c r="C452" i="16"/>
  <c r="C22" i="25" s="1"/>
  <c r="D22" i="25" s="1"/>
  <c r="H22" i="18"/>
  <c r="H7" i="18"/>
  <c r="J17" i="18"/>
  <c r="N17" i="18" s="1"/>
  <c r="H16" i="18"/>
  <c r="I13" i="18"/>
  <c r="H13" i="18"/>
  <c r="I25" i="18"/>
  <c r="H8" i="18"/>
  <c r="H25" i="18"/>
  <c r="H10" i="18"/>
  <c r="H12" i="17"/>
  <c r="G11" i="4"/>
  <c r="G12" i="4" s="1"/>
  <c r="G7" i="4"/>
  <c r="G10" i="4" s="1"/>
  <c r="K6" i="4"/>
  <c r="V11" i="4"/>
  <c r="V12" i="4" s="1"/>
  <c r="F11" i="4"/>
  <c r="F12" i="4" s="1"/>
  <c r="V7" i="4"/>
  <c r="V10" i="4" s="1"/>
  <c r="F7" i="4"/>
  <c r="F10" i="4" s="1"/>
  <c r="J6" i="4"/>
  <c r="U11" i="4"/>
  <c r="U12" i="4" s="1"/>
  <c r="E11" i="4"/>
  <c r="E12" i="4" s="1"/>
  <c r="U7" i="4"/>
  <c r="U10" i="4" s="1"/>
  <c r="E7" i="4"/>
  <c r="E10" i="4" s="1"/>
  <c r="I6" i="4"/>
  <c r="T11" i="4"/>
  <c r="T12" i="4" s="1"/>
  <c r="D11" i="4"/>
  <c r="D12" i="4" s="1"/>
  <c r="T7" i="4"/>
  <c r="T10" i="4" s="1"/>
  <c r="D7" i="4"/>
  <c r="H6" i="4"/>
  <c r="S11" i="4"/>
  <c r="S12" i="4" s="1"/>
  <c r="C11" i="4"/>
  <c r="C12" i="4" s="1"/>
  <c r="S7" i="4"/>
  <c r="S10" i="4" s="1"/>
  <c r="C7" i="4"/>
  <c r="G6" i="4"/>
  <c r="R11" i="4"/>
  <c r="R12" i="4" s="1"/>
  <c r="R7" i="4"/>
  <c r="R10" i="4" s="1"/>
  <c r="V6" i="4"/>
  <c r="F6" i="4"/>
  <c r="Q11" i="4"/>
  <c r="Q12" i="4" s="1"/>
  <c r="Q7" i="4"/>
  <c r="Q10" i="4" s="1"/>
  <c r="U6" i="4"/>
  <c r="E6" i="4"/>
  <c r="P11" i="4"/>
  <c r="P12" i="4" s="1"/>
  <c r="P7" i="4"/>
  <c r="P10" i="4" s="1"/>
  <c r="T6" i="4"/>
  <c r="D6" i="4"/>
  <c r="O11" i="4"/>
  <c r="O12" i="4" s="1"/>
  <c r="O7" i="4"/>
  <c r="O10" i="4" s="1"/>
  <c r="S6" i="4"/>
  <c r="C6" i="4"/>
  <c r="N11" i="4"/>
  <c r="N12" i="4" s="1"/>
  <c r="N7" i="4"/>
  <c r="N10" i="4" s="1"/>
  <c r="R6" i="4"/>
  <c r="M11" i="4"/>
  <c r="M12" i="4" s="1"/>
  <c r="M7" i="4"/>
  <c r="M10" i="4" s="1"/>
  <c r="Q6" i="4"/>
  <c r="L11" i="4"/>
  <c r="L12" i="4" s="1"/>
  <c r="L7" i="4"/>
  <c r="L10" i="4" s="1"/>
  <c r="P6" i="4"/>
  <c r="J11" i="4"/>
  <c r="J12" i="4" s="1"/>
  <c r="J7" i="4"/>
  <c r="J10" i="4" s="1"/>
  <c r="N6" i="4"/>
  <c r="K7" i="4"/>
  <c r="K10" i="4" s="1"/>
  <c r="K11" i="4"/>
  <c r="K12" i="4" s="1"/>
  <c r="I7" i="4"/>
  <c r="I10" i="4" s="1"/>
  <c r="H7" i="4"/>
  <c r="H10" i="4" s="1"/>
  <c r="I11" i="4"/>
  <c r="I12" i="4" s="1"/>
  <c r="H11" i="4"/>
  <c r="H12" i="4" s="1"/>
  <c r="O6" i="4"/>
  <c r="M6" i="4"/>
  <c r="L6" i="4"/>
  <c r="D62" i="24"/>
  <c r="C25" i="25"/>
  <c r="D25" i="25" s="1"/>
  <c r="C12" i="25"/>
  <c r="C17" i="25" s="1"/>
  <c r="B11" i="25"/>
  <c r="B16" i="25" s="1"/>
  <c r="D16" i="25" s="1"/>
  <c r="A29" i="25" s="1"/>
  <c r="C11" i="25"/>
  <c r="C16" i="25" s="1"/>
  <c r="C26" i="25"/>
  <c r="D26" i="25" s="1"/>
  <c r="C21" i="25"/>
  <c r="D21" i="25" s="1"/>
  <c r="B12" i="25"/>
  <c r="B17" i="25" s="1"/>
  <c r="D17" i="25" s="1"/>
  <c r="B14" i="20"/>
  <c r="B16" i="20" s="1"/>
  <c r="B28" i="20"/>
  <c r="B29" i="20" s="1"/>
  <c r="B56" i="20"/>
  <c r="B5" i="24"/>
  <c r="B20" i="20"/>
  <c r="B23" i="21" s="1"/>
  <c r="B6" i="23"/>
  <c r="B6" i="22"/>
  <c r="B6" i="21"/>
  <c r="B34" i="21"/>
  <c r="E62" i="24"/>
  <c r="C40" i="11"/>
  <c r="D19" i="11" s="1"/>
  <c r="D22" i="9" s="1"/>
  <c r="C37" i="11"/>
  <c r="D16" i="11" s="1"/>
  <c r="D20" i="9" s="1"/>
  <c r="C43" i="11"/>
  <c r="D22" i="11" s="1"/>
  <c r="C34" i="11"/>
  <c r="D13" i="11" s="1"/>
  <c r="D17" i="9" s="1"/>
  <c r="C74" i="24"/>
  <c r="E452" i="16"/>
  <c r="F452" i="16" s="1"/>
  <c r="B30" i="11"/>
  <c r="C29" i="8"/>
  <c r="C50" i="24"/>
  <c r="S17" i="4" l="1"/>
  <c r="S24" i="4"/>
  <c r="F18" i="4"/>
  <c r="F13" i="4"/>
  <c r="J18" i="4"/>
  <c r="J13" i="4"/>
  <c r="P17" i="4"/>
  <c r="P24" i="4"/>
  <c r="S13" i="4"/>
  <c r="S18" i="4"/>
  <c r="Q6" i="18"/>
  <c r="O6" i="18"/>
  <c r="P6" i="18"/>
  <c r="P11" i="18" s="1"/>
  <c r="L17" i="4"/>
  <c r="L24" i="4"/>
  <c r="D26" i="9"/>
  <c r="D10" i="4"/>
  <c r="G18" i="4"/>
  <c r="G13" i="4"/>
  <c r="G24" i="4"/>
  <c r="G17" i="4"/>
  <c r="L18" i="4"/>
  <c r="L13" i="4"/>
  <c r="T24" i="4"/>
  <c r="T17" i="4"/>
  <c r="O13" i="18"/>
  <c r="O18" i="18" s="1"/>
  <c r="P13" i="18"/>
  <c r="Q13" i="18"/>
  <c r="P13" i="4"/>
  <c r="P18" i="4"/>
  <c r="D18" i="4"/>
  <c r="D13" i="4"/>
  <c r="P9" i="18"/>
  <c r="O9" i="18"/>
  <c r="Q9" i="18"/>
  <c r="P14" i="18"/>
  <c r="O14" i="18"/>
  <c r="Q14" i="18"/>
  <c r="Q17" i="4"/>
  <c r="Q24" i="4"/>
  <c r="M17" i="4"/>
  <c r="M24" i="4"/>
  <c r="Q18" i="4"/>
  <c r="Q13" i="4"/>
  <c r="T18" i="4"/>
  <c r="T13" i="4"/>
  <c r="P17" i="18"/>
  <c r="O17" i="18"/>
  <c r="Q17" i="18"/>
  <c r="Q15" i="18"/>
  <c r="P15" i="18"/>
  <c r="O15" i="18"/>
  <c r="P20" i="18"/>
  <c r="P23" i="18" s="1"/>
  <c r="O20" i="18"/>
  <c r="O23" i="18" s="1"/>
  <c r="Q20" i="18"/>
  <c r="M18" i="4"/>
  <c r="M13" i="4"/>
  <c r="Q21" i="18"/>
  <c r="P21" i="18"/>
  <c r="O21" i="18"/>
  <c r="P25" i="18"/>
  <c r="P26" i="18" s="1"/>
  <c r="O25" i="18"/>
  <c r="O26" i="18" s="1"/>
  <c r="Q25" i="18"/>
  <c r="Q26" i="18" s="1"/>
  <c r="V18" i="4"/>
  <c r="V13" i="4"/>
  <c r="E24" i="4"/>
  <c r="E17" i="4"/>
  <c r="P10" i="18"/>
  <c r="O10" i="18"/>
  <c r="Q10" i="18"/>
  <c r="C13" i="4"/>
  <c r="C29" i="9" s="1"/>
  <c r="C18" i="4"/>
  <c r="P16" i="18"/>
  <c r="O16" i="18"/>
  <c r="Q16" i="18"/>
  <c r="J17" i="4"/>
  <c r="J24" i="4"/>
  <c r="D18" i="15"/>
  <c r="D11" i="15"/>
  <c r="D14" i="15" s="1"/>
  <c r="D15" i="15" s="1"/>
  <c r="D16" i="15" s="1"/>
  <c r="H18" i="4"/>
  <c r="H13" i="4"/>
  <c r="I18" i="4"/>
  <c r="I13" i="4"/>
  <c r="N18" i="4"/>
  <c r="N13" i="4"/>
  <c r="R17" i="4"/>
  <c r="R24" i="4"/>
  <c r="E18" i="4"/>
  <c r="E13" i="4"/>
  <c r="P22" i="18"/>
  <c r="O22" i="18"/>
  <c r="Q22" i="18"/>
  <c r="U24" i="4"/>
  <c r="U17" i="4"/>
  <c r="C30" i="11"/>
  <c r="D29" i="8"/>
  <c r="B31" i="20"/>
  <c r="B30" i="20"/>
  <c r="H17" i="4"/>
  <c r="H24" i="4"/>
  <c r="R18" i="4"/>
  <c r="R13" i="4"/>
  <c r="U18" i="4"/>
  <c r="U13" i="4"/>
  <c r="P7" i="18"/>
  <c r="O7" i="18"/>
  <c r="Q7" i="18"/>
  <c r="H20" i="18"/>
  <c r="N17" i="4"/>
  <c r="N24" i="4"/>
  <c r="B17" i="20"/>
  <c r="B32" i="20"/>
  <c r="I17" i="4"/>
  <c r="I24" i="4"/>
  <c r="Q8" i="18"/>
  <c r="P8" i="18"/>
  <c r="O8" i="18"/>
  <c r="H6" i="18"/>
  <c r="K18" i="4"/>
  <c r="K13" i="4"/>
  <c r="O17" i="4"/>
  <c r="O24" i="4"/>
  <c r="F24" i="4"/>
  <c r="F17" i="4"/>
  <c r="H9" i="18"/>
  <c r="B26" i="11"/>
  <c r="B28" i="8"/>
  <c r="K17" i="4"/>
  <c r="K24" i="4"/>
  <c r="O18" i="4"/>
  <c r="O13" i="4"/>
  <c r="C26" i="9"/>
  <c r="C10" i="4"/>
  <c r="V24" i="4"/>
  <c r="V17" i="4"/>
  <c r="H15" i="18"/>
  <c r="D19" i="15" l="1"/>
  <c r="D17" i="15"/>
  <c r="E6" i="15"/>
  <c r="F23" i="18"/>
  <c r="F18" i="18"/>
  <c r="O11" i="18"/>
  <c r="F26" i="18"/>
  <c r="D29" i="9"/>
  <c r="C33" i="11"/>
  <c r="C13" i="11" s="1"/>
  <c r="C17" i="9" s="1"/>
  <c r="C39" i="11"/>
  <c r="C19" i="11" s="1"/>
  <c r="C22" i="9" s="1"/>
  <c r="C36" i="11"/>
  <c r="C16" i="11" s="1"/>
  <c r="C20" i="9" s="1"/>
  <c r="C42" i="11"/>
  <c r="C22" i="11" s="1"/>
  <c r="D24" i="4"/>
  <c r="D17" i="4"/>
  <c r="B7" i="21"/>
  <c r="B7" i="22"/>
  <c r="B8" i="22" s="1"/>
  <c r="B7" i="23"/>
  <c r="B8" i="23" s="1"/>
  <c r="B10" i="23" s="1"/>
  <c r="B12" i="23" s="1"/>
  <c r="C17" i="4"/>
  <c r="C24" i="4"/>
  <c r="B29" i="11"/>
  <c r="C28" i="8"/>
  <c r="D30" i="11"/>
  <c r="E29" i="8"/>
  <c r="Q18" i="18"/>
  <c r="Q11" i="18"/>
  <c r="Q27" i="18" s="1"/>
  <c r="Q23" i="18"/>
  <c r="P18" i="18"/>
  <c r="P27" i="18" s="1"/>
  <c r="B47" i="3" s="1"/>
  <c r="K19" i="4" l="1"/>
  <c r="K25" i="4" s="1"/>
  <c r="J19" i="4"/>
  <c r="J25" i="4" s="1"/>
  <c r="I19" i="4"/>
  <c r="I25" i="4" s="1"/>
  <c r="H19" i="4"/>
  <c r="H25" i="4" s="1"/>
  <c r="G19" i="4"/>
  <c r="G25" i="4" s="1"/>
  <c r="V19" i="4"/>
  <c r="V25" i="4" s="1"/>
  <c r="F19" i="4"/>
  <c r="F25" i="4" s="1"/>
  <c r="U19" i="4"/>
  <c r="U25" i="4" s="1"/>
  <c r="E19" i="4"/>
  <c r="E25" i="4" s="1"/>
  <c r="T19" i="4"/>
  <c r="T25" i="4" s="1"/>
  <c r="D19" i="4"/>
  <c r="S19" i="4"/>
  <c r="S25" i="4" s="1"/>
  <c r="C19" i="4"/>
  <c r="C25" i="4" s="1"/>
  <c r="R19" i="4"/>
  <c r="R25" i="4" s="1"/>
  <c r="Q19" i="4"/>
  <c r="Q25" i="4" s="1"/>
  <c r="P19" i="4"/>
  <c r="P25" i="4" s="1"/>
  <c r="N19" i="4"/>
  <c r="N25" i="4" s="1"/>
  <c r="O19" i="4"/>
  <c r="O25" i="4" s="1"/>
  <c r="M19" i="4"/>
  <c r="M25" i="4" s="1"/>
  <c r="L19" i="4"/>
  <c r="L25" i="4" s="1"/>
  <c r="D28" i="8"/>
  <c r="C29" i="11"/>
  <c r="O27" i="18"/>
  <c r="F11" i="18"/>
  <c r="B10" i="22"/>
  <c r="B12" i="22" s="1"/>
  <c r="B23" i="22"/>
  <c r="E9" i="15"/>
  <c r="E7" i="15"/>
  <c r="E10" i="15" s="1"/>
  <c r="E12" i="15"/>
  <c r="E13" i="15" s="1"/>
  <c r="D25" i="4"/>
  <c r="B22" i="23"/>
  <c r="B15" i="23"/>
  <c r="B6" i="24"/>
  <c r="B7" i="24" s="1"/>
  <c r="B9" i="24" s="1"/>
  <c r="B8" i="21"/>
  <c r="B10" i="21" s="1"/>
  <c r="E30" i="11"/>
  <c r="F29" i="8"/>
  <c r="N25" i="23" l="1"/>
  <c r="M25" i="23"/>
  <c r="B25" i="23"/>
  <c r="O25" i="23"/>
  <c r="P25" i="23"/>
  <c r="Q25" i="23"/>
  <c r="R25" i="23"/>
  <c r="S25" i="23"/>
  <c r="D25" i="23"/>
  <c r="T25" i="23"/>
  <c r="E25" i="23"/>
  <c r="U25" i="23"/>
  <c r="F25" i="23"/>
  <c r="C25" i="23"/>
  <c r="G25" i="23"/>
  <c r="H25" i="23"/>
  <c r="K25" i="23"/>
  <c r="I25" i="23"/>
  <c r="J25" i="23"/>
  <c r="L25" i="23"/>
  <c r="B25" i="22"/>
  <c r="E8" i="15"/>
  <c r="E18" i="15"/>
  <c r="E11" i="15"/>
  <c r="E14" i="15" s="1"/>
  <c r="E15" i="15" s="1"/>
  <c r="E16" i="15" s="1"/>
  <c r="F27" i="18"/>
  <c r="B46" i="3"/>
  <c r="F30" i="11"/>
  <c r="G29" i="8"/>
  <c r="B13" i="21"/>
  <c r="B12" i="21"/>
  <c r="E16" i="24"/>
  <c r="D16" i="24"/>
  <c r="D17" i="24" s="1"/>
  <c r="C16" i="24"/>
  <c r="E15" i="24"/>
  <c r="E24" i="24" s="1"/>
  <c r="D15" i="24"/>
  <c r="D24" i="24" s="1"/>
  <c r="C15" i="24"/>
  <c r="C24" i="24" s="1"/>
  <c r="B23" i="23"/>
  <c r="B24" i="23" s="1"/>
  <c r="C22" i="23" s="1"/>
  <c r="E28" i="8"/>
  <c r="D29" i="11"/>
  <c r="B14" i="21" l="1"/>
  <c r="B38" i="21" s="1"/>
  <c r="D12" i="11"/>
  <c r="D19" i="9" s="1"/>
  <c r="D11" i="11"/>
  <c r="C23" i="23"/>
  <c r="C24" i="23" s="1"/>
  <c r="D22" i="23" s="1"/>
  <c r="F28" i="8"/>
  <c r="E29" i="11"/>
  <c r="C65" i="24"/>
  <c r="C89" i="24"/>
  <c r="C77" i="24"/>
  <c r="C53" i="24"/>
  <c r="C78" i="24"/>
  <c r="C54" i="24"/>
  <c r="C90" i="24"/>
  <c r="C66" i="24"/>
  <c r="C91" i="24"/>
  <c r="C55" i="24"/>
  <c r="C79" i="24"/>
  <c r="C67" i="24"/>
  <c r="Q59" i="13"/>
  <c r="I57" i="13"/>
  <c r="Q55" i="13"/>
  <c r="P59" i="13"/>
  <c r="V57" i="13"/>
  <c r="E57" i="13"/>
  <c r="K55" i="13"/>
  <c r="R53" i="13"/>
  <c r="J51" i="13"/>
  <c r="O59" i="13"/>
  <c r="U57" i="13"/>
  <c r="D57" i="13"/>
  <c r="J55" i="13"/>
  <c r="Q53" i="13"/>
  <c r="I51" i="13"/>
  <c r="T59" i="13"/>
  <c r="S57" i="13"/>
  <c r="U55" i="13"/>
  <c r="W53" i="13"/>
  <c r="E53" i="13"/>
  <c r="G51" i="13"/>
  <c r="S59" i="13"/>
  <c r="R57" i="13"/>
  <c r="T55" i="13"/>
  <c r="V53" i="13"/>
  <c r="D53" i="13"/>
  <c r="F51" i="13"/>
  <c r="R59" i="13"/>
  <c r="Q57" i="13"/>
  <c r="S55" i="13"/>
  <c r="U53" i="13"/>
  <c r="W51" i="13"/>
  <c r="E51" i="13"/>
  <c r="N59" i="13"/>
  <c r="P57" i="13"/>
  <c r="R55" i="13"/>
  <c r="T53" i="13"/>
  <c r="V51" i="13"/>
  <c r="D51" i="13"/>
  <c r="M59" i="13"/>
  <c r="O57" i="13"/>
  <c r="P55" i="13"/>
  <c r="S53" i="13"/>
  <c r="U51" i="13"/>
  <c r="K59" i="13"/>
  <c r="M57" i="13"/>
  <c r="N55" i="13"/>
  <c r="O53" i="13"/>
  <c r="S51" i="13"/>
  <c r="J59" i="13"/>
  <c r="L57" i="13"/>
  <c r="M55" i="13"/>
  <c r="N53" i="13"/>
  <c r="R51" i="13"/>
  <c r="H59" i="13"/>
  <c r="J57" i="13"/>
  <c r="I55" i="13"/>
  <c r="L53" i="13"/>
  <c r="P51" i="13"/>
  <c r="G59" i="13"/>
  <c r="W57" i="13"/>
  <c r="W55" i="13"/>
  <c r="W59" i="13"/>
  <c r="T57" i="13"/>
  <c r="V55" i="13"/>
  <c r="V59" i="13"/>
  <c r="N57" i="13"/>
  <c r="O55" i="13"/>
  <c r="P53" i="13"/>
  <c r="T51" i="13"/>
  <c r="U59" i="13"/>
  <c r="K57" i="13"/>
  <c r="L55" i="13"/>
  <c r="M53" i="13"/>
  <c r="Q51" i="13"/>
  <c r="L59" i="13"/>
  <c r="H57" i="13"/>
  <c r="H55" i="13"/>
  <c r="K53" i="13"/>
  <c r="O51" i="13"/>
  <c r="G57" i="13"/>
  <c r="F53" i="13"/>
  <c r="F57" i="13"/>
  <c r="N51" i="13"/>
  <c r="M51" i="13"/>
  <c r="L51" i="13"/>
  <c r="K51" i="13"/>
  <c r="G55" i="13"/>
  <c r="H51" i="13"/>
  <c r="F55" i="13"/>
  <c r="E55" i="13"/>
  <c r="D55" i="13"/>
  <c r="I59" i="13"/>
  <c r="F59" i="13"/>
  <c r="D59" i="13"/>
  <c r="I53" i="13"/>
  <c r="H53" i="13"/>
  <c r="K14" i="4"/>
  <c r="K15" i="4" s="1"/>
  <c r="J14" i="4"/>
  <c r="J15" i="4" s="1"/>
  <c r="I14" i="4"/>
  <c r="I15" i="4" s="1"/>
  <c r="H14" i="4"/>
  <c r="H15" i="4" s="1"/>
  <c r="G14" i="4"/>
  <c r="G15" i="4" s="1"/>
  <c r="V14" i="4"/>
  <c r="V15" i="4" s="1"/>
  <c r="F14" i="4"/>
  <c r="F15" i="4" s="1"/>
  <c r="U14" i="4"/>
  <c r="U15" i="4" s="1"/>
  <c r="E14" i="4"/>
  <c r="E15" i="4" s="1"/>
  <c r="T14" i="4"/>
  <c r="T15" i="4" s="1"/>
  <c r="D14" i="4"/>
  <c r="S14" i="4"/>
  <c r="S15" i="4" s="1"/>
  <c r="C14" i="4"/>
  <c r="R14" i="4"/>
  <c r="R15" i="4" s="1"/>
  <c r="E59" i="13"/>
  <c r="Q14" i="4"/>
  <c r="Q15" i="4" s="1"/>
  <c r="P14" i="4"/>
  <c r="P15" i="4" s="1"/>
  <c r="J53" i="13"/>
  <c r="G53" i="13"/>
  <c r="N14" i="4"/>
  <c r="N15" i="4" s="1"/>
  <c r="O14" i="4"/>
  <c r="O15" i="4" s="1"/>
  <c r="M14" i="4"/>
  <c r="M15" i="4" s="1"/>
  <c r="L14" i="4"/>
  <c r="L15" i="4" s="1"/>
  <c r="Q83" i="13"/>
  <c r="T93" i="13"/>
  <c r="K63" i="13"/>
  <c r="J63" i="13"/>
  <c r="P95" i="13"/>
  <c r="R63" i="13"/>
  <c r="U95" i="13"/>
  <c r="L91" i="13"/>
  <c r="H89" i="13"/>
  <c r="D87" i="13"/>
  <c r="U83" i="13"/>
  <c r="W89" i="13"/>
  <c r="R87" i="13"/>
  <c r="M83" i="13"/>
  <c r="U69" i="13"/>
  <c r="J67" i="13"/>
  <c r="O89" i="13"/>
  <c r="P83" i="13"/>
  <c r="G63" i="13"/>
  <c r="I81" i="13"/>
  <c r="H91" i="13"/>
  <c r="M95" i="13"/>
  <c r="V93" i="13"/>
  <c r="V95" i="13"/>
  <c r="N93" i="13"/>
  <c r="I89" i="13"/>
  <c r="F87" i="13"/>
  <c r="V83" i="13"/>
  <c r="S81" i="13"/>
  <c r="U87" i="13"/>
  <c r="R83" i="13"/>
  <c r="K81" i="13"/>
  <c r="S67" i="13"/>
  <c r="M81" i="13"/>
  <c r="W83" i="13"/>
  <c r="W65" i="13"/>
  <c r="U91" i="13"/>
  <c r="Q79" i="13"/>
  <c r="N89" i="13"/>
  <c r="S93" i="13"/>
  <c r="S95" i="13"/>
  <c r="W95" i="13"/>
  <c r="O93" i="13"/>
  <c r="M91" i="13"/>
  <c r="G87" i="13"/>
  <c r="D83" i="13"/>
  <c r="U81" i="13"/>
  <c r="P79" i="13"/>
  <c r="S83" i="13"/>
  <c r="P81" i="13"/>
  <c r="J79" i="13"/>
  <c r="S65" i="13"/>
  <c r="W69" i="13"/>
  <c r="K77" i="13"/>
  <c r="O83" i="13"/>
  <c r="D63" i="13"/>
  <c r="Q87" i="13"/>
  <c r="I71" i="13"/>
  <c r="K87" i="13"/>
  <c r="M75" i="13"/>
  <c r="D95" i="13"/>
  <c r="K83" i="13"/>
  <c r="I69" i="13"/>
  <c r="O95" i="13"/>
  <c r="S63" i="13"/>
  <c r="O69" i="13"/>
  <c r="R89" i="13"/>
  <c r="I77" i="13"/>
  <c r="T87" i="13"/>
  <c r="G91" i="13"/>
  <c r="H93" i="13"/>
  <c r="P93" i="13"/>
  <c r="O91" i="13"/>
  <c r="J89" i="13"/>
  <c r="E83" i="13"/>
  <c r="W81" i="13"/>
  <c r="R79" i="13"/>
  <c r="P77" i="13"/>
  <c r="Q81" i="13"/>
  <c r="M79" i="13"/>
  <c r="F77" i="13"/>
  <c r="T63" i="13"/>
  <c r="F67" i="13"/>
  <c r="G69" i="13"/>
  <c r="P75" i="13"/>
  <c r="T91" i="13"/>
  <c r="T89" i="13"/>
  <c r="W79" i="13"/>
  <c r="M77" i="13"/>
  <c r="V69" i="13"/>
  <c r="H95" i="13"/>
  <c r="E75" i="13"/>
  <c r="Q75" i="13"/>
  <c r="I83" i="13"/>
  <c r="M89" i="13"/>
  <c r="N91" i="13"/>
  <c r="P91" i="13"/>
  <c r="K89" i="13"/>
  <c r="J87" i="13"/>
  <c r="D81" i="13"/>
  <c r="V79" i="13"/>
  <c r="Q77" i="13"/>
  <c r="L75" i="13"/>
  <c r="N79" i="13"/>
  <c r="L77" i="13"/>
  <c r="F75" i="13"/>
  <c r="G95" i="13"/>
  <c r="L81" i="13"/>
  <c r="V63" i="13"/>
  <c r="T65" i="13"/>
  <c r="S79" i="13"/>
  <c r="O81" i="13"/>
  <c r="F83" i="13"/>
  <c r="L71" i="13"/>
  <c r="P87" i="13"/>
  <c r="J91" i="13"/>
  <c r="Q93" i="13"/>
  <c r="R69" i="13"/>
  <c r="I93" i="13"/>
  <c r="R67" i="13"/>
  <c r="T95" i="13"/>
  <c r="R81" i="13"/>
  <c r="S87" i="13"/>
  <c r="L89" i="13"/>
  <c r="S77" i="13"/>
  <c r="I75" i="13"/>
  <c r="D93" i="13"/>
  <c r="N65" i="13"/>
  <c r="H79" i="13"/>
  <c r="V65" i="13"/>
  <c r="V91" i="13"/>
  <c r="Q69" i="13"/>
  <c r="U79" i="13"/>
  <c r="H83" i="13"/>
  <c r="H87" i="13"/>
  <c r="L87" i="13"/>
  <c r="G83" i="13"/>
  <c r="E81" i="13"/>
  <c r="T77" i="13"/>
  <c r="R75" i="13"/>
  <c r="M71" i="13"/>
  <c r="H69" i="13"/>
  <c r="J75" i="13"/>
  <c r="G71" i="13"/>
  <c r="U93" i="13"/>
  <c r="K75" i="13"/>
  <c r="U89" i="13"/>
  <c r="G89" i="13"/>
  <c r="V71" i="13"/>
  <c r="O79" i="13"/>
  <c r="N71" i="13"/>
  <c r="D75" i="13"/>
  <c r="N77" i="13"/>
  <c r="U65" i="13"/>
  <c r="L93" i="13"/>
  <c r="F93" i="13"/>
  <c r="I67" i="13"/>
  <c r="D79" i="13"/>
  <c r="N81" i="13"/>
  <c r="N83" i="13"/>
  <c r="J83" i="13"/>
  <c r="F81" i="13"/>
  <c r="U77" i="13"/>
  <c r="S75" i="13"/>
  <c r="O71" i="13"/>
  <c r="K69" i="13"/>
  <c r="G67" i="13"/>
  <c r="H71" i="13"/>
  <c r="E69" i="13"/>
  <c r="R91" i="13"/>
  <c r="T67" i="13"/>
  <c r="H81" i="13"/>
  <c r="T83" i="13"/>
  <c r="R65" i="13"/>
  <c r="D89" i="13"/>
  <c r="D77" i="13"/>
  <c r="D69" i="13"/>
  <c r="D91" i="13"/>
  <c r="Q65" i="13"/>
  <c r="J77" i="13"/>
  <c r="T79" i="13"/>
  <c r="T81" i="13"/>
  <c r="G81" i="13"/>
  <c r="E79" i="13"/>
  <c r="T75" i="13"/>
  <c r="P71" i="13"/>
  <c r="M69" i="13"/>
  <c r="H67" i="13"/>
  <c r="I65" i="13"/>
  <c r="F69" i="13"/>
  <c r="D67" i="13"/>
  <c r="P89" i="13"/>
  <c r="F95" i="13"/>
  <c r="R77" i="13"/>
  <c r="G77" i="13"/>
  <c r="Q95" i="13"/>
  <c r="L79" i="13"/>
  <c r="O63" i="13"/>
  <c r="V87" i="13"/>
  <c r="O65" i="13"/>
  <c r="E89" i="13"/>
  <c r="W63" i="13"/>
  <c r="I63" i="13"/>
  <c r="O75" i="13"/>
  <c r="H77" i="13"/>
  <c r="I79" i="13"/>
  <c r="F79" i="13"/>
  <c r="V77" i="13"/>
  <c r="Q71" i="13"/>
  <c r="N69" i="13"/>
  <c r="K67" i="13"/>
  <c r="J65" i="13"/>
  <c r="H63" i="13"/>
  <c r="E67" i="13"/>
  <c r="F65" i="13"/>
  <c r="N87" i="13"/>
  <c r="M87" i="13"/>
  <c r="T69" i="13"/>
  <c r="G79" i="13"/>
  <c r="J69" i="13"/>
  <c r="W93" i="13"/>
  <c r="Q67" i="13"/>
  <c r="M63" i="13"/>
  <c r="U71" i="13"/>
  <c r="N75" i="13"/>
  <c r="O77" i="13"/>
  <c r="W77" i="13"/>
  <c r="V75" i="13"/>
  <c r="P69" i="13"/>
  <c r="L67" i="13"/>
  <c r="L65" i="13"/>
  <c r="L63" i="13"/>
  <c r="K95" i="13"/>
  <c r="G65" i="13"/>
  <c r="E63" i="13"/>
  <c r="L83" i="13"/>
  <c r="V81" i="13"/>
  <c r="R93" i="13"/>
  <c r="U63" i="13"/>
  <c r="H65" i="13"/>
  <c r="V67" i="13"/>
  <c r="S71" i="13"/>
  <c r="Q89" i="13"/>
  <c r="F91" i="13"/>
  <c r="W67" i="13"/>
  <c r="I95" i="13"/>
  <c r="D71" i="13"/>
  <c r="T71" i="13"/>
  <c r="U75" i="13"/>
  <c r="W75" i="13"/>
  <c r="R71" i="13"/>
  <c r="M67" i="13"/>
  <c r="M65" i="13"/>
  <c r="N63" i="13"/>
  <c r="L95" i="13"/>
  <c r="G93" i="13"/>
  <c r="F63" i="13"/>
  <c r="E95" i="13"/>
  <c r="J81" i="13"/>
  <c r="H75" i="13"/>
  <c r="S89" i="13"/>
  <c r="Q91" i="13"/>
  <c r="K71" i="13"/>
  <c r="I91" i="13"/>
  <c r="P67" i="13"/>
  <c r="O67" i="13"/>
  <c r="J71" i="13"/>
  <c r="S69" i="13"/>
  <c r="N67" i="13"/>
  <c r="P63" i="13"/>
  <c r="R95" i="13"/>
  <c r="J93" i="13"/>
  <c r="E91" i="13"/>
  <c r="J95" i="13"/>
  <c r="E93" i="13"/>
  <c r="S91" i="13"/>
  <c r="E77" i="13"/>
  <c r="E87" i="13"/>
  <c r="L69" i="13"/>
  <c r="K79" i="13"/>
  <c r="F71" i="13"/>
  <c r="I87" i="13"/>
  <c r="N95" i="13"/>
  <c r="E65" i="13"/>
  <c r="D65" i="13"/>
  <c r="U67" i="13"/>
  <c r="P65" i="13"/>
  <c r="Q63" i="13"/>
  <c r="M93" i="13"/>
  <c r="K91" i="13"/>
  <c r="F89" i="13"/>
  <c r="W87" i="13"/>
  <c r="W91" i="13"/>
  <c r="V89" i="13"/>
  <c r="O87" i="13"/>
  <c r="W71" i="13"/>
  <c r="G75" i="13"/>
  <c r="K93" i="13"/>
  <c r="K65" i="13"/>
  <c r="E71" i="13"/>
  <c r="C61" i="24"/>
  <c r="C17" i="24"/>
  <c r="C49" i="24" s="1"/>
  <c r="E17" i="24"/>
  <c r="E85" i="24" s="1"/>
  <c r="E17" i="15"/>
  <c r="F6" i="15"/>
  <c r="E19" i="15"/>
  <c r="B19" i="21"/>
  <c r="B33" i="21" s="1"/>
  <c r="B35" i="21" s="1"/>
  <c r="G30" i="11"/>
  <c r="H29" i="8"/>
  <c r="C73" i="24" l="1"/>
  <c r="D23" i="23"/>
  <c r="D24" i="23" s="1"/>
  <c r="E22" i="23" s="1"/>
  <c r="D76" i="13"/>
  <c r="C23" i="13"/>
  <c r="B23" i="13"/>
  <c r="E73" i="24"/>
  <c r="S8" i="10"/>
  <c r="S26" i="4"/>
  <c r="D82" i="13"/>
  <c r="C26" i="13"/>
  <c r="B26" i="13"/>
  <c r="D30" i="9"/>
  <c r="D15" i="4"/>
  <c r="C13" i="7"/>
  <c r="D56" i="13"/>
  <c r="C9" i="13"/>
  <c r="B9" i="13"/>
  <c r="D58" i="13"/>
  <c r="C10" i="13"/>
  <c r="B10" i="13"/>
  <c r="T26" i="4"/>
  <c r="T8" i="10"/>
  <c r="D64" i="13"/>
  <c r="C15" i="13"/>
  <c r="B15" i="13"/>
  <c r="R8" i="10"/>
  <c r="R26" i="4"/>
  <c r="E49" i="24"/>
  <c r="E61" i="24"/>
  <c r="D92" i="13"/>
  <c r="C33" i="13"/>
  <c r="B33" i="13"/>
  <c r="E8" i="10"/>
  <c r="E26" i="4"/>
  <c r="D54" i="13"/>
  <c r="C8" i="13"/>
  <c r="B8" i="13"/>
  <c r="D72" i="13"/>
  <c r="C19" i="13"/>
  <c r="B19" i="13"/>
  <c r="D70" i="13"/>
  <c r="C18" i="13"/>
  <c r="B18" i="13"/>
  <c r="U8" i="10"/>
  <c r="U26" i="4"/>
  <c r="L8" i="10"/>
  <c r="L26" i="4"/>
  <c r="F8" i="10"/>
  <c r="F26" i="4"/>
  <c r="D78" i="13"/>
  <c r="C24" i="13"/>
  <c r="B24" i="13"/>
  <c r="C85" i="24"/>
  <c r="D68" i="13"/>
  <c r="C17" i="13"/>
  <c r="B17" i="13"/>
  <c r="D90" i="13"/>
  <c r="C32" i="13"/>
  <c r="B32" i="13"/>
  <c r="D94" i="13"/>
  <c r="C34" i="13"/>
  <c r="B34" i="13"/>
  <c r="M8" i="10"/>
  <c r="M26" i="4"/>
  <c r="V26" i="4"/>
  <c r="V8" i="10"/>
  <c r="D52" i="13"/>
  <c r="C7" i="13"/>
  <c r="B7" i="13"/>
  <c r="H30" i="11"/>
  <c r="I29" i="8"/>
  <c r="T29" i="21"/>
  <c r="D29" i="21"/>
  <c r="S29" i="21"/>
  <c r="C29" i="21"/>
  <c r="R29" i="21"/>
  <c r="B29" i="21"/>
  <c r="Q29" i="21"/>
  <c r="L29" i="21"/>
  <c r="K29" i="21"/>
  <c r="J29" i="21"/>
  <c r="H29" i="21"/>
  <c r="G29" i="21"/>
  <c r="F29" i="21"/>
  <c r="U29" i="21"/>
  <c r="E29" i="21"/>
  <c r="P29" i="21"/>
  <c r="O29" i="21"/>
  <c r="N29" i="21"/>
  <c r="M29" i="21"/>
  <c r="I29" i="21"/>
  <c r="D80" i="13"/>
  <c r="C25" i="13"/>
  <c r="B25" i="13"/>
  <c r="D84" i="13"/>
  <c r="C27" i="13"/>
  <c r="B27" i="13"/>
  <c r="O26" i="4"/>
  <c r="O8" i="10"/>
  <c r="G8" i="10"/>
  <c r="G26" i="4"/>
  <c r="C30" i="9"/>
  <c r="C15" i="4"/>
  <c r="D96" i="13"/>
  <c r="C35" i="13"/>
  <c r="B35" i="13"/>
  <c r="N8" i="10"/>
  <c r="N26" i="4"/>
  <c r="H8" i="10"/>
  <c r="H26" i="4"/>
  <c r="I8" i="10"/>
  <c r="I26" i="4"/>
  <c r="D66" i="13"/>
  <c r="C16" i="13"/>
  <c r="B16" i="13"/>
  <c r="F12" i="15"/>
  <c r="F13" i="15" s="1"/>
  <c r="F7" i="15"/>
  <c r="F10" i="15" s="1"/>
  <c r="F9" i="15"/>
  <c r="J8" i="10"/>
  <c r="J26" i="4"/>
  <c r="G28" i="8"/>
  <c r="F29" i="11"/>
  <c r="D88" i="13"/>
  <c r="C31" i="13"/>
  <c r="B31" i="13"/>
  <c r="P8" i="10"/>
  <c r="P26" i="4"/>
  <c r="K8" i="10"/>
  <c r="K26" i="4"/>
  <c r="D60" i="13"/>
  <c r="C11" i="13"/>
  <c r="B11" i="13"/>
  <c r="Q8" i="10"/>
  <c r="Q26" i="4"/>
  <c r="F8" i="15" l="1"/>
  <c r="E23" i="23"/>
  <c r="E24" i="23" s="1"/>
  <c r="F22" i="23"/>
  <c r="E56" i="13"/>
  <c r="F56" i="13" s="1"/>
  <c r="G56" i="13" s="1"/>
  <c r="H56" i="13" s="1"/>
  <c r="I56" i="13" s="1"/>
  <c r="J56" i="13" s="1"/>
  <c r="K56" i="13" s="1"/>
  <c r="L56" i="13" s="1"/>
  <c r="M56" i="13" s="1"/>
  <c r="N56" i="13" s="1"/>
  <c r="O56" i="13" s="1"/>
  <c r="P56" i="13" s="1"/>
  <c r="Q56" i="13" s="1"/>
  <c r="R56" i="13" s="1"/>
  <c r="S56" i="13" s="1"/>
  <c r="T56" i="13" s="1"/>
  <c r="U56" i="13" s="1"/>
  <c r="V56" i="13" s="1"/>
  <c r="D9" i="13"/>
  <c r="K27" i="4"/>
  <c r="J6" i="8"/>
  <c r="J9" i="8" s="1"/>
  <c r="K10" i="10" s="1"/>
  <c r="K17" i="10" s="1"/>
  <c r="K28" i="4"/>
  <c r="J10" i="8" s="1"/>
  <c r="E70" i="13"/>
  <c r="F70" i="13" s="1"/>
  <c r="G70" i="13" s="1"/>
  <c r="H70" i="13" s="1"/>
  <c r="I70" i="13" s="1"/>
  <c r="J70" i="13" s="1"/>
  <c r="K70" i="13" s="1"/>
  <c r="L70" i="13" s="1"/>
  <c r="M70" i="13" s="1"/>
  <c r="N70" i="13" s="1"/>
  <c r="O70" i="13" s="1"/>
  <c r="P70" i="13" s="1"/>
  <c r="Q70" i="13" s="1"/>
  <c r="R70" i="13" s="1"/>
  <c r="S70" i="13" s="1"/>
  <c r="T70" i="13" s="1"/>
  <c r="U70" i="13" s="1"/>
  <c r="V70" i="13" s="1"/>
  <c r="D18" i="13"/>
  <c r="Q6" i="8"/>
  <c r="Q9" i="8" s="1"/>
  <c r="R10" i="10" s="1"/>
  <c r="R17" i="10" s="1"/>
  <c r="R27" i="4"/>
  <c r="R28" i="4" s="1"/>
  <c r="Q10" i="8" s="1"/>
  <c r="D31" i="9"/>
  <c r="D8" i="10"/>
  <c r="D26" i="4"/>
  <c r="K9" i="10"/>
  <c r="E64" i="13"/>
  <c r="F64" i="13" s="1"/>
  <c r="G64" i="13" s="1"/>
  <c r="H64" i="13" s="1"/>
  <c r="I64" i="13" s="1"/>
  <c r="J64" i="13" s="1"/>
  <c r="K64" i="13" s="1"/>
  <c r="L64" i="13" s="1"/>
  <c r="M64" i="13" s="1"/>
  <c r="N64" i="13" s="1"/>
  <c r="O64" i="13" s="1"/>
  <c r="P64" i="13" s="1"/>
  <c r="Q64" i="13" s="1"/>
  <c r="R64" i="13" s="1"/>
  <c r="S64" i="13" s="1"/>
  <c r="T64" i="13" s="1"/>
  <c r="U64" i="13" s="1"/>
  <c r="V64" i="13" s="1"/>
  <c r="D15" i="13"/>
  <c r="E82" i="13"/>
  <c r="F82" i="13" s="1"/>
  <c r="G82" i="13" s="1"/>
  <c r="H82" i="13" s="1"/>
  <c r="I82" i="13" s="1"/>
  <c r="J82" i="13" s="1"/>
  <c r="K82" i="13" s="1"/>
  <c r="L82" i="13" s="1"/>
  <c r="M82" i="13" s="1"/>
  <c r="N82" i="13" s="1"/>
  <c r="O82" i="13" s="1"/>
  <c r="P82" i="13" s="1"/>
  <c r="Q82" i="13" s="1"/>
  <c r="R82" i="13" s="1"/>
  <c r="S82" i="13" s="1"/>
  <c r="T82" i="13" s="1"/>
  <c r="U82" i="13" s="1"/>
  <c r="V82" i="13" s="1"/>
  <c r="D26" i="13"/>
  <c r="I30" i="11"/>
  <c r="J29" i="8"/>
  <c r="G27" i="4"/>
  <c r="G28" i="4" s="1"/>
  <c r="F10" i="8" s="1"/>
  <c r="F6" i="8"/>
  <c r="F9" i="8" s="1"/>
  <c r="G10" i="10" s="1"/>
  <c r="G17" i="10" s="1"/>
  <c r="S28" i="4"/>
  <c r="R10" i="8" s="1"/>
  <c r="S27" i="4"/>
  <c r="R6" i="8"/>
  <c r="R9" i="8" s="1"/>
  <c r="S10" i="10" s="1"/>
  <c r="S17" i="10" s="1"/>
  <c r="E90" i="13"/>
  <c r="F90" i="13" s="1"/>
  <c r="G90" i="13" s="1"/>
  <c r="H90" i="13" s="1"/>
  <c r="I90" i="13" s="1"/>
  <c r="J90" i="13" s="1"/>
  <c r="K90" i="13" s="1"/>
  <c r="L90" i="13" s="1"/>
  <c r="M90" i="13" s="1"/>
  <c r="N90" i="13" s="1"/>
  <c r="O90" i="13" s="1"/>
  <c r="P90" i="13" s="1"/>
  <c r="Q90" i="13" s="1"/>
  <c r="R90" i="13" s="1"/>
  <c r="S90" i="13" s="1"/>
  <c r="T90" i="13" s="1"/>
  <c r="U90" i="13" s="1"/>
  <c r="V90" i="13" s="1"/>
  <c r="E72" i="13"/>
  <c r="F72" i="13" s="1"/>
  <c r="G72" i="13" s="1"/>
  <c r="H72" i="13" s="1"/>
  <c r="I72" i="13" s="1"/>
  <c r="J72" i="13" s="1"/>
  <c r="K72" i="13" s="1"/>
  <c r="L72" i="13" s="1"/>
  <c r="M72" i="13" s="1"/>
  <c r="N72" i="13" s="1"/>
  <c r="O72" i="13" s="1"/>
  <c r="P72" i="13" s="1"/>
  <c r="Q72" i="13" s="1"/>
  <c r="R72" i="13" s="1"/>
  <c r="S72" i="13" s="1"/>
  <c r="T72" i="13" s="1"/>
  <c r="U72" i="13" s="1"/>
  <c r="V72" i="13" s="1"/>
  <c r="D19" i="13"/>
  <c r="F27" i="4"/>
  <c r="F28" i="4" s="1"/>
  <c r="E10" i="8" s="1"/>
  <c r="E6" i="8"/>
  <c r="E9" i="8" s="1"/>
  <c r="F10" i="10" s="1"/>
  <c r="F17" i="10" s="1"/>
  <c r="E54" i="13"/>
  <c r="F54" i="13" s="1"/>
  <c r="G54" i="13" s="1"/>
  <c r="H54" i="13" s="1"/>
  <c r="I54" i="13" s="1"/>
  <c r="J54" i="13" s="1"/>
  <c r="K54" i="13" s="1"/>
  <c r="L54" i="13" s="1"/>
  <c r="M54" i="13" s="1"/>
  <c r="N54" i="13" s="1"/>
  <c r="O54" i="13" s="1"/>
  <c r="P54" i="13" s="1"/>
  <c r="Q54" i="13" s="1"/>
  <c r="R54" i="13" s="1"/>
  <c r="S54" i="13" s="1"/>
  <c r="T54" i="13" s="1"/>
  <c r="U54" i="13" s="1"/>
  <c r="V54" i="13" s="1"/>
  <c r="D8" i="13"/>
  <c r="T27" i="4"/>
  <c r="T28" i="4" s="1"/>
  <c r="S10" i="8" s="1"/>
  <c r="S6" i="8"/>
  <c r="S9" i="8" s="1"/>
  <c r="T10" i="10" s="1"/>
  <c r="T17" i="10" s="1"/>
  <c r="E66" i="13"/>
  <c r="F66" i="13" s="1"/>
  <c r="G66" i="13" s="1"/>
  <c r="H66" i="13" s="1"/>
  <c r="I66" i="13" s="1"/>
  <c r="J66" i="13" s="1"/>
  <c r="K66" i="13" s="1"/>
  <c r="L66" i="13" s="1"/>
  <c r="M66" i="13" s="1"/>
  <c r="N66" i="13" s="1"/>
  <c r="O66" i="13" s="1"/>
  <c r="P66" i="13" s="1"/>
  <c r="Q66" i="13" s="1"/>
  <c r="R66" i="13" s="1"/>
  <c r="S66" i="13" s="1"/>
  <c r="T66" i="13" s="1"/>
  <c r="U66" i="13" s="1"/>
  <c r="V66" i="13" s="1"/>
  <c r="E68" i="13"/>
  <c r="F68" i="13" s="1"/>
  <c r="G68" i="13" s="1"/>
  <c r="H68" i="13" s="1"/>
  <c r="I68" i="13" s="1"/>
  <c r="J68" i="13" s="1"/>
  <c r="K68" i="13" s="1"/>
  <c r="L68" i="13" s="1"/>
  <c r="M68" i="13" s="1"/>
  <c r="N68" i="13" s="1"/>
  <c r="O68" i="13" s="1"/>
  <c r="P68" i="13" s="1"/>
  <c r="Q68" i="13" s="1"/>
  <c r="R68" i="13" s="1"/>
  <c r="S68" i="13" s="1"/>
  <c r="T68" i="13" s="1"/>
  <c r="U68" i="13" s="1"/>
  <c r="V68" i="13" s="1"/>
  <c r="D17" i="13"/>
  <c r="E28" i="4"/>
  <c r="D10" i="8" s="1"/>
  <c r="E27" i="4"/>
  <c r="D6" i="8"/>
  <c r="D9" i="8" s="1"/>
  <c r="E10" i="10" s="1"/>
  <c r="E17" i="10" s="1"/>
  <c r="E78" i="13"/>
  <c r="F78" i="13" s="1"/>
  <c r="G78" i="13" s="1"/>
  <c r="H78" i="13" s="1"/>
  <c r="I78" i="13" s="1"/>
  <c r="J78" i="13" s="1"/>
  <c r="K78" i="13" s="1"/>
  <c r="L78" i="13" s="1"/>
  <c r="M78" i="13" s="1"/>
  <c r="N78" i="13" s="1"/>
  <c r="O78" i="13" s="1"/>
  <c r="P78" i="13" s="1"/>
  <c r="Q78" i="13" s="1"/>
  <c r="R78" i="13" s="1"/>
  <c r="S78" i="13" s="1"/>
  <c r="T78" i="13" s="1"/>
  <c r="U78" i="13" s="1"/>
  <c r="V78" i="13" s="1"/>
  <c r="D24" i="13"/>
  <c r="K6" i="8"/>
  <c r="K9" i="8" s="1"/>
  <c r="L10" i="10" s="1"/>
  <c r="L17" i="10" s="1"/>
  <c r="L27" i="4"/>
  <c r="L28" i="4" s="1"/>
  <c r="K10" i="8" s="1"/>
  <c r="O9" i="10"/>
  <c r="E52" i="13"/>
  <c r="F52" i="13" s="1"/>
  <c r="G52" i="13" s="1"/>
  <c r="H52" i="13" s="1"/>
  <c r="I52" i="13" s="1"/>
  <c r="J52" i="13" s="1"/>
  <c r="K52" i="13" s="1"/>
  <c r="L52" i="13" s="1"/>
  <c r="M52" i="13" s="1"/>
  <c r="N52" i="13" s="1"/>
  <c r="O52" i="13" s="1"/>
  <c r="P52" i="13" s="1"/>
  <c r="Q52" i="13" s="1"/>
  <c r="R52" i="13" s="1"/>
  <c r="S52" i="13" s="1"/>
  <c r="T52" i="13" s="1"/>
  <c r="U52" i="13" s="1"/>
  <c r="V52" i="13" s="1"/>
  <c r="D7" i="13"/>
  <c r="C12" i="11"/>
  <c r="C19" i="9" s="1"/>
  <c r="C11" i="11"/>
  <c r="E84" i="13"/>
  <c r="F84" i="13" s="1"/>
  <c r="G84" i="13" s="1"/>
  <c r="H84" i="13" s="1"/>
  <c r="I84" i="13" s="1"/>
  <c r="J84" i="13" s="1"/>
  <c r="K84" i="13" s="1"/>
  <c r="L84" i="13" s="1"/>
  <c r="M84" i="13" s="1"/>
  <c r="N84" i="13" s="1"/>
  <c r="O84" i="13" s="1"/>
  <c r="P84" i="13" s="1"/>
  <c r="Q84" i="13" s="1"/>
  <c r="R84" i="13" s="1"/>
  <c r="S84" i="13" s="1"/>
  <c r="T84" i="13" s="1"/>
  <c r="U84" i="13" s="1"/>
  <c r="V84" i="13" s="1"/>
  <c r="D27" i="13"/>
  <c r="M6" i="8"/>
  <c r="M9" i="8" s="1"/>
  <c r="N10" i="10" s="1"/>
  <c r="N17" i="10" s="1"/>
  <c r="N27" i="4"/>
  <c r="N28" i="4" s="1"/>
  <c r="M10" i="8" s="1"/>
  <c r="O6" i="8"/>
  <c r="O9" i="8" s="1"/>
  <c r="P10" i="10" s="1"/>
  <c r="P17" i="10" s="1"/>
  <c r="P27" i="4"/>
  <c r="P28" i="4" s="1"/>
  <c r="O10" i="8" s="1"/>
  <c r="I27" i="4"/>
  <c r="H6" i="8"/>
  <c r="H9" i="8" s="1"/>
  <c r="I10" i="10" s="1"/>
  <c r="I17" i="10" s="1"/>
  <c r="I28" i="4"/>
  <c r="H10" i="8" s="1"/>
  <c r="I9" i="10"/>
  <c r="E88" i="13"/>
  <c r="F88" i="13" s="1"/>
  <c r="G88" i="13" s="1"/>
  <c r="H88" i="13" s="1"/>
  <c r="I88" i="13" s="1"/>
  <c r="J88" i="13" s="1"/>
  <c r="K88" i="13" s="1"/>
  <c r="L88" i="13" s="1"/>
  <c r="M88" i="13" s="1"/>
  <c r="N88" i="13" s="1"/>
  <c r="O88" i="13" s="1"/>
  <c r="P88" i="13" s="1"/>
  <c r="Q88" i="13" s="1"/>
  <c r="R88" i="13" s="1"/>
  <c r="S88" i="13" s="1"/>
  <c r="T88" i="13" s="1"/>
  <c r="U88" i="13" s="1"/>
  <c r="V88" i="13" s="1"/>
  <c r="H27" i="4"/>
  <c r="G6" i="8"/>
  <c r="G9" i="8" s="1"/>
  <c r="H10" i="10" s="1"/>
  <c r="H17" i="10" s="1"/>
  <c r="H28" i="4"/>
  <c r="G10" i="8" s="1"/>
  <c r="U6" i="8"/>
  <c r="U9" i="8" s="1"/>
  <c r="V10" i="10" s="1"/>
  <c r="V17" i="10" s="1"/>
  <c r="V27" i="4"/>
  <c r="V28" i="4" s="1"/>
  <c r="U10" i="8" s="1"/>
  <c r="P6" i="8"/>
  <c r="P9" i="8" s="1"/>
  <c r="Q10" i="10" s="1"/>
  <c r="Q17" i="10" s="1"/>
  <c r="Q27" i="4"/>
  <c r="Q28" i="4" s="1"/>
  <c r="P10" i="8" s="1"/>
  <c r="F11" i="15"/>
  <c r="F14" i="15" s="1"/>
  <c r="F15" i="15" s="1"/>
  <c r="F16" i="15" s="1"/>
  <c r="F18" i="15"/>
  <c r="Q9" i="10"/>
  <c r="E94" i="13"/>
  <c r="F94" i="13" s="1"/>
  <c r="G94" i="13" s="1"/>
  <c r="H94" i="13" s="1"/>
  <c r="I94" i="13" s="1"/>
  <c r="J94" i="13" s="1"/>
  <c r="K94" i="13" s="1"/>
  <c r="L94" i="13" s="1"/>
  <c r="M94" i="13" s="1"/>
  <c r="N94" i="13" s="1"/>
  <c r="O94" i="13" s="1"/>
  <c r="P94" i="13" s="1"/>
  <c r="Q94" i="13" s="1"/>
  <c r="R94" i="13" s="1"/>
  <c r="S94" i="13" s="1"/>
  <c r="T94" i="13" s="1"/>
  <c r="U94" i="13" s="1"/>
  <c r="V94" i="13" s="1"/>
  <c r="D34" i="13"/>
  <c r="E58" i="13"/>
  <c r="F58" i="13" s="1"/>
  <c r="G58" i="13" s="1"/>
  <c r="H58" i="13" s="1"/>
  <c r="I58" i="13" s="1"/>
  <c r="J58" i="13" s="1"/>
  <c r="K58" i="13" s="1"/>
  <c r="L58" i="13" s="1"/>
  <c r="M58" i="13" s="1"/>
  <c r="N58" i="13" s="1"/>
  <c r="O58" i="13" s="1"/>
  <c r="P58" i="13" s="1"/>
  <c r="Q58" i="13" s="1"/>
  <c r="R58" i="13" s="1"/>
  <c r="S58" i="13" s="1"/>
  <c r="T58" i="13" s="1"/>
  <c r="U58" i="13" s="1"/>
  <c r="V58" i="13" s="1"/>
  <c r="E76" i="13"/>
  <c r="F76" i="13" s="1"/>
  <c r="G76" i="13" s="1"/>
  <c r="H76" i="13" s="1"/>
  <c r="I76" i="13" s="1"/>
  <c r="J76" i="13" s="1"/>
  <c r="K76" i="13" s="1"/>
  <c r="L76" i="13" s="1"/>
  <c r="M76" i="13" s="1"/>
  <c r="N76" i="13" s="1"/>
  <c r="O76" i="13" s="1"/>
  <c r="P76" i="13" s="1"/>
  <c r="Q76" i="13" s="1"/>
  <c r="R76" i="13" s="1"/>
  <c r="S76" i="13" s="1"/>
  <c r="T76" i="13" s="1"/>
  <c r="U76" i="13" s="1"/>
  <c r="V76" i="13" s="1"/>
  <c r="D23" i="13"/>
  <c r="E60" i="13"/>
  <c r="F60" i="13" s="1"/>
  <c r="G60" i="13" s="1"/>
  <c r="H60" i="13" s="1"/>
  <c r="I60" i="13" s="1"/>
  <c r="J60" i="13" s="1"/>
  <c r="K60" i="13" s="1"/>
  <c r="L60" i="13" s="1"/>
  <c r="M60" i="13" s="1"/>
  <c r="N60" i="13" s="1"/>
  <c r="O60" i="13" s="1"/>
  <c r="P60" i="13" s="1"/>
  <c r="Q60" i="13" s="1"/>
  <c r="R60" i="13" s="1"/>
  <c r="S60" i="13" s="1"/>
  <c r="T60" i="13" s="1"/>
  <c r="U60" i="13" s="1"/>
  <c r="V60" i="13" s="1"/>
  <c r="D11" i="13"/>
  <c r="N6" i="8"/>
  <c r="N9" i="8" s="1"/>
  <c r="O10" i="10" s="1"/>
  <c r="O17" i="10" s="1"/>
  <c r="O27" i="4"/>
  <c r="O28" i="4" s="1"/>
  <c r="N10" i="8" s="1"/>
  <c r="J27" i="4"/>
  <c r="I6" i="8"/>
  <c r="I9" i="8" s="1"/>
  <c r="J10" i="10" s="1"/>
  <c r="J17" i="10" s="1"/>
  <c r="J28" i="4"/>
  <c r="I10" i="8" s="1"/>
  <c r="N9" i="10"/>
  <c r="E96" i="13"/>
  <c r="F96" i="13" s="1"/>
  <c r="G96" i="13" s="1"/>
  <c r="H96" i="13" s="1"/>
  <c r="I96" i="13" s="1"/>
  <c r="J96" i="13" s="1"/>
  <c r="K96" i="13" s="1"/>
  <c r="L96" i="13" s="1"/>
  <c r="M96" i="13" s="1"/>
  <c r="N96" i="13" s="1"/>
  <c r="O96" i="13" s="1"/>
  <c r="P96" i="13" s="1"/>
  <c r="Q96" i="13" s="1"/>
  <c r="R96" i="13" s="1"/>
  <c r="S96" i="13" s="1"/>
  <c r="T96" i="13" s="1"/>
  <c r="U96" i="13" s="1"/>
  <c r="V96" i="13" s="1"/>
  <c r="U27" i="4"/>
  <c r="U28" i="4" s="1"/>
  <c r="T10" i="8" s="1"/>
  <c r="T6" i="8"/>
  <c r="T9" i="8" s="1"/>
  <c r="U10" i="10" s="1"/>
  <c r="U17" i="10" s="1"/>
  <c r="E92" i="13"/>
  <c r="F92" i="13" s="1"/>
  <c r="G92" i="13" s="1"/>
  <c r="H92" i="13" s="1"/>
  <c r="I92" i="13" s="1"/>
  <c r="J92" i="13" s="1"/>
  <c r="K92" i="13" s="1"/>
  <c r="L92" i="13" s="1"/>
  <c r="M92" i="13" s="1"/>
  <c r="N92" i="13" s="1"/>
  <c r="O92" i="13" s="1"/>
  <c r="P92" i="13" s="1"/>
  <c r="Q92" i="13" s="1"/>
  <c r="R92" i="13" s="1"/>
  <c r="S92" i="13" s="1"/>
  <c r="T92" i="13" s="1"/>
  <c r="U92" i="13" s="1"/>
  <c r="V92" i="13" s="1"/>
  <c r="D33" i="13"/>
  <c r="V9" i="10"/>
  <c r="H28" i="8"/>
  <c r="G29" i="11"/>
  <c r="L6" i="8"/>
  <c r="L9" i="8" s="1"/>
  <c r="M10" i="10" s="1"/>
  <c r="M17" i="10" s="1"/>
  <c r="M27" i="4"/>
  <c r="M28" i="4" s="1"/>
  <c r="L10" i="8" s="1"/>
  <c r="E80" i="13"/>
  <c r="F80" i="13" s="1"/>
  <c r="G80" i="13" s="1"/>
  <c r="H80" i="13" s="1"/>
  <c r="I80" i="13" s="1"/>
  <c r="J80" i="13" s="1"/>
  <c r="K80" i="13" s="1"/>
  <c r="L80" i="13" s="1"/>
  <c r="M80" i="13" s="1"/>
  <c r="N80" i="13" s="1"/>
  <c r="O80" i="13" s="1"/>
  <c r="P80" i="13" s="1"/>
  <c r="Q80" i="13" s="1"/>
  <c r="R80" i="13" s="1"/>
  <c r="S80" i="13" s="1"/>
  <c r="T80" i="13" s="1"/>
  <c r="U80" i="13" s="1"/>
  <c r="V80" i="13" s="1"/>
  <c r="C31" i="9"/>
  <c r="C8" i="10"/>
  <c r="C26" i="4"/>
  <c r="E9" i="10" l="1"/>
  <c r="H9" i="10"/>
  <c r="R9" i="10"/>
  <c r="T21" i="8"/>
  <c r="T24" i="8" s="1"/>
  <c r="T13" i="8"/>
  <c r="E21" i="8"/>
  <c r="E24" i="8" s="1"/>
  <c r="E13" i="8"/>
  <c r="P21" i="8"/>
  <c r="P24" i="8" s="1"/>
  <c r="P13" i="8"/>
  <c r="K13" i="8"/>
  <c r="K21" i="8"/>
  <c r="K24" i="8" s="1"/>
  <c r="O13" i="8"/>
  <c r="O21" i="8"/>
  <c r="O24" i="8" s="1"/>
  <c r="F21" i="8"/>
  <c r="F24" i="8" s="1"/>
  <c r="F13" i="8"/>
  <c r="S21" i="8"/>
  <c r="S24" i="8" s="1"/>
  <c r="S13" i="8"/>
  <c r="Q21" i="8"/>
  <c r="Q24" i="8" s="1"/>
  <c r="Q13" i="8"/>
  <c r="F19" i="15"/>
  <c r="G6" i="15"/>
  <c r="F17" i="15"/>
  <c r="M13" i="8"/>
  <c r="M21" i="8"/>
  <c r="M24" i="8" s="1"/>
  <c r="U13" i="8"/>
  <c r="U21" i="8"/>
  <c r="U24" i="8" s="1"/>
  <c r="L13" i="8"/>
  <c r="L21" i="8"/>
  <c r="L24" i="8" s="1"/>
  <c r="N21" i="8"/>
  <c r="N24" i="8" s="1"/>
  <c r="N13" i="8"/>
  <c r="D27" i="4"/>
  <c r="D28" i="4" s="1"/>
  <c r="C10" i="8" s="1"/>
  <c r="C6" i="8"/>
  <c r="C9" i="8" s="1"/>
  <c r="D10" i="10" s="1"/>
  <c r="D17" i="10" s="1"/>
  <c r="C5" i="7"/>
  <c r="H21" i="8"/>
  <c r="H24" i="8" s="1"/>
  <c r="H13" i="8"/>
  <c r="D16" i="13"/>
  <c r="I13" i="8"/>
  <c r="I21" i="8"/>
  <c r="I24" i="8" s="1"/>
  <c r="J30" i="11"/>
  <c r="K29" i="8"/>
  <c r="L9" i="10"/>
  <c r="J13" i="8"/>
  <c r="J21" i="8"/>
  <c r="J24" i="8" s="1"/>
  <c r="J9" i="10"/>
  <c r="D25" i="13"/>
  <c r="G13" i="8"/>
  <c r="G21" i="8"/>
  <c r="G24" i="8" s="1"/>
  <c r="S9" i="10"/>
  <c r="H29" i="11"/>
  <c r="I28" i="8"/>
  <c r="D21" i="8"/>
  <c r="D24" i="8" s="1"/>
  <c r="D13" i="8"/>
  <c r="R21" i="8"/>
  <c r="R24" i="8" s="1"/>
  <c r="R13" i="8"/>
  <c r="T9" i="10"/>
  <c r="U9" i="10"/>
  <c r="F9" i="10"/>
  <c r="F23" i="23"/>
  <c r="F24" i="23" s="1"/>
  <c r="G22" i="23" s="1"/>
  <c r="P9" i="10"/>
  <c r="B8" i="11"/>
  <c r="C27" i="4"/>
  <c r="C28" i="4" s="1"/>
  <c r="B6" i="8"/>
  <c r="D35" i="13"/>
  <c r="D10" i="13"/>
  <c r="D31" i="13"/>
  <c r="M9" i="10"/>
  <c r="D32" i="13"/>
  <c r="G9" i="10"/>
  <c r="B18" i="9" l="1"/>
  <c r="B10" i="8"/>
  <c r="C21" i="8"/>
  <c r="C24" i="8" s="1"/>
  <c r="C13" i="8"/>
  <c r="G23" i="23"/>
  <c r="G24" i="23" s="1"/>
  <c r="H22" i="23" s="1"/>
  <c r="B9" i="9"/>
  <c r="B9" i="8"/>
  <c r="Q15" i="8"/>
  <c r="R44" i="10" s="1"/>
  <c r="R12" i="10"/>
  <c r="S15" i="8"/>
  <c r="T44" i="10" s="1"/>
  <c r="T12" i="10"/>
  <c r="H12" i="10"/>
  <c r="G15" i="8"/>
  <c r="H44" i="10" s="1"/>
  <c r="S25" i="11"/>
  <c r="T41" i="11" s="1"/>
  <c r="S16" i="8"/>
  <c r="N15" i="8"/>
  <c r="O44" i="10" s="1"/>
  <c r="O12" i="10"/>
  <c r="L25" i="11"/>
  <c r="L16" i="8"/>
  <c r="K30" i="11"/>
  <c r="L29" i="8"/>
  <c r="K15" i="8"/>
  <c r="L44" i="10" s="1"/>
  <c r="L12" i="10"/>
  <c r="G25" i="11"/>
  <c r="G16" i="8"/>
  <c r="C12" i="7"/>
  <c r="C7" i="7"/>
  <c r="C11" i="7" s="1"/>
  <c r="F5" i="7"/>
  <c r="G12" i="10"/>
  <c r="F15" i="8"/>
  <c r="G44" i="10" s="1"/>
  <c r="J15" i="8"/>
  <c r="K44" i="10" s="1"/>
  <c r="K12" i="10"/>
  <c r="U25" i="11"/>
  <c r="V41" i="11" s="1"/>
  <c r="U16" i="8"/>
  <c r="R25" i="11"/>
  <c r="S41" i="11" s="1"/>
  <c r="R16" i="8"/>
  <c r="I16" i="8"/>
  <c r="I25" i="11"/>
  <c r="M16" i="8"/>
  <c r="M25" i="11"/>
  <c r="P16" i="8"/>
  <c r="P25" i="11"/>
  <c r="Q25" i="11"/>
  <c r="R41" i="11" s="1"/>
  <c r="Q16" i="8"/>
  <c r="J16" i="8"/>
  <c r="J25" i="11"/>
  <c r="U15" i="8"/>
  <c r="V44" i="10" s="1"/>
  <c r="V12" i="10"/>
  <c r="D15" i="8"/>
  <c r="E44" i="10" s="1"/>
  <c r="E12" i="10"/>
  <c r="J12" i="10"/>
  <c r="I15" i="8"/>
  <c r="J44" i="10" s="1"/>
  <c r="M15" i="8"/>
  <c r="N44" i="10" s="1"/>
  <c r="N12" i="10"/>
  <c r="E15" i="8"/>
  <c r="F44" i="10" s="1"/>
  <c r="F12" i="10"/>
  <c r="H25" i="11"/>
  <c r="H16" i="8"/>
  <c r="B9" i="11"/>
  <c r="B10" i="9" s="1"/>
  <c r="B10" i="11"/>
  <c r="B11" i="9" s="1"/>
  <c r="O16" i="8"/>
  <c r="O25" i="11"/>
  <c r="K16" i="8"/>
  <c r="K25" i="11"/>
  <c r="D25" i="11"/>
  <c r="D16" i="8"/>
  <c r="D9" i="10"/>
  <c r="E25" i="11"/>
  <c r="E16" i="8"/>
  <c r="N16" i="8"/>
  <c r="N25" i="11"/>
  <c r="L15" i="8"/>
  <c r="M44" i="10" s="1"/>
  <c r="M12" i="10"/>
  <c r="R15" i="8"/>
  <c r="S44" i="10" s="1"/>
  <c r="S12" i="10"/>
  <c r="I29" i="11"/>
  <c r="J28" i="8"/>
  <c r="G12" i="15"/>
  <c r="G13" i="15" s="1"/>
  <c r="G7" i="15"/>
  <c r="G10" i="15" s="1"/>
  <c r="G9" i="15"/>
  <c r="T15" i="8"/>
  <c r="U44" i="10" s="1"/>
  <c r="U12" i="10"/>
  <c r="F25" i="11"/>
  <c r="F16" i="8"/>
  <c r="O15" i="8"/>
  <c r="P44" i="10" s="1"/>
  <c r="P12" i="10"/>
  <c r="Q12" i="10"/>
  <c r="P15" i="8"/>
  <c r="Q44" i="10" s="1"/>
  <c r="I12" i="10"/>
  <c r="H15" i="8"/>
  <c r="I44" i="10" s="1"/>
  <c r="T25" i="11"/>
  <c r="U41" i="11" s="1"/>
  <c r="T16" i="8"/>
  <c r="D14" i="11" l="1"/>
  <c r="D15" i="11"/>
  <c r="D21" i="9" s="1"/>
  <c r="E34" i="24"/>
  <c r="D34" i="24"/>
  <c r="C34" i="24"/>
  <c r="K19" i="22"/>
  <c r="L23" i="22" s="1"/>
  <c r="L25" i="22" s="1"/>
  <c r="K28" i="21"/>
  <c r="K30" i="21" s="1"/>
  <c r="L38" i="21" s="1"/>
  <c r="K21" i="23"/>
  <c r="L6" i="12"/>
  <c r="K18" i="8"/>
  <c r="E42" i="24"/>
  <c r="U91" i="24" s="1"/>
  <c r="D42" i="24"/>
  <c r="U90" i="24" s="1"/>
  <c r="C42" i="24"/>
  <c r="U89" i="24" s="1"/>
  <c r="S19" i="22"/>
  <c r="T23" i="22" s="1"/>
  <c r="T25" i="22" s="1"/>
  <c r="S28" i="21"/>
  <c r="S30" i="21" s="1"/>
  <c r="T38" i="21" s="1"/>
  <c r="S21" i="23"/>
  <c r="T6" i="12"/>
  <c r="S18" i="8"/>
  <c r="J29" i="11"/>
  <c r="K28" i="8"/>
  <c r="O19" i="22"/>
  <c r="P23" i="22" s="1"/>
  <c r="P25" i="22" s="1"/>
  <c r="O28" i="21"/>
  <c r="O30" i="21" s="1"/>
  <c r="P38" i="21" s="1"/>
  <c r="O21" i="23"/>
  <c r="E38" i="24"/>
  <c r="D38" i="24"/>
  <c r="C38" i="24"/>
  <c r="P6" i="12"/>
  <c r="O18" i="8"/>
  <c r="E33" i="24"/>
  <c r="J19" i="22"/>
  <c r="K23" i="22" s="1"/>
  <c r="K25" i="22" s="1"/>
  <c r="J28" i="21"/>
  <c r="J30" i="21" s="1"/>
  <c r="K38" i="21" s="1"/>
  <c r="J21" i="23"/>
  <c r="D33" i="24"/>
  <c r="C33" i="24"/>
  <c r="K6" i="12"/>
  <c r="J18" i="8"/>
  <c r="G42" i="10"/>
  <c r="G45" i="10" s="1"/>
  <c r="G18" i="10"/>
  <c r="G59" i="10"/>
  <c r="G13" i="10"/>
  <c r="G11" i="10"/>
  <c r="P41" i="11"/>
  <c r="P38" i="11"/>
  <c r="C40" i="24"/>
  <c r="S89" i="24" s="1"/>
  <c r="Q21" i="23"/>
  <c r="E40" i="24"/>
  <c r="S91" i="24" s="1"/>
  <c r="D40" i="24"/>
  <c r="S90" i="24" s="1"/>
  <c r="Q28" i="21"/>
  <c r="Q30" i="21" s="1"/>
  <c r="R38" i="21" s="1"/>
  <c r="Q19" i="22"/>
  <c r="R23" i="22" s="1"/>
  <c r="R25" i="22" s="1"/>
  <c r="R6" i="12"/>
  <c r="Q18" i="8"/>
  <c r="H42" i="10"/>
  <c r="H45" i="10" s="1"/>
  <c r="H18" i="10"/>
  <c r="H11" i="10"/>
  <c r="H59" i="10"/>
  <c r="H13" i="10"/>
  <c r="T42" i="10"/>
  <c r="T45" i="10" s="1"/>
  <c r="T13" i="10"/>
  <c r="T11" i="10"/>
  <c r="T18" i="10"/>
  <c r="K38" i="11"/>
  <c r="K41" i="11"/>
  <c r="K35" i="11"/>
  <c r="I38" i="11"/>
  <c r="I41" i="11"/>
  <c r="I35" i="11"/>
  <c r="E39" i="24"/>
  <c r="D39" i="24"/>
  <c r="C39" i="24"/>
  <c r="P28" i="21"/>
  <c r="P30" i="21" s="1"/>
  <c r="Q38" i="21" s="1"/>
  <c r="P21" i="23"/>
  <c r="P19" i="22"/>
  <c r="Q23" i="22" s="1"/>
  <c r="Q25" i="22" s="1"/>
  <c r="Q6" i="12"/>
  <c r="P18" i="8"/>
  <c r="G19" i="22"/>
  <c r="H23" i="22" s="1"/>
  <c r="H25" i="22" s="1"/>
  <c r="G28" i="21"/>
  <c r="G30" i="21" s="1"/>
  <c r="H38" i="21" s="1"/>
  <c r="G21" i="23"/>
  <c r="E30" i="24"/>
  <c r="D30" i="24"/>
  <c r="C30" i="24"/>
  <c r="H6" i="12"/>
  <c r="G18" i="8"/>
  <c r="R13" i="10"/>
  <c r="R11" i="10"/>
  <c r="R42" i="10"/>
  <c r="R45" i="10" s="1"/>
  <c r="R18" i="10"/>
  <c r="P13" i="10"/>
  <c r="P11" i="10"/>
  <c r="P42" i="10"/>
  <c r="P45" i="10" s="1"/>
  <c r="P18" i="10"/>
  <c r="F42" i="10"/>
  <c r="F45" i="10" s="1"/>
  <c r="F18" i="10"/>
  <c r="F11" i="10"/>
  <c r="F13" i="10"/>
  <c r="N38" i="11"/>
  <c r="N41" i="11"/>
  <c r="H38" i="11"/>
  <c r="H41" i="11"/>
  <c r="H35" i="11"/>
  <c r="I42" i="10"/>
  <c r="I45" i="10" s="1"/>
  <c r="I18" i="10"/>
  <c r="I11" i="10"/>
  <c r="I59" i="10"/>
  <c r="I13" i="10"/>
  <c r="O41" i="11"/>
  <c r="O38" i="11"/>
  <c r="E36" i="24"/>
  <c r="M19" i="22"/>
  <c r="N23" i="22" s="1"/>
  <c r="N25" i="22" s="1"/>
  <c r="C36" i="24"/>
  <c r="M21" i="23"/>
  <c r="M28" i="21"/>
  <c r="M30" i="21" s="1"/>
  <c r="N38" i="21" s="1"/>
  <c r="D36" i="24"/>
  <c r="N6" i="12"/>
  <c r="M18" i="8"/>
  <c r="L18" i="10"/>
  <c r="L11" i="10"/>
  <c r="L13" i="10"/>
  <c r="L42" i="10"/>
  <c r="L45" i="10" s="1"/>
  <c r="B36" i="20"/>
  <c r="B38" i="20" s="1"/>
  <c r="B39" i="20" s="1"/>
  <c r="C10" i="10"/>
  <c r="E9" i="9"/>
  <c r="F8" i="11"/>
  <c r="D37" i="24"/>
  <c r="C37" i="24"/>
  <c r="N19" i="22"/>
  <c r="O23" i="22" s="1"/>
  <c r="O25" i="22" s="1"/>
  <c r="N28" i="21"/>
  <c r="N30" i="21" s="1"/>
  <c r="O38" i="21" s="1"/>
  <c r="N21" i="23"/>
  <c r="E37" i="24"/>
  <c r="O6" i="12"/>
  <c r="N18" i="8"/>
  <c r="N18" i="10"/>
  <c r="N11" i="10"/>
  <c r="N13" i="10"/>
  <c r="N42" i="10"/>
  <c r="N45" i="10" s="1"/>
  <c r="J38" i="11"/>
  <c r="J41" i="11"/>
  <c r="J35" i="11"/>
  <c r="S13" i="10"/>
  <c r="S42" i="10"/>
  <c r="S45" i="10" s="1"/>
  <c r="S11" i="10"/>
  <c r="S18" i="10"/>
  <c r="H28" i="21"/>
  <c r="H30" i="21" s="1"/>
  <c r="I38" i="21" s="1"/>
  <c r="H21" i="23"/>
  <c r="E31" i="24"/>
  <c r="D31" i="24"/>
  <c r="H19" i="22"/>
  <c r="I23" i="22" s="1"/>
  <c r="I25" i="22" s="1"/>
  <c r="C31" i="24"/>
  <c r="I6" i="12"/>
  <c r="H18" i="8"/>
  <c r="D29" i="24"/>
  <c r="C29" i="24"/>
  <c r="F19" i="22"/>
  <c r="G23" i="22" s="1"/>
  <c r="G25" i="22" s="1"/>
  <c r="F28" i="21"/>
  <c r="F30" i="21" s="1"/>
  <c r="G38" i="21" s="1"/>
  <c r="F21" i="23"/>
  <c r="E29" i="24"/>
  <c r="G6" i="12"/>
  <c r="F18" i="8"/>
  <c r="G35" i="11"/>
  <c r="G38" i="11"/>
  <c r="G41" i="11"/>
  <c r="G32" i="11"/>
  <c r="E28" i="24"/>
  <c r="E19" i="22"/>
  <c r="F23" i="22" s="1"/>
  <c r="F25" i="22" s="1"/>
  <c r="D28" i="24"/>
  <c r="E28" i="21"/>
  <c r="E30" i="21" s="1"/>
  <c r="F38" i="21" s="1"/>
  <c r="E21" i="23"/>
  <c r="C28" i="24"/>
  <c r="F6" i="12"/>
  <c r="E18" i="8"/>
  <c r="I21" i="23"/>
  <c r="C32" i="24"/>
  <c r="I19" i="22"/>
  <c r="J23" i="22" s="1"/>
  <c r="J25" i="22" s="1"/>
  <c r="I28" i="21"/>
  <c r="I30" i="21" s="1"/>
  <c r="J38" i="21" s="1"/>
  <c r="E32" i="24"/>
  <c r="D32" i="24"/>
  <c r="I18" i="8"/>
  <c r="J6" i="12"/>
  <c r="L30" i="11"/>
  <c r="M29" i="8"/>
  <c r="H23" i="23"/>
  <c r="H24" i="23" s="1"/>
  <c r="I22" i="23"/>
  <c r="M11" i="10"/>
  <c r="M13" i="10"/>
  <c r="M18" i="10"/>
  <c r="M42" i="10"/>
  <c r="M45" i="10" s="1"/>
  <c r="U42" i="10"/>
  <c r="U45" i="10" s="1"/>
  <c r="U13" i="10"/>
  <c r="U11" i="10"/>
  <c r="U18" i="10"/>
  <c r="F41" i="11"/>
  <c r="F38" i="11"/>
  <c r="F35" i="11"/>
  <c r="F32" i="11"/>
  <c r="D41" i="24"/>
  <c r="T90" i="24" s="1"/>
  <c r="C41" i="24"/>
  <c r="T89" i="24" s="1"/>
  <c r="R28" i="21"/>
  <c r="R30" i="21" s="1"/>
  <c r="S38" i="21" s="1"/>
  <c r="R19" i="22"/>
  <c r="S23" i="22" s="1"/>
  <c r="S25" i="22" s="1"/>
  <c r="E41" i="24"/>
  <c r="T91" i="24" s="1"/>
  <c r="R21" i="23"/>
  <c r="S6" i="12"/>
  <c r="R18" i="8"/>
  <c r="Q18" i="10"/>
  <c r="Q42" i="10"/>
  <c r="Q45" i="10" s="1"/>
  <c r="Q13" i="10"/>
  <c r="Q11" i="10"/>
  <c r="J42" i="10"/>
  <c r="J45" i="10" s="1"/>
  <c r="J18" i="10"/>
  <c r="J11" i="10"/>
  <c r="J13" i="10"/>
  <c r="L28" i="21"/>
  <c r="L30" i="21" s="1"/>
  <c r="M38" i="21" s="1"/>
  <c r="E35" i="24"/>
  <c r="L21" i="23"/>
  <c r="D35" i="24"/>
  <c r="C35" i="24"/>
  <c r="L19" i="22"/>
  <c r="M23" i="22" s="1"/>
  <c r="M25" i="22" s="1"/>
  <c r="M6" i="12"/>
  <c r="L18" i="8"/>
  <c r="C15" i="8"/>
  <c r="D44" i="10" s="1"/>
  <c r="D12" i="10"/>
  <c r="G8" i="15"/>
  <c r="D19" i="22"/>
  <c r="E23" i="22" s="1"/>
  <c r="E25" i="22" s="1"/>
  <c r="D21" i="23"/>
  <c r="D28" i="21"/>
  <c r="D30" i="21" s="1"/>
  <c r="E38" i="21" s="1"/>
  <c r="E27" i="24"/>
  <c r="D27" i="24"/>
  <c r="C27" i="24"/>
  <c r="E6" i="12"/>
  <c r="D18" i="8"/>
  <c r="E42" i="10"/>
  <c r="E45" i="10" s="1"/>
  <c r="E13" i="10"/>
  <c r="E18" i="10"/>
  <c r="E11" i="10"/>
  <c r="E44" i="24"/>
  <c r="E87" i="24" s="1"/>
  <c r="W91" i="24" s="1"/>
  <c r="U19" i="22"/>
  <c r="V23" i="22" s="1"/>
  <c r="V25" i="22" s="1"/>
  <c r="D44" i="24"/>
  <c r="D87" i="24" s="1"/>
  <c r="W90" i="24" s="1"/>
  <c r="U28" i="21"/>
  <c r="U30" i="21" s="1"/>
  <c r="V38" i="21" s="1"/>
  <c r="C44" i="24"/>
  <c r="C87" i="24" s="1"/>
  <c r="W89" i="24" s="1"/>
  <c r="U21" i="23"/>
  <c r="V6" i="12"/>
  <c r="U18" i="8"/>
  <c r="M41" i="11"/>
  <c r="M38" i="11"/>
  <c r="C25" i="11"/>
  <c r="C16" i="8"/>
  <c r="Q41" i="11"/>
  <c r="Q38" i="11"/>
  <c r="E41" i="11"/>
  <c r="E38" i="11"/>
  <c r="E35" i="11"/>
  <c r="E32" i="11"/>
  <c r="O18" i="10"/>
  <c r="O11" i="10"/>
  <c r="O13" i="10"/>
  <c r="O42" i="10"/>
  <c r="O45" i="10" s="1"/>
  <c r="B21" i="8"/>
  <c r="B24" i="8" s="1"/>
  <c r="B13" i="8"/>
  <c r="T19" i="22"/>
  <c r="U23" i="22" s="1"/>
  <c r="U25" i="22" s="1"/>
  <c r="E43" i="24"/>
  <c r="V91" i="24" s="1"/>
  <c r="D43" i="24"/>
  <c r="V90" i="24" s="1"/>
  <c r="T21" i="23"/>
  <c r="T28" i="21"/>
  <c r="T30" i="21" s="1"/>
  <c r="U38" i="21" s="1"/>
  <c r="C43" i="24"/>
  <c r="V89" i="24" s="1"/>
  <c r="U6" i="12"/>
  <c r="T18" i="8"/>
  <c r="G18" i="15"/>
  <c r="G11" i="15"/>
  <c r="G14" i="15" s="1"/>
  <c r="G15" i="15" s="1"/>
  <c r="G16" i="15" s="1"/>
  <c r="L41" i="11"/>
  <c r="L38" i="11"/>
  <c r="L35" i="11"/>
  <c r="V59" i="10"/>
  <c r="V42" i="10"/>
  <c r="V45" i="10" s="1"/>
  <c r="V18" i="10"/>
  <c r="V11" i="10"/>
  <c r="V13" i="10"/>
  <c r="K18" i="10"/>
  <c r="K42" i="10"/>
  <c r="K45" i="10" s="1"/>
  <c r="K11" i="10"/>
  <c r="K59" i="10"/>
  <c r="K13" i="10"/>
  <c r="H26" i="23" l="1"/>
  <c r="I31" i="23" s="1"/>
  <c r="I34" i="23" s="1"/>
  <c r="J26" i="23"/>
  <c r="K31" i="23" s="1"/>
  <c r="K34" i="23" s="1"/>
  <c r="S26" i="23"/>
  <c r="T31" i="23" s="1"/>
  <c r="T34" i="23" s="1"/>
  <c r="N26" i="23"/>
  <c r="O31" i="23" s="1"/>
  <c r="O34" i="23" s="1"/>
  <c r="G26" i="23"/>
  <c r="H31" i="23" s="1"/>
  <c r="H34" i="23" s="1"/>
  <c r="Q26" i="23"/>
  <c r="R31" i="23" s="1"/>
  <c r="R34" i="23" s="1"/>
  <c r="S59" i="10"/>
  <c r="R26" i="23"/>
  <c r="S31" i="23" s="1"/>
  <c r="S34" i="23" s="1"/>
  <c r="L31" i="23"/>
  <c r="L34" i="23" s="1"/>
  <c r="K26" i="23"/>
  <c r="F26" i="23"/>
  <c r="G31" i="23" s="1"/>
  <c r="G34" i="23" s="1"/>
  <c r="P26" i="23"/>
  <c r="Q31" i="23" s="1"/>
  <c r="Q34" i="23" s="1"/>
  <c r="O26" i="23"/>
  <c r="P31" i="23" s="1"/>
  <c r="P34" i="23" s="1"/>
  <c r="M26" i="23"/>
  <c r="N31" i="23" s="1"/>
  <c r="N34" i="23" s="1"/>
  <c r="L26" i="23"/>
  <c r="M31" i="23" s="1"/>
  <c r="M34" i="23" s="1"/>
  <c r="I26" i="23"/>
  <c r="J31" i="23" s="1"/>
  <c r="J34" i="23" s="1"/>
  <c r="U59" i="10"/>
  <c r="U31" i="23"/>
  <c r="U34" i="23" s="1"/>
  <c r="T26" i="23"/>
  <c r="J59" i="10"/>
  <c r="E26" i="23"/>
  <c r="F31" i="23" s="1"/>
  <c r="F34" i="23" s="1"/>
  <c r="U26" i="23"/>
  <c r="V31" i="23" s="1"/>
  <c r="D26" i="23"/>
  <c r="E31" i="23" s="1"/>
  <c r="E34" i="23" s="1"/>
  <c r="G19" i="15"/>
  <c r="G17" i="15"/>
  <c r="H6" i="15"/>
  <c r="K65" i="24"/>
  <c r="K89" i="24"/>
  <c r="K77" i="24"/>
  <c r="H79" i="24"/>
  <c r="H91" i="24"/>
  <c r="H67" i="24"/>
  <c r="E51" i="24"/>
  <c r="H55" i="24" s="1"/>
  <c r="I32" i="12"/>
  <c r="I38" i="12"/>
  <c r="I34" i="12"/>
  <c r="I39" i="12"/>
  <c r="I37" i="12"/>
  <c r="I33" i="12"/>
  <c r="H51" i="10"/>
  <c r="H9" i="12"/>
  <c r="H19" i="10" s="1"/>
  <c r="R51" i="10"/>
  <c r="S39" i="12"/>
  <c r="S34" i="12"/>
  <c r="R9" i="12"/>
  <c r="R19" i="10" s="1"/>
  <c r="L89" i="24"/>
  <c r="L65" i="24"/>
  <c r="L77" i="24"/>
  <c r="I89" i="24"/>
  <c r="I77" i="24"/>
  <c r="I65" i="24"/>
  <c r="B15" i="8"/>
  <c r="C44" i="10" s="1"/>
  <c r="C12" i="10"/>
  <c r="D41" i="11"/>
  <c r="D38" i="11"/>
  <c r="D35" i="11"/>
  <c r="D32" i="11"/>
  <c r="G37" i="12"/>
  <c r="G32" i="12"/>
  <c r="G36" i="12"/>
  <c r="G39" i="12"/>
  <c r="G34" i="12"/>
  <c r="G31" i="12"/>
  <c r="G33" i="12"/>
  <c r="G38" i="12"/>
  <c r="F51" i="10"/>
  <c r="F9" i="12"/>
  <c r="F19" i="10" s="1"/>
  <c r="F9" i="11"/>
  <c r="E10" i="9" s="1"/>
  <c r="F10" i="11"/>
  <c r="E11" i="9" s="1"/>
  <c r="O79" i="24"/>
  <c r="O91" i="24"/>
  <c r="I79" i="24"/>
  <c r="I91" i="24"/>
  <c r="I67" i="24"/>
  <c r="P78" i="24"/>
  <c r="P90" i="24"/>
  <c r="B25" i="11"/>
  <c r="B27" i="8"/>
  <c r="B16" i="8"/>
  <c r="F37" i="12"/>
  <c r="F31" i="12"/>
  <c r="F32" i="12"/>
  <c r="F38" i="12"/>
  <c r="F39" i="12"/>
  <c r="F34" i="12"/>
  <c r="F36" i="12"/>
  <c r="F30" i="12"/>
  <c r="F33" i="12"/>
  <c r="E51" i="10"/>
  <c r="E9" i="12"/>
  <c r="E19" i="10" s="1"/>
  <c r="F35" i="12"/>
  <c r="N79" i="24"/>
  <c r="N91" i="24"/>
  <c r="M59" i="10"/>
  <c r="G53" i="24"/>
  <c r="G89" i="24"/>
  <c r="G77" i="24"/>
  <c r="G65" i="24"/>
  <c r="C51" i="24"/>
  <c r="H53" i="24" s="1"/>
  <c r="H77" i="24"/>
  <c r="H65" i="24"/>
  <c r="H89" i="24"/>
  <c r="F59" i="10"/>
  <c r="E26" i="24"/>
  <c r="D26" i="24"/>
  <c r="C26" i="24"/>
  <c r="C19" i="22"/>
  <c r="D23" i="22" s="1"/>
  <c r="D25" i="22" s="1"/>
  <c r="C21" i="23"/>
  <c r="C28" i="21"/>
  <c r="C30" i="21" s="1"/>
  <c r="D38" i="21" s="1"/>
  <c r="D6" i="12"/>
  <c r="C18" i="8"/>
  <c r="F53" i="24"/>
  <c r="F89" i="24"/>
  <c r="F65" i="24"/>
  <c r="F77" i="24"/>
  <c r="F67" i="24"/>
  <c r="F91" i="24"/>
  <c r="F79" i="24"/>
  <c r="F55" i="24"/>
  <c r="G66" i="24"/>
  <c r="G90" i="24"/>
  <c r="G78" i="24"/>
  <c r="G54" i="24"/>
  <c r="Q34" i="12"/>
  <c r="Q39" i="12"/>
  <c r="Q33" i="12"/>
  <c r="Q38" i="12"/>
  <c r="P51" i="10"/>
  <c r="P9" i="12"/>
  <c r="P19" i="10" s="1"/>
  <c r="T34" i="12"/>
  <c r="S51" i="10"/>
  <c r="T39" i="12"/>
  <c r="S9" i="12"/>
  <c r="S19" i="10" s="1"/>
  <c r="M30" i="11"/>
  <c r="N29" i="8"/>
  <c r="J65" i="24"/>
  <c r="J89" i="24"/>
  <c r="J77" i="24"/>
  <c r="N59" i="10"/>
  <c r="R34" i="12"/>
  <c r="R39" i="12"/>
  <c r="Q51" i="10"/>
  <c r="R33" i="12"/>
  <c r="Q9" i="12"/>
  <c r="Q19" i="10" s="1"/>
  <c r="R38" i="12"/>
  <c r="Q77" i="24"/>
  <c r="Q89" i="24"/>
  <c r="O89" i="24"/>
  <c r="O77" i="24"/>
  <c r="U34" i="12"/>
  <c r="T51" i="10"/>
  <c r="U39" i="12"/>
  <c r="T9" i="12"/>
  <c r="T19" i="10" s="1"/>
  <c r="H66" i="24"/>
  <c r="H90" i="24"/>
  <c r="H78" i="24"/>
  <c r="D51" i="24"/>
  <c r="H54" i="24" s="1"/>
  <c r="G79" i="24"/>
  <c r="G91" i="24"/>
  <c r="G55" i="24"/>
  <c r="G67" i="24"/>
  <c r="L59" i="10"/>
  <c r="P59" i="10"/>
  <c r="T59" i="10"/>
  <c r="Q78" i="24"/>
  <c r="Q90" i="24"/>
  <c r="M38" i="12"/>
  <c r="M39" i="12"/>
  <c r="M33" i="12"/>
  <c r="L51" i="10"/>
  <c r="M32" i="12"/>
  <c r="M34" i="12"/>
  <c r="L9" i="12"/>
  <c r="L19" i="10" s="1"/>
  <c r="M37" i="12"/>
  <c r="C17" i="10"/>
  <c r="C9" i="10"/>
  <c r="W34" i="12"/>
  <c r="V51" i="10"/>
  <c r="V9" i="12"/>
  <c r="V19" i="10" s="1"/>
  <c r="W39" i="12"/>
  <c r="J39" i="12"/>
  <c r="J38" i="12"/>
  <c r="J33" i="12"/>
  <c r="J32" i="12"/>
  <c r="J37" i="12"/>
  <c r="I51" i="10"/>
  <c r="J34" i="12"/>
  <c r="I9" i="12"/>
  <c r="I19" i="10" s="1"/>
  <c r="K39" i="12"/>
  <c r="K38" i="12"/>
  <c r="K37" i="12"/>
  <c r="K33" i="12"/>
  <c r="K34" i="12"/>
  <c r="J51" i="10"/>
  <c r="K32" i="12"/>
  <c r="J9" i="12"/>
  <c r="J19" i="10" s="1"/>
  <c r="J90" i="24"/>
  <c r="J66" i="24"/>
  <c r="J78" i="24"/>
  <c r="Q79" i="24"/>
  <c r="Q91" i="24"/>
  <c r="P77" i="24"/>
  <c r="P89" i="24"/>
  <c r="E59" i="10"/>
  <c r="I23" i="23"/>
  <c r="I24" i="23" s="1"/>
  <c r="J22" i="23"/>
  <c r="J67" i="24"/>
  <c r="J91" i="24"/>
  <c r="J79" i="24"/>
  <c r="V39" i="12"/>
  <c r="V34" i="12"/>
  <c r="U51" i="10"/>
  <c r="U9" i="12"/>
  <c r="U19" i="10" s="1"/>
  <c r="D59" i="10"/>
  <c r="D42" i="10"/>
  <c r="D45" i="10" s="1"/>
  <c r="D13" i="10"/>
  <c r="D18" i="10"/>
  <c r="D11" i="10"/>
  <c r="K66" i="24"/>
  <c r="K90" i="24"/>
  <c r="K78" i="24"/>
  <c r="P39" i="12"/>
  <c r="P33" i="12"/>
  <c r="P34" i="12"/>
  <c r="P38" i="12"/>
  <c r="O51" i="10"/>
  <c r="O9" i="12"/>
  <c r="O19" i="10" s="1"/>
  <c r="C75" i="24"/>
  <c r="R77" i="24" s="1"/>
  <c r="R89" i="24"/>
  <c r="N89" i="24"/>
  <c r="N77" i="24"/>
  <c r="N78" i="24"/>
  <c r="N90" i="24"/>
  <c r="I66" i="24"/>
  <c r="I90" i="24"/>
  <c r="I78" i="24"/>
  <c r="L67" i="24"/>
  <c r="L91" i="24"/>
  <c r="L79" i="24"/>
  <c r="O59" i="10"/>
  <c r="K67" i="24"/>
  <c r="K91" i="24"/>
  <c r="K79" i="24"/>
  <c r="P79" i="24"/>
  <c r="P91" i="24"/>
  <c r="O39" i="12"/>
  <c r="O33" i="12"/>
  <c r="O34" i="12"/>
  <c r="N51" i="10"/>
  <c r="O38" i="12"/>
  <c r="N9" i="12"/>
  <c r="N19" i="10" s="1"/>
  <c r="D75" i="24"/>
  <c r="R78" i="24" s="1"/>
  <c r="R90" i="24"/>
  <c r="M89" i="24"/>
  <c r="M77" i="24"/>
  <c r="C63" i="24"/>
  <c r="M65" i="24" s="1"/>
  <c r="L66" i="24"/>
  <c r="L90" i="24"/>
  <c r="L78" i="24"/>
  <c r="F66" i="24"/>
  <c r="F54" i="24"/>
  <c r="F90" i="24"/>
  <c r="F78" i="24"/>
  <c r="B12" i="24"/>
  <c r="B57" i="20"/>
  <c r="B40" i="20"/>
  <c r="Q59" i="10"/>
  <c r="O78" i="24"/>
  <c r="O90" i="24"/>
  <c r="R59" i="10"/>
  <c r="R91" i="24"/>
  <c r="E75" i="24"/>
  <c r="R79" i="24" s="1"/>
  <c r="K29" i="11"/>
  <c r="L28" i="8"/>
  <c r="D63" i="24"/>
  <c r="M66" i="24" s="1"/>
  <c r="M90" i="24"/>
  <c r="M78" i="24"/>
  <c r="N38" i="12"/>
  <c r="N39" i="12"/>
  <c r="N33" i="12"/>
  <c r="N34" i="12"/>
  <c r="M51" i="10"/>
  <c r="M9" i="12"/>
  <c r="M19" i="10" s="1"/>
  <c r="H32" i="12"/>
  <c r="H38" i="12"/>
  <c r="H39" i="12"/>
  <c r="H34" i="12"/>
  <c r="H31" i="12"/>
  <c r="H37" i="12"/>
  <c r="H33" i="12"/>
  <c r="G51" i="10"/>
  <c r="G9" i="12"/>
  <c r="G19" i="10" s="1"/>
  <c r="H36" i="12"/>
  <c r="L38" i="12"/>
  <c r="L39" i="12"/>
  <c r="L33" i="12"/>
  <c r="L34" i="12"/>
  <c r="L32" i="12"/>
  <c r="K51" i="10"/>
  <c r="L37" i="12"/>
  <c r="K9" i="12"/>
  <c r="K19" i="10" s="1"/>
  <c r="E63" i="24"/>
  <c r="M67" i="24" s="1"/>
  <c r="M91" i="24"/>
  <c r="M79" i="24"/>
  <c r="C26" i="23" l="1"/>
  <c r="D31" i="23" s="1"/>
  <c r="D34" i="23" s="1"/>
  <c r="C13" i="10"/>
  <c r="C42" i="10"/>
  <c r="C18" i="10"/>
  <c r="C11" i="10"/>
  <c r="N30" i="11"/>
  <c r="O29" i="8"/>
  <c r="D25" i="24"/>
  <c r="C25" i="24"/>
  <c r="B19" i="22"/>
  <c r="B15" i="22"/>
  <c r="B21" i="23"/>
  <c r="B26" i="23" s="1"/>
  <c r="B28" i="21"/>
  <c r="B30" i="21" s="1"/>
  <c r="C38" i="21" s="1"/>
  <c r="E25" i="24"/>
  <c r="B17" i="8"/>
  <c r="B18" i="8"/>
  <c r="B19" i="8" s="1"/>
  <c r="C8" i="14"/>
  <c r="F12" i="3"/>
  <c r="F11" i="3"/>
  <c r="C6" i="12"/>
  <c r="E18" i="9"/>
  <c r="L29" i="11"/>
  <c r="M28" i="8"/>
  <c r="E34" i="12"/>
  <c r="E33" i="12"/>
  <c r="E37" i="12"/>
  <c r="E31" i="12"/>
  <c r="E32" i="12"/>
  <c r="E36" i="12"/>
  <c r="E38" i="12"/>
  <c r="D51" i="10"/>
  <c r="E39" i="12"/>
  <c r="E35" i="12"/>
  <c r="E30" i="12"/>
  <c r="D9" i="12"/>
  <c r="D19" i="10" s="1"/>
  <c r="B28" i="11"/>
  <c r="C27" i="8"/>
  <c r="C41" i="11"/>
  <c r="B22" i="11" s="1"/>
  <c r="C38" i="11"/>
  <c r="B19" i="11" s="1"/>
  <c r="B22" i="9" s="1"/>
  <c r="C35" i="11"/>
  <c r="B16" i="11" s="1"/>
  <c r="B20" i="9" s="1"/>
  <c r="C32" i="11"/>
  <c r="B13" i="11" s="1"/>
  <c r="B17" i="9" s="1"/>
  <c r="J23" i="23"/>
  <c r="J24" i="23" s="1"/>
  <c r="K22" i="23" s="1"/>
  <c r="E53" i="24"/>
  <c r="E89" i="24"/>
  <c r="E77" i="24"/>
  <c r="E65" i="24"/>
  <c r="H9" i="15"/>
  <c r="H12" i="15"/>
  <c r="H13" i="15" s="1"/>
  <c r="H7" i="15"/>
  <c r="H10" i="15" s="1"/>
  <c r="H8" i="15"/>
  <c r="C14" i="11"/>
  <c r="C15" i="11"/>
  <c r="C21" i="9" s="1"/>
  <c r="E78" i="24"/>
  <c r="E54" i="24"/>
  <c r="E90" i="24"/>
  <c r="E66" i="24"/>
  <c r="D18" i="24"/>
  <c r="D19" i="24" s="1"/>
  <c r="D20" i="24" s="1"/>
  <c r="C18" i="24"/>
  <c r="C19" i="24" s="1"/>
  <c r="C20" i="24" s="1"/>
  <c r="E18" i="24"/>
  <c r="E19" i="24" s="1"/>
  <c r="E20" i="24" s="1"/>
  <c r="E91" i="24"/>
  <c r="E67" i="24"/>
  <c r="E79" i="24"/>
  <c r="E55" i="24"/>
  <c r="K23" i="23" l="1"/>
  <c r="K24" i="23" s="1"/>
  <c r="L22" i="23" s="1"/>
  <c r="H18" i="15"/>
  <c r="H11" i="15"/>
  <c r="O30" i="11"/>
  <c r="P29" i="8"/>
  <c r="B31" i="21"/>
  <c r="C31" i="21" s="1"/>
  <c r="D31" i="21" s="1"/>
  <c r="E31" i="21" s="1"/>
  <c r="F31" i="21" s="1"/>
  <c r="G31" i="21" s="1"/>
  <c r="H31" i="21" s="1"/>
  <c r="I31" i="21" s="1"/>
  <c r="J31" i="21" s="1"/>
  <c r="K31" i="21" s="1"/>
  <c r="L31" i="21" s="1"/>
  <c r="M31" i="21" s="1"/>
  <c r="N31" i="21" s="1"/>
  <c r="O31" i="21" s="1"/>
  <c r="P31" i="21" s="1"/>
  <c r="Q31" i="21" s="1"/>
  <c r="R31" i="21" s="1"/>
  <c r="S31" i="21" s="1"/>
  <c r="T31" i="21" s="1"/>
  <c r="U31" i="21" s="1"/>
  <c r="B24" i="21"/>
  <c r="D91" i="24"/>
  <c r="E92" i="24" s="1"/>
  <c r="E104" i="24" s="1"/>
  <c r="E84" i="24"/>
  <c r="E93" i="24" s="1"/>
  <c r="E105" i="24" s="1"/>
  <c r="E72" i="24"/>
  <c r="E81" i="24" s="1"/>
  <c r="E103" i="24" s="1"/>
  <c r="D55" i="24"/>
  <c r="E56" i="24" s="1"/>
  <c r="E98" i="24" s="1"/>
  <c r="D67" i="24"/>
  <c r="E68" i="24" s="1"/>
  <c r="E100" i="24" s="1"/>
  <c r="D79" i="24"/>
  <c r="E80" i="24" s="1"/>
  <c r="E102" i="24" s="1"/>
  <c r="E48" i="24"/>
  <c r="E57" i="24" s="1"/>
  <c r="E99" i="24" s="1"/>
  <c r="E60" i="24"/>
  <c r="E69" i="24" s="1"/>
  <c r="E101" i="24" s="1"/>
  <c r="C31" i="23"/>
  <c r="B27" i="23"/>
  <c r="C27" i="23" s="1"/>
  <c r="D27" i="23" s="1"/>
  <c r="E27" i="23" s="1"/>
  <c r="F27" i="23" s="1"/>
  <c r="G27" i="23" s="1"/>
  <c r="H27" i="23" s="1"/>
  <c r="I27" i="23" s="1"/>
  <c r="J27" i="23" s="1"/>
  <c r="K27" i="23" s="1"/>
  <c r="L27" i="23" s="1"/>
  <c r="M27" i="23" s="1"/>
  <c r="N27" i="23" s="1"/>
  <c r="O27" i="23" s="1"/>
  <c r="P27" i="23" s="1"/>
  <c r="Q27" i="23" s="1"/>
  <c r="R27" i="23" s="1"/>
  <c r="S27" i="23" s="1"/>
  <c r="T27" i="23" s="1"/>
  <c r="U27" i="23" s="1"/>
  <c r="B30" i="23"/>
  <c r="B20" i="22"/>
  <c r="C20" i="22" s="1"/>
  <c r="D20" i="22" s="1"/>
  <c r="E20" i="22" s="1"/>
  <c r="F20" i="22" s="1"/>
  <c r="G20" i="22" s="1"/>
  <c r="H20" i="22" s="1"/>
  <c r="I20" i="22" s="1"/>
  <c r="J20" i="22" s="1"/>
  <c r="K20" i="22" s="1"/>
  <c r="L20" i="22" s="1"/>
  <c r="M20" i="22" s="1"/>
  <c r="N20" i="22" s="1"/>
  <c r="O20" i="22" s="1"/>
  <c r="P20" i="22" s="1"/>
  <c r="Q20" i="22" s="1"/>
  <c r="R20" i="22" s="1"/>
  <c r="S20" i="22" s="1"/>
  <c r="T20" i="22" s="1"/>
  <c r="U20" i="22" s="1"/>
  <c r="C23" i="22"/>
  <c r="C7" i="12"/>
  <c r="C17" i="8"/>
  <c r="D48" i="24"/>
  <c r="D57" i="24" s="1"/>
  <c r="D99" i="24" s="1"/>
  <c r="D90" i="24"/>
  <c r="D92" i="24" s="1"/>
  <c r="D104" i="24" s="1"/>
  <c r="D72" i="24"/>
  <c r="D81" i="24" s="1"/>
  <c r="D103" i="24" s="1"/>
  <c r="D60" i="24"/>
  <c r="D69" i="24" s="1"/>
  <c r="D101" i="24" s="1"/>
  <c r="D78" i="24"/>
  <c r="D80" i="24" s="1"/>
  <c r="D102" i="24" s="1"/>
  <c r="D54" i="24"/>
  <c r="D56" i="24" s="1"/>
  <c r="D98" i="24" s="1"/>
  <c r="D66" i="24"/>
  <c r="D68" i="24" s="1"/>
  <c r="D100" i="24" s="1"/>
  <c r="D84" i="24"/>
  <c r="D93" i="24" s="1"/>
  <c r="D105" i="24" s="1"/>
  <c r="D34" i="12"/>
  <c r="F17" i="12" s="1"/>
  <c r="D33" i="12"/>
  <c r="E17" i="12" s="1"/>
  <c r="D37" i="12"/>
  <c r="D18" i="12" s="1"/>
  <c r="D36" i="12"/>
  <c r="C18" i="12" s="1"/>
  <c r="D32" i="12"/>
  <c r="D17" i="12" s="1"/>
  <c r="C51" i="10"/>
  <c r="D31" i="12"/>
  <c r="C17" i="12" s="1"/>
  <c r="D39" i="12"/>
  <c r="F18" i="12" s="1"/>
  <c r="D35" i="12"/>
  <c r="B18" i="12" s="1"/>
  <c r="D30" i="12"/>
  <c r="B17" i="12" s="1"/>
  <c r="D38" i="12"/>
  <c r="E18" i="12" s="1"/>
  <c r="C9" i="12"/>
  <c r="C45" i="10"/>
  <c r="C46" i="10" s="1"/>
  <c r="C28" i="10"/>
  <c r="D28" i="10" s="1"/>
  <c r="E28" i="10" s="1"/>
  <c r="F28" i="10" s="1"/>
  <c r="G28" i="10" s="1"/>
  <c r="H28" i="10" s="1"/>
  <c r="I28" i="10" s="1"/>
  <c r="J28" i="10" s="1"/>
  <c r="K28" i="10" s="1"/>
  <c r="L28" i="10" s="1"/>
  <c r="M28" i="10" s="1"/>
  <c r="N28" i="10" s="1"/>
  <c r="O28" i="10" s="1"/>
  <c r="P28" i="10" s="1"/>
  <c r="Q28" i="10" s="1"/>
  <c r="R28" i="10" s="1"/>
  <c r="S28" i="10" s="1"/>
  <c r="T28" i="10" s="1"/>
  <c r="U28" i="10" s="1"/>
  <c r="V28" i="10" s="1"/>
  <c r="D65" i="24"/>
  <c r="C68" i="24" s="1"/>
  <c r="C100" i="24" s="1"/>
  <c r="C48" i="24"/>
  <c r="C57" i="24" s="1"/>
  <c r="C99" i="24" s="1"/>
  <c r="C84" i="24"/>
  <c r="C93" i="24" s="1"/>
  <c r="C105" i="24" s="1"/>
  <c r="C72" i="24"/>
  <c r="C81" i="24" s="1"/>
  <c r="C103" i="24" s="1"/>
  <c r="D77" i="24"/>
  <c r="C80" i="24" s="1"/>
  <c r="C102" i="24" s="1"/>
  <c r="C60" i="24"/>
  <c r="C69" i="24" s="1"/>
  <c r="C101" i="24" s="1"/>
  <c r="D53" i="24"/>
  <c r="C56" i="24" s="1"/>
  <c r="C98" i="24" s="1"/>
  <c r="D89" i="24"/>
  <c r="C92" i="24" s="1"/>
  <c r="C104" i="24" s="1"/>
  <c r="M29" i="11"/>
  <c r="N28" i="8"/>
  <c r="C28" i="11"/>
  <c r="D27" i="8"/>
  <c r="H14" i="15"/>
  <c r="H15" i="15" s="1"/>
  <c r="H16" i="15" s="1"/>
  <c r="C59" i="10"/>
  <c r="L23" i="23" l="1"/>
  <c r="L24" i="23" s="1"/>
  <c r="M22" i="23" s="1"/>
  <c r="C9" i="14"/>
  <c r="C19" i="10"/>
  <c r="D41" i="10"/>
  <c r="D46" i="10" s="1"/>
  <c r="C22" i="10"/>
  <c r="C24" i="10" s="1"/>
  <c r="C47" i="10"/>
  <c r="C58" i="10" s="1"/>
  <c r="H19" i="15"/>
  <c r="H17" i="15"/>
  <c r="I6" i="15"/>
  <c r="N29" i="11"/>
  <c r="O28" i="8"/>
  <c r="C12" i="12"/>
  <c r="C52" i="10"/>
  <c r="C54" i="10" s="1"/>
  <c r="C10" i="12"/>
  <c r="C53" i="10" s="1"/>
  <c r="C8" i="12"/>
  <c r="C36" i="10" s="1"/>
  <c r="B39" i="21"/>
  <c r="B41" i="21"/>
  <c r="B40" i="21"/>
  <c r="B17" i="14"/>
  <c r="F19" i="11"/>
  <c r="E22" i="9" s="1"/>
  <c r="F24" i="3"/>
  <c r="C25" i="22"/>
  <c r="B29" i="22"/>
  <c r="B30" i="22"/>
  <c r="Q29" i="8"/>
  <c r="P30" i="11"/>
  <c r="D28" i="11"/>
  <c r="E27" i="8"/>
  <c r="B16" i="14"/>
  <c r="F16" i="11"/>
  <c r="E20" i="9" s="1"/>
  <c r="F20" i="3"/>
  <c r="B15" i="14"/>
  <c r="C12" i="14"/>
  <c r="F13" i="11"/>
  <c r="E17" i="9" s="1"/>
  <c r="F16" i="3"/>
  <c r="C34" i="23"/>
  <c r="B39" i="23"/>
  <c r="B38" i="23"/>
  <c r="B18" i="14"/>
  <c r="F22" i="11"/>
  <c r="F28" i="3"/>
  <c r="D7" i="12"/>
  <c r="D17" i="8"/>
  <c r="D18" i="11" l="1"/>
  <c r="D23" i="9" s="1"/>
  <c r="D17" i="11"/>
  <c r="M23" i="23"/>
  <c r="M24" i="23" s="1"/>
  <c r="N22" i="23" s="1"/>
  <c r="E28" i="11"/>
  <c r="F27" i="8"/>
  <c r="C37" i="10"/>
  <c r="C13" i="12"/>
  <c r="C38" i="10" s="1"/>
  <c r="D12" i="12"/>
  <c r="D52" i="10"/>
  <c r="D54" i="10" s="1"/>
  <c r="D8" i="12"/>
  <c r="D36" i="10" s="1"/>
  <c r="D10" i="12"/>
  <c r="D53" i="10" s="1"/>
  <c r="R29" i="8"/>
  <c r="Q30" i="11"/>
  <c r="E7" i="12"/>
  <c r="E17" i="8"/>
  <c r="I12" i="15"/>
  <c r="I13" i="15" s="1"/>
  <c r="I7" i="15"/>
  <c r="I10" i="15" s="1"/>
  <c r="I8" i="15"/>
  <c r="I9" i="15"/>
  <c r="B28" i="22"/>
  <c r="B27" i="22"/>
  <c r="O29" i="11"/>
  <c r="P28" i="8"/>
  <c r="C30" i="10"/>
  <c r="D22" i="10"/>
  <c r="D24" i="10" s="1"/>
  <c r="E41" i="10"/>
  <c r="E46" i="10" s="1"/>
  <c r="D47" i="10"/>
  <c r="D58" i="10" s="1"/>
  <c r="N23" i="23" l="1"/>
  <c r="N24" i="23" s="1"/>
  <c r="O22" i="23" s="1"/>
  <c r="F7" i="12"/>
  <c r="F17" i="8"/>
  <c r="C29" i="10"/>
  <c r="C31" i="10"/>
  <c r="C32" i="10" s="1"/>
  <c r="C57" i="10" s="1"/>
  <c r="S29" i="8"/>
  <c r="R30" i="11"/>
  <c r="G27" i="8"/>
  <c r="F28" i="11"/>
  <c r="D30" i="10"/>
  <c r="D37" i="10"/>
  <c r="D13" i="12"/>
  <c r="D38" i="10" s="1"/>
  <c r="I11" i="15"/>
  <c r="I14" i="15" s="1"/>
  <c r="I15" i="15" s="1"/>
  <c r="I16" i="15" s="1"/>
  <c r="I18" i="15"/>
  <c r="E12" i="12"/>
  <c r="E52" i="10"/>
  <c r="E54" i="10" s="1"/>
  <c r="E10" i="12"/>
  <c r="E8" i="12"/>
  <c r="E36" i="10" s="1"/>
  <c r="E22" i="10"/>
  <c r="E24" i="10" s="1"/>
  <c r="F41" i="10"/>
  <c r="F46" i="10" s="1"/>
  <c r="E47" i="10"/>
  <c r="E58" i="10" s="1"/>
  <c r="P29" i="11"/>
  <c r="Q28" i="8"/>
  <c r="I19" i="15" l="1"/>
  <c r="J6" i="15"/>
  <c r="I17" i="15"/>
  <c r="D29" i="10"/>
  <c r="D31" i="10"/>
  <c r="D32" i="10" s="1"/>
  <c r="D57" i="10" s="1"/>
  <c r="G7" i="12"/>
  <c r="G17" i="8"/>
  <c r="B11" i="11"/>
  <c r="B12" i="11"/>
  <c r="B19" i="9" s="1"/>
  <c r="H27" i="8"/>
  <c r="G28" i="11"/>
  <c r="F12" i="12"/>
  <c r="F52" i="10"/>
  <c r="F54" i="10" s="1"/>
  <c r="F8" i="12"/>
  <c r="F36" i="10" s="1"/>
  <c r="F10" i="12"/>
  <c r="F53" i="10" s="1"/>
  <c r="G41" i="10"/>
  <c r="G46" i="10" s="1"/>
  <c r="F22" i="10"/>
  <c r="F24" i="10" s="1"/>
  <c r="E30" i="10"/>
  <c r="E53" i="10"/>
  <c r="B19" i="12"/>
  <c r="O23" i="23"/>
  <c r="O24" i="23" s="1"/>
  <c r="P22" i="23" s="1"/>
  <c r="Q29" i="11"/>
  <c r="R28" i="8"/>
  <c r="C18" i="11"/>
  <c r="C23" i="9" s="1"/>
  <c r="C17" i="11"/>
  <c r="S30" i="11"/>
  <c r="T29" i="8"/>
  <c r="E37" i="10"/>
  <c r="E13" i="12"/>
  <c r="P23" i="23" l="1"/>
  <c r="P24" i="23" s="1"/>
  <c r="Q22" i="23"/>
  <c r="R29" i="11"/>
  <c r="S28" i="8"/>
  <c r="G12" i="12"/>
  <c r="G52" i="10"/>
  <c r="G54" i="10" s="1"/>
  <c r="F14" i="3"/>
  <c r="G10" i="12"/>
  <c r="G8" i="12"/>
  <c r="G36" i="10" s="1"/>
  <c r="E29" i="10"/>
  <c r="E31" i="10"/>
  <c r="E32" i="10" s="1"/>
  <c r="E57" i="10" s="1"/>
  <c r="H7" i="12"/>
  <c r="C10" i="14" s="1" a="1"/>
  <c r="C10" i="14" s="1"/>
  <c r="H17" i="8"/>
  <c r="F30" i="10"/>
  <c r="F37" i="10"/>
  <c r="F13" i="12"/>
  <c r="F38" i="10" s="1"/>
  <c r="G22" i="10"/>
  <c r="G24" i="10" s="1"/>
  <c r="H41" i="10"/>
  <c r="H46" i="10" s="1"/>
  <c r="G47" i="10"/>
  <c r="G58" i="10" s="1"/>
  <c r="J12" i="15"/>
  <c r="J13" i="15" s="1"/>
  <c r="J9" i="15"/>
  <c r="J7" i="15"/>
  <c r="J10" i="15" s="1"/>
  <c r="T30" i="11"/>
  <c r="U29" i="8"/>
  <c r="U30" i="11" s="1"/>
  <c r="I27" i="8"/>
  <c r="H28" i="11"/>
  <c r="F47" i="10"/>
  <c r="F58" i="10" s="1"/>
  <c r="E38" i="10"/>
  <c r="B20" i="12"/>
  <c r="D21" i="11" l="1"/>
  <c r="D25" i="9" s="1"/>
  <c r="D20" i="11"/>
  <c r="F11" i="11"/>
  <c r="G53" i="10"/>
  <c r="C19" i="12"/>
  <c r="C11" i="14" s="1"/>
  <c r="S29" i="11"/>
  <c r="T28" i="8"/>
  <c r="F29" i="10"/>
  <c r="F31" i="10"/>
  <c r="F32" i="10" s="1"/>
  <c r="F57" i="10" s="1"/>
  <c r="I28" i="11"/>
  <c r="J27" i="8"/>
  <c r="J8" i="15"/>
  <c r="H12" i="12"/>
  <c r="H52" i="10"/>
  <c r="H54" i="10" s="1"/>
  <c r="H8" i="12"/>
  <c r="H36" i="10" s="1"/>
  <c r="H10" i="12"/>
  <c r="H53" i="10" s="1"/>
  <c r="J18" i="15"/>
  <c r="J11" i="15"/>
  <c r="D15" i="14"/>
  <c r="G37" i="10"/>
  <c r="F15" i="3"/>
  <c r="G13" i="12"/>
  <c r="Q23" i="23"/>
  <c r="Q24" i="23" s="1"/>
  <c r="R22" i="23" s="1"/>
  <c r="I7" i="12"/>
  <c r="I17" i="8"/>
  <c r="J14" i="15"/>
  <c r="J15" i="15" s="1"/>
  <c r="J16" i="15" s="1"/>
  <c r="I41" i="10"/>
  <c r="I46" i="10" s="1"/>
  <c r="H22" i="10"/>
  <c r="H24" i="10" s="1"/>
  <c r="G30" i="10"/>
  <c r="R23" i="23" l="1"/>
  <c r="R24" i="23" s="1"/>
  <c r="S22" i="23" s="1"/>
  <c r="H47" i="10"/>
  <c r="H58" i="10" s="1"/>
  <c r="H30" i="10"/>
  <c r="J41" i="10"/>
  <c r="J46" i="10" s="1"/>
  <c r="I22" i="10"/>
  <c r="I24" i="10" s="1"/>
  <c r="I47" i="10"/>
  <c r="I58" i="10" s="1"/>
  <c r="J28" i="11"/>
  <c r="K27" i="8"/>
  <c r="G38" i="10"/>
  <c r="F12" i="11"/>
  <c r="E19" i="9" s="1"/>
  <c r="C20" i="12"/>
  <c r="H37" i="10"/>
  <c r="H13" i="12"/>
  <c r="H38" i="10" s="1"/>
  <c r="J17" i="8"/>
  <c r="J7" i="12"/>
  <c r="I12" i="12"/>
  <c r="I52" i="10"/>
  <c r="I54" i="10" s="1"/>
  <c r="I10" i="12"/>
  <c r="I53" i="10" s="1"/>
  <c r="I8" i="12"/>
  <c r="I36" i="10" s="1"/>
  <c r="T29" i="11"/>
  <c r="U28" i="8"/>
  <c r="U29" i="11" s="1"/>
  <c r="G29" i="10"/>
  <c r="G31" i="10"/>
  <c r="G32" i="10" s="1"/>
  <c r="G57" i="10" s="1"/>
  <c r="J19" i="15"/>
  <c r="J17" i="15"/>
  <c r="K6" i="15"/>
  <c r="S23" i="23" l="1"/>
  <c r="S24" i="23" s="1"/>
  <c r="T22" i="23" s="1"/>
  <c r="K7" i="12"/>
  <c r="K17" i="8"/>
  <c r="K12" i="15"/>
  <c r="K13" i="15" s="1"/>
  <c r="K7" i="15"/>
  <c r="K10" i="15" s="1"/>
  <c r="K9" i="15"/>
  <c r="K28" i="11"/>
  <c r="L27" i="8"/>
  <c r="C20" i="11"/>
  <c r="C21" i="11"/>
  <c r="C25" i="9" s="1"/>
  <c r="H29" i="10"/>
  <c r="H31" i="10"/>
  <c r="H32" i="10" s="1"/>
  <c r="H57" i="10" s="1"/>
  <c r="C15" i="14"/>
  <c r="F17" i="3"/>
  <c r="I30" i="10"/>
  <c r="J22" i="10"/>
  <c r="J24" i="10" s="1"/>
  <c r="K41" i="10"/>
  <c r="K46" i="10" s="1"/>
  <c r="I37" i="10"/>
  <c r="I13" i="12"/>
  <c r="I38" i="10" s="1"/>
  <c r="J12" i="12"/>
  <c r="J52" i="10"/>
  <c r="J54" i="10" s="1"/>
  <c r="J10" i="12"/>
  <c r="J53" i="10" s="1"/>
  <c r="J8" i="12"/>
  <c r="J36" i="10" s="1"/>
  <c r="J47" i="10" l="1"/>
  <c r="J58" i="10" s="1"/>
  <c r="T23" i="23"/>
  <c r="T24" i="23" s="1"/>
  <c r="U22" i="23" s="1"/>
  <c r="B14" i="11"/>
  <c r="B15" i="11"/>
  <c r="B21" i="9" s="1"/>
  <c r="K11" i="15"/>
  <c r="K18" i="15"/>
  <c r="L41" i="10"/>
  <c r="L46" i="10" s="1"/>
  <c r="K22" i="10"/>
  <c r="K24" i="10" s="1"/>
  <c r="K14" i="15"/>
  <c r="K15" i="15" s="1"/>
  <c r="K16" i="15" s="1"/>
  <c r="J30" i="10"/>
  <c r="L28" i="11"/>
  <c r="M27" i="8"/>
  <c r="J37" i="10"/>
  <c r="J13" i="12"/>
  <c r="J38" i="10" s="1"/>
  <c r="K8" i="15"/>
  <c r="L17" i="8"/>
  <c r="L7" i="12"/>
  <c r="K12" i="12"/>
  <c r="K52" i="10"/>
  <c r="K54" i="10" s="1"/>
  <c r="K10" i="12"/>
  <c r="K53" i="10" s="1"/>
  <c r="K8" i="12"/>
  <c r="K36" i="10" s="1"/>
  <c r="I31" i="10"/>
  <c r="I32" i="10" s="1"/>
  <c r="I57" i="10" s="1"/>
  <c r="I29" i="10"/>
  <c r="K19" i="15" l="1"/>
  <c r="K17" i="15"/>
  <c r="L6" i="15"/>
  <c r="U23" i="23"/>
  <c r="U24" i="23" s="1"/>
  <c r="B32" i="23"/>
  <c r="B33" i="23" s="1"/>
  <c r="V34" i="23" s="1"/>
  <c r="K30" i="10"/>
  <c r="K47" i="10"/>
  <c r="K58" i="10" s="1"/>
  <c r="J29" i="10"/>
  <c r="J31" i="10"/>
  <c r="J32" i="10" s="1"/>
  <c r="J57" i="10" s="1"/>
  <c r="K37" i="10"/>
  <c r="K13" i="12"/>
  <c r="K38" i="10" s="1"/>
  <c r="L52" i="10"/>
  <c r="L54" i="10" s="1"/>
  <c r="L12" i="12"/>
  <c r="F18" i="3"/>
  <c r="L8" i="12"/>
  <c r="L36" i="10" s="1"/>
  <c r="L10" i="12"/>
  <c r="M28" i="11"/>
  <c r="N27" i="8"/>
  <c r="L22" i="10"/>
  <c r="L24" i="10" s="1"/>
  <c r="M41" i="10"/>
  <c r="M46" i="10" s="1"/>
  <c r="M17" i="8"/>
  <c r="M7" i="12"/>
  <c r="M52" i="10" l="1"/>
  <c r="M54" i="10" s="1"/>
  <c r="M12" i="12"/>
  <c r="M10" i="12"/>
  <c r="M53" i="10" s="1"/>
  <c r="M8" i="12"/>
  <c r="M36" i="10" s="1"/>
  <c r="B37" i="23"/>
  <c r="B36" i="23"/>
  <c r="D16" i="14"/>
  <c r="L37" i="10"/>
  <c r="F19" i="3"/>
  <c r="L13" i="12"/>
  <c r="N7" i="12"/>
  <c r="N17" i="8"/>
  <c r="K29" i="10"/>
  <c r="K31" i="10"/>
  <c r="K32" i="10" s="1"/>
  <c r="K57" i="10" s="1"/>
  <c r="M22" i="10"/>
  <c r="M24" i="10" s="1"/>
  <c r="N41" i="10"/>
  <c r="N46" i="10" s="1"/>
  <c r="L30" i="10"/>
  <c r="L47" i="10"/>
  <c r="L58" i="10" s="1"/>
  <c r="N28" i="11"/>
  <c r="O27" i="8"/>
  <c r="L12" i="15"/>
  <c r="L13" i="15" s="1"/>
  <c r="L9" i="15"/>
  <c r="L7" i="15"/>
  <c r="L10" i="15" s="1"/>
  <c r="F14" i="11"/>
  <c r="L53" i="10"/>
  <c r="D19" i="12"/>
  <c r="M47" i="10" l="1"/>
  <c r="M58" i="10" s="1"/>
  <c r="L8" i="15"/>
  <c r="L18" i="15"/>
  <c r="L11" i="15"/>
  <c r="L14" i="15"/>
  <c r="L15" i="15" s="1"/>
  <c r="L16" i="15" s="1"/>
  <c r="L29" i="10"/>
  <c r="L31" i="10"/>
  <c r="L32" i="10" s="1"/>
  <c r="L57" i="10" s="1"/>
  <c r="M30" i="10"/>
  <c r="O7" i="12"/>
  <c r="O17" i="8"/>
  <c r="N52" i="10"/>
  <c r="N54" i="10" s="1"/>
  <c r="N12" i="12"/>
  <c r="N10" i="12"/>
  <c r="N53" i="10" s="1"/>
  <c r="N8" i="12"/>
  <c r="N36" i="10" s="1"/>
  <c r="F15" i="11"/>
  <c r="E21" i="9" s="1"/>
  <c r="L38" i="10"/>
  <c r="D20" i="12"/>
  <c r="O28" i="11"/>
  <c r="P27" i="8"/>
  <c r="M37" i="10"/>
  <c r="M13" i="12"/>
  <c r="M38" i="10" s="1"/>
  <c r="O41" i="10"/>
  <c r="O46" i="10" s="1"/>
  <c r="N22" i="10"/>
  <c r="N24" i="10" s="1"/>
  <c r="C16" i="14" l="1"/>
  <c r="C13" i="14"/>
  <c r="F21" i="3"/>
  <c r="M29" i="10"/>
  <c r="M31" i="10"/>
  <c r="M32" i="10" s="1"/>
  <c r="M57" i="10" s="1"/>
  <c r="N37" i="10"/>
  <c r="N13" i="12"/>
  <c r="N38" i="10" s="1"/>
  <c r="L19" i="15"/>
  <c r="L17" i="15"/>
  <c r="M6" i="15"/>
  <c r="O52" i="10"/>
  <c r="O54" i="10" s="1"/>
  <c r="O12" i="12"/>
  <c r="O8" i="12"/>
  <c r="O36" i="10" s="1"/>
  <c r="O10" i="12"/>
  <c r="O53" i="10" s="1"/>
  <c r="P28" i="11"/>
  <c r="Q27" i="8"/>
  <c r="P7" i="12"/>
  <c r="P17" i="8"/>
  <c r="N30" i="10"/>
  <c r="O22" i="10"/>
  <c r="O24" i="10" s="1"/>
  <c r="P41" i="10"/>
  <c r="P46" i="10" s="1"/>
  <c r="N47" i="10"/>
  <c r="N58" i="10" s="1"/>
  <c r="Q28" i="11" l="1"/>
  <c r="R27" i="8"/>
  <c r="B18" i="11"/>
  <c r="B23" i="9" s="1"/>
  <c r="B17" i="11"/>
  <c r="P22" i="10"/>
  <c r="P24" i="10" s="1"/>
  <c r="Q41" i="10"/>
  <c r="Q46" i="10" s="1"/>
  <c r="Q7" i="12"/>
  <c r="Q17" i="8"/>
  <c r="O37" i="10"/>
  <c r="O13" i="12"/>
  <c r="O38" i="10" s="1"/>
  <c r="M9" i="15"/>
  <c r="M12" i="15"/>
  <c r="M13" i="15" s="1"/>
  <c r="M7" i="15"/>
  <c r="M10" i="15" s="1"/>
  <c r="O30" i="10"/>
  <c r="O47" i="10"/>
  <c r="O58" i="10" s="1"/>
  <c r="N29" i="10"/>
  <c r="N31" i="10"/>
  <c r="N32" i="10" s="1"/>
  <c r="N57" i="10" s="1"/>
  <c r="P12" i="12"/>
  <c r="P52" i="10"/>
  <c r="P54" i="10" s="1"/>
  <c r="P8" i="12"/>
  <c r="P36" i="10" s="1"/>
  <c r="P10" i="12"/>
  <c r="P53" i="10" s="1"/>
  <c r="M11" i="15" l="1"/>
  <c r="M18" i="15"/>
  <c r="Q22" i="10"/>
  <c r="Q24" i="10" s="1"/>
  <c r="R41" i="10"/>
  <c r="R46" i="10" s="1"/>
  <c r="M8" i="15"/>
  <c r="R7" i="12"/>
  <c r="R17" i="8"/>
  <c r="M14" i="15"/>
  <c r="M15" i="15" s="1"/>
  <c r="M16" i="15" s="1"/>
  <c r="Q12" i="12"/>
  <c r="Q52" i="10"/>
  <c r="Q54" i="10" s="1"/>
  <c r="F22" i="3"/>
  <c r="Q8" i="12"/>
  <c r="Q36" i="10" s="1"/>
  <c r="Q10" i="12"/>
  <c r="P30" i="10"/>
  <c r="P47" i="10"/>
  <c r="P58" i="10" s="1"/>
  <c r="R28" i="11"/>
  <c r="S27" i="8"/>
  <c r="P37" i="10"/>
  <c r="P13" i="12"/>
  <c r="P38" i="10" s="1"/>
  <c r="O29" i="10"/>
  <c r="O31" i="10"/>
  <c r="O32" i="10" s="1"/>
  <c r="O57" i="10" s="1"/>
  <c r="P29" i="10" l="1"/>
  <c r="P31" i="10"/>
  <c r="P32" i="10" s="1"/>
  <c r="P57" i="10" s="1"/>
  <c r="Q30" i="10"/>
  <c r="Q53" i="10"/>
  <c r="F17" i="11"/>
  <c r="E19" i="12"/>
  <c r="D17" i="14"/>
  <c r="Q37" i="10"/>
  <c r="F23" i="3"/>
  <c r="Q13" i="12"/>
  <c r="S7" i="12"/>
  <c r="S17" i="8"/>
  <c r="M17" i="15"/>
  <c r="M19" i="15"/>
  <c r="N6" i="15"/>
  <c r="R12" i="12"/>
  <c r="R52" i="10"/>
  <c r="R54" i="10" s="1"/>
  <c r="R8" i="12"/>
  <c r="R36" i="10" s="1"/>
  <c r="R10" i="12"/>
  <c r="R53" i="10" s="1"/>
  <c r="S41" i="10"/>
  <c r="S46" i="10" s="1"/>
  <c r="R22" i="10"/>
  <c r="R24" i="10" s="1"/>
  <c r="Q47" i="10"/>
  <c r="Q58" i="10" s="1"/>
  <c r="S28" i="11"/>
  <c r="T27" i="8"/>
  <c r="N9" i="15" l="1"/>
  <c r="N12" i="15"/>
  <c r="N13" i="15" s="1"/>
  <c r="N7" i="15"/>
  <c r="N10" i="15" s="1"/>
  <c r="T7" i="12"/>
  <c r="T17" i="8"/>
  <c r="R30" i="10"/>
  <c r="S12" i="12"/>
  <c r="S52" i="10"/>
  <c r="S54" i="10" s="1"/>
  <c r="S10" i="12"/>
  <c r="S53" i="10" s="1"/>
  <c r="S8" i="12"/>
  <c r="S36" i="10" s="1"/>
  <c r="T28" i="11"/>
  <c r="U27" i="8"/>
  <c r="U28" i="11" s="1"/>
  <c r="S47" i="10"/>
  <c r="S58" i="10" s="1"/>
  <c r="T41" i="10"/>
  <c r="T46" i="10" s="1"/>
  <c r="S22" i="10"/>
  <c r="S24" i="10" s="1"/>
  <c r="Q38" i="10"/>
  <c r="F18" i="11"/>
  <c r="E23" i="9" s="1"/>
  <c r="E20" i="12"/>
  <c r="R47" i="10"/>
  <c r="R58" i="10" s="1"/>
  <c r="Q29" i="10"/>
  <c r="Q31" i="10"/>
  <c r="Q32" i="10" s="1"/>
  <c r="Q57" i="10" s="1"/>
  <c r="R37" i="10"/>
  <c r="R13" i="12"/>
  <c r="R38" i="10" s="1"/>
  <c r="B20" i="11" l="1"/>
  <c r="B21" i="11"/>
  <c r="B25" i="9" s="1"/>
  <c r="R29" i="10"/>
  <c r="R31" i="10"/>
  <c r="R32" i="10" s="1"/>
  <c r="R57" i="10" s="1"/>
  <c r="C17" i="14"/>
  <c r="F25" i="3"/>
  <c r="U7" i="12"/>
  <c r="U17" i="8"/>
  <c r="S30" i="10"/>
  <c r="S37" i="10"/>
  <c r="S13" i="12"/>
  <c r="S38" i="10" s="1"/>
  <c r="T12" i="12"/>
  <c r="T52" i="10"/>
  <c r="T54" i="10" s="1"/>
  <c r="T10" i="12"/>
  <c r="T53" i="10" s="1"/>
  <c r="T8" i="12"/>
  <c r="T36" i="10" s="1"/>
  <c r="N8" i="15"/>
  <c r="T22" i="10"/>
  <c r="T24" i="10" s="1"/>
  <c r="T47" i="10"/>
  <c r="T58" i="10" s="1"/>
  <c r="U41" i="10"/>
  <c r="U46" i="10" s="1"/>
  <c r="N11" i="15"/>
  <c r="N14" i="15" s="1"/>
  <c r="N15" i="15" s="1"/>
  <c r="N16" i="15" s="1"/>
  <c r="N18" i="15"/>
  <c r="N17" i="15" l="1"/>
  <c r="O6" i="15"/>
  <c r="N19" i="15"/>
  <c r="S29" i="10"/>
  <c r="S31" i="10"/>
  <c r="S32" i="10" s="1"/>
  <c r="S57" i="10" s="1"/>
  <c r="V7" i="12"/>
  <c r="B25" i="12"/>
  <c r="F13" i="3" s="1"/>
  <c r="U22" i="10"/>
  <c r="U24" i="10" s="1"/>
  <c r="V41" i="10"/>
  <c r="V46" i="10" s="1"/>
  <c r="T30" i="10"/>
  <c r="T37" i="10"/>
  <c r="T13" i="12"/>
  <c r="T38" i="10" s="1"/>
  <c r="U12" i="12"/>
  <c r="U52" i="10"/>
  <c r="U54" i="10" s="1"/>
  <c r="U8" i="12"/>
  <c r="U36" i="10" s="1"/>
  <c r="U10" i="12"/>
  <c r="U53" i="10" s="1"/>
  <c r="U47" i="10" l="1"/>
  <c r="U58" i="10" s="1"/>
  <c r="T29" i="10"/>
  <c r="T31" i="10"/>
  <c r="T32" i="10" s="1"/>
  <c r="T57" i="10" s="1"/>
  <c r="V22" i="10"/>
  <c r="V24" i="10" s="1"/>
  <c r="V12" i="12"/>
  <c r="V52" i="10"/>
  <c r="V54" i="10" s="1"/>
  <c r="F26" i="3"/>
  <c r="V8" i="12"/>
  <c r="V36" i="10" s="1"/>
  <c r="V10" i="12"/>
  <c r="O7" i="15"/>
  <c r="O10" i="15" s="1"/>
  <c r="O8" i="15"/>
  <c r="O12" i="15"/>
  <c r="O13" i="15" s="1"/>
  <c r="O9" i="15"/>
  <c r="U37" i="10"/>
  <c r="U13" i="12"/>
  <c r="U38" i="10" s="1"/>
  <c r="U30" i="10"/>
  <c r="O18" i="15" l="1"/>
  <c r="O11" i="15"/>
  <c r="U29" i="10"/>
  <c r="U31" i="10"/>
  <c r="U32" i="10" s="1"/>
  <c r="U57" i="10" s="1"/>
  <c r="O14" i="15"/>
  <c r="O15" i="15" s="1"/>
  <c r="O16" i="15" s="1"/>
  <c r="V53" i="10"/>
  <c r="F20" i="11"/>
  <c r="F19" i="12"/>
  <c r="D18" i="14"/>
  <c r="V37" i="10"/>
  <c r="F27" i="3"/>
  <c r="V13" i="12"/>
  <c r="V30" i="10"/>
  <c r="V47" i="10"/>
  <c r="V58" i="10" s="1"/>
  <c r="F21" i="11" l="1"/>
  <c r="E25" i="9" s="1"/>
  <c r="V38" i="10"/>
  <c r="F20" i="12"/>
  <c r="O19" i="15"/>
  <c r="P6" i="15"/>
  <c r="O17" i="15"/>
  <c r="V29" i="10"/>
  <c r="V31" i="10"/>
  <c r="V32" i="10" s="1"/>
  <c r="V57" i="10" s="1"/>
  <c r="B60" i="10" s="1"/>
  <c r="P7" i="15" l="1"/>
  <c r="P10" i="15" s="1"/>
  <c r="P9" i="15"/>
  <c r="P12" i="15"/>
  <c r="P13" i="15" s="1"/>
  <c r="C18" i="14"/>
  <c r="F29" i="3"/>
  <c r="P18" i="15" l="1"/>
  <c r="P11" i="15"/>
  <c r="P14" i="15" s="1"/>
  <c r="P15" i="15" s="1"/>
  <c r="P16" i="15" s="1"/>
  <c r="P8" i="15"/>
  <c r="P17" i="15" l="1"/>
  <c r="P19" i="15"/>
  <c r="Q6" i="15"/>
  <c r="Q7" i="15" l="1"/>
  <c r="Q10" i="15" s="1"/>
  <c r="Q12" i="15"/>
  <c r="Q13" i="15" s="1"/>
  <c r="Q9" i="15"/>
  <c r="Q8" i="15"/>
  <c r="Q18" i="15" l="1"/>
  <c r="Q11" i="15"/>
  <c r="Q14" i="15" s="1"/>
  <c r="Q15" i="15" s="1"/>
  <c r="Q16" i="15" s="1"/>
  <c r="Q19" i="15" l="1"/>
  <c r="R6" i="15"/>
  <c r="Q17" i="15"/>
  <c r="R7" i="15" l="1"/>
  <c r="R10" i="15" s="1"/>
  <c r="R9" i="15"/>
  <c r="R8" i="15"/>
  <c r="R12" i="15"/>
  <c r="R13" i="15" s="1"/>
  <c r="R18" i="15" l="1"/>
  <c r="R11" i="15"/>
  <c r="R14" i="15"/>
  <c r="R15" i="15" s="1"/>
  <c r="R16" i="15"/>
  <c r="S6" i="15" l="1"/>
  <c r="R17" i="15"/>
  <c r="R19" i="15"/>
  <c r="S9" i="15" l="1"/>
  <c r="S7" i="15"/>
  <c r="S10" i="15" s="1"/>
  <c r="S12" i="15"/>
  <c r="S13" i="15" s="1"/>
  <c r="S8" i="15"/>
  <c r="S18" i="15" l="1"/>
  <c r="S11" i="15"/>
  <c r="S14" i="15"/>
  <c r="S15" i="15" s="1"/>
  <c r="S16" i="15"/>
  <c r="S19" i="15" l="1"/>
  <c r="T6" i="15"/>
  <c r="S17" i="15"/>
  <c r="T9" i="15" l="1"/>
  <c r="T7" i="15"/>
  <c r="T10" i="15" s="1"/>
  <c r="T8" i="15"/>
  <c r="T12" i="15"/>
  <c r="T13" i="15" s="1"/>
  <c r="T18" i="15" l="1"/>
  <c r="T11" i="15"/>
  <c r="T14" i="15" s="1"/>
  <c r="T15" i="15" s="1"/>
  <c r="T16" i="15" s="1"/>
  <c r="T17" i="15" l="1"/>
  <c r="T19" i="15"/>
  <c r="U6" i="15"/>
  <c r="U9" i="15" l="1"/>
  <c r="U7" i="15"/>
  <c r="U10" i="15" s="1"/>
  <c r="U12" i="15"/>
  <c r="U13" i="15" s="1"/>
  <c r="U8" i="15" l="1"/>
  <c r="U18" i="15"/>
  <c r="U11" i="15"/>
  <c r="U14" i="15" s="1"/>
  <c r="U15" i="15" s="1"/>
  <c r="U16" i="15" s="1"/>
  <c r="U17" i="15" l="1"/>
  <c r="V6" i="15"/>
  <c r="U19" i="15"/>
  <c r="V12" i="15" l="1"/>
  <c r="V13" i="15" s="1"/>
  <c r="V9" i="15"/>
  <c r="V7" i="15"/>
  <c r="V10" i="15" s="1"/>
  <c r="V18" i="15" l="1"/>
  <c r="V11" i="15"/>
  <c r="V8" i="15"/>
  <c r="V14" i="15"/>
  <c r="V15" i="15" s="1"/>
  <c r="V16" i="15" s="1"/>
  <c r="V19" i="15" l="1"/>
  <c r="V17" i="15"/>
  <c r="W6" i="15"/>
  <c r="W9" i="15" l="1"/>
  <c r="W7" i="15"/>
  <c r="W10" i="15" s="1"/>
  <c r="W12" i="15"/>
  <c r="W13" i="15" s="1"/>
  <c r="W8" i="15"/>
  <c r="W18" i="15" l="1"/>
  <c r="W11" i="15"/>
  <c r="W14" i="15" s="1"/>
  <c r="W15" i="15" s="1"/>
  <c r="W16" i="15" s="1"/>
  <c r="W17" i="15" l="1"/>
  <c r="W19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 v2</author>
    <author>Admin</author>
    <author>Model v3</author>
  </authors>
  <commentList>
    <comment ref="B1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Incoming partner (your nominated entity + partner) buys this % of NewCo, the portfolio-owning vehicle.</t>
        </r>
      </text>
    </comment>
    <comment ref="B1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Consideration for 50% of NewCo. Proceeds go to the CURRENT OWNER (share sale), NOT retained in NewCo.</t>
        </r>
      </text>
    </comment>
    <comment ref="B1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DEPRECATED — not referenced by any cell. Legacy portfolio-wide occupancy, superseded by per-villa 'avg annual nights booked %' inputs B30 (ASV), B34 (Remington), B37 (Winchester). Editing this has no effect.</t>
        </r>
      </text>
    </comment>
    <comment ref="B2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MEMO ONLY — not referenced by any cell. The projection length is fixed at 20 years (hardcoded year columns in each P&amp;L). Changing this does not extend or shorten the model. KPI snapshot shows 5 / 10 / 15 / 20-year holds.</t>
        </r>
      </text>
    </comment>
    <comment ref="B2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PLACEHOLDER — not referenced by any cell. VAT logic is not wired into any P&amp;L. This toggle currently has no effect. Gated to accountant before activation.</t>
        </r>
      </text>
    </comment>
    <comment ref="B25" authorId="1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Admin:
PLACEHOLDER — not referenced by any cell. VAT is not applied anywhere in the model. Has no effect until VAT logic is wired in.</t>
        </r>
      </text>
    </comment>
    <comment ref="B39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Not built yet; contributes revenue only from this year onward.</t>
        </r>
      </text>
    </comment>
    <comment ref="B40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Spent the year BEFORE it goes online; funded from NewCo cash, so it reduces that year's distribution.</t>
        </r>
      </text>
    </comment>
    <comment ref="B46" authorId="2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Driven by the 'Tour Forecast' sheet (sum of all 14 experiences, cell O27). Edit tours there, not here.</t>
        </r>
      </text>
    </comment>
    <comment ref="B47" authorId="2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Driven by the 'Tour Forecast' sheet (sum of all supplier costs, cell P27).</t>
        </r>
      </text>
    </comment>
    <comment ref="B5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Feb–Nov long-term; Dec–Jan nightly holiday lets.</t>
        </r>
      </text>
    </comment>
    <comment ref="B7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Memo. African Sky income is largely OPERATING (holiday-let + F&amp;B + tours); it is valued on comparable/cost, not by capitalising operating profit.</t>
        </r>
      </text>
    </comment>
    <comment ref="B8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Property income yield used by the growth engine and for new acquisitions.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 v2</author>
  </authors>
  <commentList>
    <comment ref="A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Available unit-nights (365) × occupancy. 'Unit-night' = one villa let for one night.</t>
        </r>
      </text>
    </comment>
    <comment ref="A9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Contributes only from its online year (Control §4). Sleeps 2, no extra-guest charge.</t>
        </r>
      </text>
    </comment>
    <comment ref="A1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Guest-nights = occupied unit-nights × guests per unit (ASV &amp; Remington 2.8; Winchester 2).</t>
        </r>
      </text>
    </comment>
    <comment ref="A13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Breakfast R150 + Dinner R375 = R525 per cover. 75% of guest-nights take both meals.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 v2</author>
  </authors>
  <commentList>
    <comment ref="A7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African Sky's figure is shown for CONTRAST only — capitalising operating profit at a property cap rate massively overstates a 3-villa asset. NOT adopted for African Sky.</t>
        </r>
      </text>
    </comment>
    <comment ref="A9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African Sky: comparable/cost (operating income not capitalised). Beachside &amp; Menlyn: income approach — both sit ABOVE their cost basis, so the income method corroborates rather than inflates.</t>
        </r>
      </text>
    </comment>
    <comment ref="A1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For Beachside &amp; Menlyn this is ≥1: the independent income valuation supports MORE than the adopted value.</t>
        </r>
      </text>
    </comment>
    <comment ref="A13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Holiday-let F&amp;B and tours are an operating business (goodwill), valued on a modest earnings multiple — NOT part of the property NAV. Shown so the enterprise value isn't understated.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 v2</author>
  </authors>
  <commentList>
    <comment ref="A1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R500k spent the year before Winchester goes online, funded from NewCo cash.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 v2</author>
  </authors>
  <commentList>
    <comment ref="B25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First year the partner's cumulative distributions recover the full buy-in.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 v2</author>
  </authors>
  <commentList>
    <comment ref="B3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Illustrative stabilised property income yield used for the growth engine (defaults to the acquisition cap rate). Kept separate from the operating-heavy NPAT so the growth path stays a property, not a business, return.</t>
        </r>
      </text>
    </comment>
  </commentList>
</comments>
</file>

<file path=xl/sharedStrings.xml><?xml version="1.0" encoding="utf-8"?>
<sst xmlns="http://schemas.openxmlformats.org/spreadsheetml/2006/main" count="2938" uniqueCount="1538">
  <si>
    <t>ASKY Stay Calc Cross-Check against ASKY Bookings Raw Data</t>
  </si>
  <si>
    <t>Verifying booking counts and room-nights from source data</t>
  </si>
  <si>
    <t>ASKY Stay Calc — Stated Values (C5:D6)</t>
  </si>
  <si>
    <t>Unit</t>
  </si>
  <si>
    <t>Bookings</t>
  </si>
  <si>
    <t>Room-nights</t>
  </si>
  <si>
    <t>Scope</t>
  </si>
  <si>
    <t>African Sky Villa (ASV)</t>
  </si>
  <si>
    <t>Remington Villa</t>
  </si>
  <si>
    <t>ASKY Bookings — Calculated from Raw Data</t>
  </si>
  <si>
    <t>Cutoff Date</t>
  </si>
  <si>
    <t>Variance Analysis (Stated − Calculated)</t>
  </si>
  <si>
    <t>Bookings Δ</t>
  </si>
  <si>
    <t>Room-nights Δ</t>
  </si>
  <si>
    <t>Status</t>
  </si>
  <si>
    <t>All Bookings Cross-Check (ASKY Stay Calc rows 11-14)</t>
  </si>
  <si>
    <t>Stated Bookings</t>
  </si>
  <si>
    <t>Calculated Bookings</t>
  </si>
  <si>
    <t>Sky Villa (All)</t>
  </si>
  <si>
    <t>Remington (All)</t>
  </si>
  <si>
    <t>Stated Nights</t>
  </si>
  <si>
    <t>Calculated Nights</t>
  </si>
  <si>
    <t>Summary</t>
  </si>
  <si>
    <t>Note: The "realised" dataset spans the dates shown below. The ASKY Stay Calc label "Jan 2025–Jun 2026" is approximate.</t>
  </si>
  <si>
    <t>Date Range Analysis</t>
  </si>
  <si>
    <t>Metric</t>
  </si>
  <si>
    <t>Date (Serial)</t>
  </si>
  <si>
    <t>Date (Formatted)</t>
  </si>
  <si>
    <t>Notes</t>
  </si>
  <si>
    <t>Earliest booking (realised)</t>
  </si>
  <si>
    <t>First arrival date in dataset</t>
  </si>
  <si>
    <t>Latest booking (realised cutoff)</t>
  </si>
  <si>
    <t>Last arrival in realised subset</t>
  </si>
  <si>
    <t>Timeframe (months)</t>
  </si>
  <si>
    <t>Duration of realised booking period</t>
  </si>
  <si>
    <t>Timeframe (days)</t>
  </si>
  <si>
    <t>READ ME — how this model works</t>
  </si>
  <si>
    <t>Purpose</t>
  </si>
  <si>
    <t>Investor-facing model to sell 50% of a 3-property (+ tours) portfolio into NewCo. Shows independent property valuation, after-tax cash returns, total return and a leverage/growth path. DRAFT — accountant/attorney sign-off pending.</t>
  </si>
  <si>
    <t>Structure</t>
  </si>
  <si>
    <t>NewCo owns 100% of the included properties. The incoming Property Partner can hold a different % per property via Control share-offer inputs. Buy-in is consideration paid to the current owner (share sale), not retained as working capital in NewCo.</t>
  </si>
  <si>
    <t>How to use</t>
  </si>
  <si>
    <t>Edit only the shaded (yellow) input cells on the Control sheet. Every other sheet recalculates. Open in Excel or Google Sheets so formulas compute.</t>
  </si>
  <si>
    <t>Sheets</t>
  </si>
  <si>
    <t>Control (inputs) · 3 property P&amp;Ls · Portfolio NewCo (consolidated) · Valuation (independent) · Investor KPIs · Property KPIs · Leverage &amp; Growth · Change Log.</t>
  </si>
  <si>
    <t>TERMINOLOGY (SA hospitality standard):</t>
  </si>
  <si>
    <t xml:space="preserve">  Unit</t>
  </si>
  <si>
    <t>One lettable villa/apartment (African Sky Villa, Remington, Winchester). Whole-unit lets, not per-room.</t>
  </si>
  <si>
    <t xml:space="preserve">  Available unit-night</t>
  </si>
  <si>
    <t>One unit available for one night. Units × 365 = available unit-nights per year.</t>
  </si>
  <si>
    <t xml:space="preserve">  Occupied unit-night</t>
  </si>
  <si>
    <t>One unit actually let for one night. Occupancy % = occupied ÷ available.</t>
  </si>
  <si>
    <t xml:space="preserve">  ADR</t>
  </si>
  <si>
    <t>Average Daily Rate — the gross nightly rate per unit (base covers 2 guests; extra guests add per-guest).</t>
  </si>
  <si>
    <t xml:space="preserve">  Guest-night</t>
  </si>
  <si>
    <t>One guest staying one night = occupied unit-nights × guests per unit. Drives meals.</t>
  </si>
  <si>
    <t xml:space="preserve">  Meal cover</t>
  </si>
  <si>
    <t>One guest taking meals on one night. 75% of guest-nights take both breakfast + dinner.</t>
  </si>
  <si>
    <t xml:space="preserve">  NOI</t>
  </si>
  <si>
    <t>Net Operating Income — revenue less operating expenses (incl. FF&amp;E reserve), before tax and finance. Basis for income valuation.</t>
  </si>
  <si>
    <t xml:space="preserve">  Cap rate</t>
  </si>
  <si>
    <t>Capitalisation rate — NOI ÷ property value. Lower cap rate = higher value. Used for residential income valuation.</t>
  </si>
  <si>
    <t xml:space="preserve">  MOIC / IRR</t>
  </si>
  <si>
    <t>MOIC = money multiple (total received ÷ invested). IRR = annualised return accounting for timing.</t>
  </si>
  <si>
    <t>VALUATION METHOD</t>
  </si>
  <si>
    <t>Beachside &amp; Menlyn are valued by income capitalisation (NOI ÷ market cap rate), which corroborates their cost basis. African Sky is valued on comparable/cost because its income is largely OPERATING (holiday-let + F&amp;B + tours) — capitalising that at a property cap rate would massively overstate 3 villas. Adopted NAV is deliberately conservative; the income approach sits above it.</t>
  </si>
  <si>
    <t>OPEN FLAGS (gated)</t>
  </si>
  <si>
    <t>• VAT: combined revenue is over the R1m compulsory-registration threshold — short-term accommodation is taxable, long-term residential exempt (mixed supply). Default keeps the gross basis; confirm with the accountant. • Transfer of properties into NewCo triggers transfer duty / VAT / CGT, and a s42 asset-for-share roll-over carries an 18-month de-grouping clawback if 50% is sold at/near formation — attorney + accountant. • Selling 50% equity may engage Companies Act offer-to-public / FAIS rules. • Cap rates and the African Sky comparable value are assumptions to confirm with a registered valuer. • Winchester is not built — its revenue is phased from its online year and its R500k build is funded from NewCo cash.</t>
  </si>
  <si>
    <t>DRAFT · unaudited · ZAR · rebuilt 2026-07-10. Not an offer to the public; subject to MOI/shareholders agreement and professional sign-off. Nothing here is legal, tax or investment advice.</t>
  </si>
  <si>
    <t>TOURS (v3)</t>
  </si>
  <si>
    <t>African Sky tour income and supplier cost are now driven by the 'ASKY Tours Calcs' sheet — 14 experiences (safaris, day tours, river adventures, transfers) each with per-pax retail (fixed from the live site), supplier cost and take-up. The Control tour cells link to its totals (revenue O27, cost P27); edit tours on that sheet.</t>
  </si>
  <si>
    <t>KEY ASSUMPTIONS &amp; SOURCES</t>
  </si>
  <si>
    <t>Plain-English source sheet for proposal review. All model items are live linked where relevant.</t>
  </si>
  <si>
    <t>Category</t>
  </si>
  <si>
    <t>Assumption</t>
  </si>
  <si>
    <t>Value</t>
  </si>
  <si>
    <t>Source / explanation</t>
  </si>
  <si>
    <t>Scenario</t>
  </si>
  <si>
    <t>African Sky partner share %</t>
  </si>
  <si>
    <t>0% excludes property; &gt;0% includes at selected share</t>
  </si>
  <si>
    <t>Winchester expansion option</t>
  </si>
  <si>
    <t>N</t>
  </si>
  <si>
    <t>Y/N; only active if African Sky share &gt; 0%</t>
  </si>
  <si>
    <t>Beachside partner share %</t>
  </si>
  <si>
    <t>Menlyn partner share %</t>
  </si>
  <si>
    <t>Guests</t>
  </si>
  <si>
    <t>ASV avg guests per occupied unit-night</t>
  </si>
  <si>
    <t>Control!B31</t>
  </si>
  <si>
    <t>Pricing</t>
  </si>
  <si>
    <t>ASV base ADR incl. 2 guests</t>
  </si>
  <si>
    <t>Control!B28</t>
  </si>
  <si>
    <t>ASV extra guest rate</t>
  </si>
  <si>
    <t>Control!B29</t>
  </si>
  <si>
    <t>Remington base ADR incl. 2 guests</t>
  </si>
  <si>
    <t>Control!B32</t>
  </si>
  <si>
    <t>Remington extra guest rate</t>
  </si>
  <si>
    <t>Control!B33</t>
  </si>
  <si>
    <t>Tours</t>
  </si>
  <si>
    <t>Tour revenue Year 1</t>
  </si>
  <si>
    <t>Linked from ASKY Tours Calcs totals</t>
  </si>
  <si>
    <t>Tour supplier cost Year 1</t>
  </si>
  <si>
    <t>Stay duration</t>
  </si>
  <si>
    <t>ASV avg nights / booking</t>
  </si>
  <si>
    <t>Realised booking analysis in ASKY Stay Calc</t>
  </si>
  <si>
    <t>Remington avg nights / booking</t>
  </si>
  <si>
    <t>Valuation</t>
  </si>
  <si>
    <t>Adopted property value</t>
  </si>
  <si>
    <t>Valuation!F9</t>
  </si>
  <si>
    <t>Partner NAV today</t>
  </si>
  <si>
    <t>Valuation!F10</t>
  </si>
  <si>
    <t>Exit</t>
  </si>
  <si>
    <t>Property value growth p.a.</t>
  </si>
  <si>
    <t>Control!B68 linked to Control!B74</t>
  </si>
  <si>
    <t>Tax / legal</t>
  </si>
  <si>
    <t>Open flags</t>
  </si>
  <si>
    <t>See Read Me &amp; Glossary!B18</t>
  </si>
  <si>
    <t>Accountant/attorney sign-off required</t>
  </si>
  <si>
    <t>Optional asset</t>
  </si>
  <si>
    <t>Winchester development expansion toggle</t>
  </si>
  <si>
    <t>Y includes Winchester revenue, build capex and value; N excludes it. Only active if African Sky toggle is Y.</t>
  </si>
  <si>
    <t>CONTROL — edit only the shaded (yellow) input cells</t>
  </si>
  <si>
    <t>ZAR · DRAFT · all sheets link here. Terminology follows SA hospitality/property convention — see 'Read Me &amp; Glossary'.</t>
  </si>
  <si>
    <t>0 · PARTNER SHARE OFFER</t>
  </si>
  <si>
    <t xml:space="preserve">Partner Offer
Prop % </t>
  </si>
  <si>
    <t>Distribution allocation %</t>
  </si>
  <si>
    <t>INVESTOR KPI SNAPSHOT — ACTIVE PORTFOLIO</t>
  </si>
  <si>
    <t>KPI</t>
  </si>
  <si>
    <t>What it shows</t>
  </si>
  <si>
    <t>Winchester expansion? (Y/N; active if African Sky share &gt; 0%)</t>
  </si>
  <si>
    <t>Properties with share % &gt; 0 are included; Winchester is separate option</t>
  </si>
  <si>
    <t>Active portfolio value</t>
  </si>
  <si>
    <t>100% adopted value of active properties</t>
  </si>
  <si>
    <t>Partner buy-in</t>
  </si>
  <si>
    <t>Cash consideration based on active properties and property-specific partner %</t>
  </si>
  <si>
    <t>Partner NAV using property-specific partner % by property</t>
  </si>
  <si>
    <t>1 · DEAL &amp; STRUCTURE</t>
  </si>
  <si>
    <t>Offer vs NAV</t>
  </si>
  <si>
    <t>1.0x = buy-in equals NAV</t>
  </si>
  <si>
    <t>Reference % for listed buy-in pricing</t>
  </si>
  <si>
    <t>Year 1 partner distribution</t>
  </si>
  <si>
    <t>Projected first-year cash distribution using Control distribution allocation %</t>
  </si>
  <si>
    <t>African Sky — buy-in at reference % (ZAR)</t>
  </si>
  <si>
    <t>Year 1 cash yield</t>
  </si>
  <si>
    <t>Year 1 distribution ÷ partner buy-in</t>
  </si>
  <si>
    <t>Beachside — buy-in at reference % (ZAR)</t>
  </si>
  <si>
    <t>Cash payback year</t>
  </si>
  <si>
    <t>Year cumulative distributions recover buy-in</t>
  </si>
  <si>
    <t>Menlyn — buy-in at reference % (ZAR)</t>
  </si>
  <si>
    <t>5Y Total Partner Distributions</t>
  </si>
  <si>
    <t>Cumulative partner distributions received through Year 5</t>
  </si>
  <si>
    <t>Total active partner buy-in (share-offer %)</t>
  </si>
  <si>
    <t>5Y Total Partner Value if Exit in Year 5</t>
  </si>
  <si>
    <t>Cumulative distributions + exit NAV — Total Partner Value if Exit in Year 5</t>
  </si>
  <si>
    <t>2 · FORECAST DRIVERS</t>
  </si>
  <si>
    <t>5Y Total IRR</t>
  </si>
  <si>
    <t>Includes cash distributions + exit NAV</t>
  </si>
  <si>
    <t>Room-rate (ADR) escalation p.a.</t>
  </si>
  <si>
    <t>5Y Total MOIC</t>
  </si>
  <si>
    <t>Total value received ÷ buy-in</t>
  </si>
  <si>
    <t>Expense inflation p.a.</t>
  </si>
  <si>
    <t>10Y Total Partner Distributions</t>
  </si>
  <si>
    <t>Cumulative partner distributions received through Year 10</t>
  </si>
  <si>
    <t>Occupancy — short-let units (%) — DEPRECATED: replaced by per-villa occupancy (B30 / B34 / B37)</t>
  </si>
  <si>
    <t>10Y Total Partner Value if Exit in Year 10</t>
  </si>
  <si>
    <t>Cumulative distributions + exit NAV — Total Partner Value if Exit in Year 10</t>
  </si>
  <si>
    <t>Available nights per year</t>
  </si>
  <si>
    <t>10Y Total IRR</t>
  </si>
  <si>
    <t>Model horizon (years) — DISPLAY MEMO ONLY: projection is fixed at 20 years</t>
  </si>
  <si>
    <t>10Y Total MOIC</t>
  </si>
  <si>
    <t>3 · TAX, VAT &amp; RESERVES</t>
  </si>
  <si>
    <t>15Y Total Partner Distributions</t>
  </si>
  <si>
    <t>Cumulative partner distributions received through Year 15</t>
  </si>
  <si>
    <t>Corporate income tax rate</t>
  </si>
  <si>
    <t>15Y Total Partner Value if Exit in Year 15</t>
  </si>
  <si>
    <t>Cumulative distributions + exit NAV — Total Partner Value if Exit in Year 15</t>
  </si>
  <si>
    <t>Apply output VAT to short-let accommodation? (1=Yes/0=No) — PLACEHOLDER: VAT not yet wired; gated to accountant</t>
  </si>
  <si>
    <t>15Y Total IRR</t>
  </si>
  <si>
    <t>VAT rate — PLACEHOLDER: not yet wired</t>
  </si>
  <si>
    <t>15Y Total MOIC</t>
  </si>
  <si>
    <t>FF&amp;E / capex reserve (% of accommodation revenue)</t>
  </si>
  <si>
    <t>20Y Total Partner Distributions</t>
  </si>
  <si>
    <t>Cumulative partner distributions received through Year 20</t>
  </si>
  <si>
    <t>4 · AFRICAN SKY VILLAS — 3 units + meals + tours</t>
  </si>
  <si>
    <t>20Y Total Partner Value if Exit in Year 20</t>
  </si>
  <si>
    <t>Cumulative distributions + exit NAV — Total Partner Value if Exit in Year 20</t>
  </si>
  <si>
    <t>African Sky Villa — ADR incl. 2 guests (ZAR/night)</t>
  </si>
  <si>
    <t>20Y Total IRR</t>
  </si>
  <si>
    <t>African Sky Villa — extra-guest rate (ZAR/guest/night)</t>
  </si>
  <si>
    <t>20Y Total MOIC</t>
  </si>
  <si>
    <t>African Sky Villa — avg annual nights booked (%)</t>
  </si>
  <si>
    <t>African Sky Villa — avg guests per occupied unit-night</t>
  </si>
  <si>
    <t>Remington Villa — ADR incl. 2 guests (ZAR/night)</t>
  </si>
  <si>
    <t>Remington Villa — extra-guest rate (ZAR/guest/night)</t>
  </si>
  <si>
    <t>Remington Villa — avg annual nights booked (%)</t>
  </si>
  <si>
    <t>Remington Villa — avg guests per occupied unit-night</t>
  </si>
  <si>
    <t>Winchester (planned) — ADR, sleeps 2 (ZAR/night)</t>
  </si>
  <si>
    <t>Winchester — avg annual nights booked (%)</t>
  </si>
  <si>
    <t>Winchester — avg guests per occupied unit-night</t>
  </si>
  <si>
    <t>Winchester — online from year</t>
  </si>
  <si>
    <t>Winchester — construction cost (ZAR, one-off)</t>
  </si>
  <si>
    <t>Meal take-up — guests taking both meals (%)</t>
  </si>
  <si>
    <t>Breakfast price (ZAR/guest)</t>
  </si>
  <si>
    <t>Breakfast cost (ZAR/guest)</t>
  </si>
  <si>
    <t>Dinner price (ZAR/guest)</t>
  </si>
  <si>
    <t>Dinner cost (ZAR/guest)</t>
  </si>
  <si>
    <t>Tours &amp; activities revenue (ZAR/yr) — linked from ASKY Tours Calcs</t>
  </si>
  <si>
    <t>Tours &amp; activities cost (ZAR/yr) — linked from ASKY Tours Calcs</t>
  </si>
  <si>
    <t>African Sky — salaries &amp; wages (ZAR/month)</t>
  </si>
  <si>
    <t>African Sky — utilities &amp; municipal (ZAR/month)</t>
  </si>
  <si>
    <t>African Sky — repairs &amp; maintenance (ZAR/month)</t>
  </si>
  <si>
    <t>African Sky — other operating (ZAR/month)</t>
  </si>
  <si>
    <t>African Sky — channel commission (% of accommodation)</t>
  </si>
  <si>
    <t>5 · BEACHSIDE ESCAPE — Big Bay</t>
  </si>
  <si>
    <t>Long-term rent (ZAR/month)</t>
  </si>
  <si>
    <t>Long-term months per year</t>
  </si>
  <si>
    <t>Long-term gross revenueY1</t>
  </si>
  <si>
    <t>Peak holiday ADR (ZAR/night)</t>
  </si>
  <si>
    <t>Peak months per year (Dec+Jan)</t>
  </si>
  <si>
    <t>Nights per peak month</t>
  </si>
  <si>
    <t>Peak-season occupancy (%)</t>
  </si>
  <si>
    <t>Peak holiday gross revenue Y1</t>
  </si>
  <si>
    <t>TOTAL BEACHSIDE GROSS REVENUE Y1</t>
  </si>
  <si>
    <t>Commission on nightly lets (%)</t>
  </si>
  <si>
    <t>Utilities &amp; municipal (ZAR/month)</t>
  </si>
  <si>
    <t>Repairs &amp; maintenance (ZAR/month)</t>
  </si>
  <si>
    <t>Levies (ZAR/month)</t>
  </si>
  <si>
    <t>6 · MENLYN MAIN — long-term rental</t>
  </si>
  <si>
    <t>Rental income (ZAR/month)</t>
  </si>
  <si>
    <t>TOTAL MENLYN MAIN GROSS REVENUE Y1</t>
  </si>
  <si>
    <t>Levies / rates (ZAR/month)</t>
  </si>
  <si>
    <t>7 · VALUATION (independent — income &amp; comparable)</t>
  </si>
  <si>
    <t>African Sky — hospitality cap rate (memo only)</t>
  </si>
  <si>
    <t>Beachside — residential cap rate</t>
  </si>
  <si>
    <t>Menlyn — residential cap rate</t>
  </si>
  <si>
    <t>African Sky — property value, 2 built units (comparable/cost, ZAR)</t>
  </si>
  <si>
    <t>Property value growth p.a. (exit)</t>
  </si>
  <si>
    <t>Sale friction / exit costs (%)</t>
  </si>
  <si>
    <t>8 · LEVERAGE &amp; GROWTH ENGINE</t>
  </si>
  <si>
    <t>Target loan-to-value on portfolio (%)</t>
  </si>
  <si>
    <t>Debt interest rate p.a. (%)</t>
  </si>
  <si>
    <t>Stabilised / acquisition income yield (%)</t>
  </si>
  <si>
    <t>Property appreciation p.a. (%)</t>
  </si>
  <si>
    <t>Share of free cashflow reinvested (%)</t>
  </si>
  <si>
    <t>Display note</t>
  </si>
  <si>
    <t>If a property share % is 0%, the property remains visible for context but numeric values/outputs are visually blanked. Underlying inputs/formulas are preserved and reappear when share % is above 0%.</t>
  </si>
  <si>
    <t>AFRICAN SKY VILLAS — P&amp;L (annual, 20-year)</t>
  </si>
  <si>
    <t>3 units (African Sky Villa · Remington · Winchester) + meals + tours. Winchester phases in from its online year. After FF&amp;E reserve, after tax.</t>
  </si>
  <si>
    <t>Year</t>
  </si>
  <si>
    <t>Occupied unit-nights / unit</t>
  </si>
  <si>
    <t>African Sky Villa — accommodation</t>
  </si>
  <si>
    <t>Remington Villa — accommodation</t>
  </si>
  <si>
    <t>Winchester — accommodation</t>
  </si>
  <si>
    <t>Accommodation revenue — all units</t>
  </si>
  <si>
    <t>Guest-nights (meal base)</t>
  </si>
  <si>
    <t>Meal covers — both meals taken</t>
  </si>
  <si>
    <t>Meals income (breakfast + dinner)</t>
  </si>
  <si>
    <t>Tours &amp; activities income</t>
  </si>
  <si>
    <t>GROSS REVENUE</t>
  </si>
  <si>
    <t>OPERATING EXPENSES</t>
  </si>
  <si>
    <t>Channel commission</t>
  </si>
  <si>
    <t>Meals &amp; provisions cost</t>
  </si>
  <si>
    <t>Tours &amp; activities cost</t>
  </si>
  <si>
    <t>Salaries &amp; wages</t>
  </si>
  <si>
    <t>Utilities &amp; municipal</t>
  </si>
  <si>
    <t>Repairs &amp; maintenance</t>
  </si>
  <si>
    <t>Other operating</t>
  </si>
  <si>
    <t>FF&amp;E / capex reserve</t>
  </si>
  <si>
    <t>TOTAL EXPENSES</t>
  </si>
  <si>
    <t>NET OPERATING INCOME (NOI, pre-tax)</t>
  </si>
  <si>
    <t>Income tax</t>
  </si>
  <si>
    <t>NET PROFIT AFTER TAX</t>
  </si>
  <si>
    <t>BEACHSIDE ESCAPE — P&amp;L (annual, 20-year)</t>
  </si>
  <si>
    <t>Big Bay. 10 months long-term + Dec/Jan peak nightly (90% occupancy). After reserve, after tax.</t>
  </si>
  <si>
    <t>Long-term rental income</t>
  </si>
  <si>
    <t>Peak nightly income (Dec+Jan)</t>
  </si>
  <si>
    <t>Channel commission (nightly only)</t>
  </si>
  <si>
    <t>Levies</t>
  </si>
  <si>
    <t>MENLYN MAIN — P&amp;L (annual, 20-year)</t>
  </si>
  <si>
    <t>Long-term residential rental only. After reserve, after tax.</t>
  </si>
  <si>
    <t>GROSS REVENUE (rental)</t>
  </si>
  <si>
    <t>Levies / rates</t>
  </si>
  <si>
    <t>PROPERTY VALUATION — independent (income &amp; comparable, NOT back-solved from buy-in)</t>
  </si>
  <si>
    <t>Two industry methods per asset. Partner share % inputs on Control include/exclude each property from investor economics; 0% excludes, &gt;0% includes. Winchester is a development expansion option and only activates if African Sky share &gt; 0%.</t>
  </si>
  <si>
    <t>Valuation basis</t>
  </si>
  <si>
    <t>African Sky</t>
  </si>
  <si>
    <t>Beachside</t>
  </si>
  <si>
    <t>Menlyn</t>
  </si>
  <si>
    <t>Portfolio</t>
  </si>
  <si>
    <t>In-place annual NOI (active properties only; AS reflects Winchester only if expansion is active)</t>
  </si>
  <si>
    <t>Market cap rate (income approach)</t>
  </si>
  <si>
    <t>Income-capitalised value (NOI ÷ cap rate)</t>
  </si>
  <si>
    <t>Independent comparable value (CMA input — editable; income approach corroborates below)</t>
  </si>
  <si>
    <t>ADOPTED property value (conservative)</t>
  </si>
  <si>
    <t>Partner NAV @ property-specific %</t>
  </si>
  <si>
    <t>Income approach vs adopted (×, &gt;1 = conservative)</t>
  </si>
  <si>
    <t>NOI yield on adopted value</t>
  </si>
  <si>
    <t>Memo: African Sky operating-business value (meals+tours net × 3, indicative)</t>
  </si>
  <si>
    <t>v7.8 note: Beachside &amp; Menlyn adopted values are now independent CMA inputs (D8/E8), no longer buy-in×2. Income-capitalised values (row 7) corroborate higher. Internal estimates pending a registered (SACPVP) valuation.</t>
  </si>
  <si>
    <t>PORTFOLIO — NewCo consolidated (20-year)</t>
  </si>
  <si>
    <t>NewCo owns 100% of the three properties. Partner owns 50% of NewCo. Distributions = 50% of after-tax profit, less any capex funded from NewCo cash.</t>
  </si>
  <si>
    <t>African Sky NOI</t>
  </si>
  <si>
    <t>Beachside NOI</t>
  </si>
  <si>
    <t>Menlyn NOI</t>
  </si>
  <si>
    <t>PORTFOLIO NOI</t>
  </si>
  <si>
    <t>African Sky NPAT</t>
  </si>
  <si>
    <t>Beachside NPAT</t>
  </si>
  <si>
    <t>Menlyn NPAT</t>
  </si>
  <si>
    <t>PORTFOLIO NPAT</t>
  </si>
  <si>
    <t>Less: Winchester construction capex</t>
  </si>
  <si>
    <t>Distributable profit</t>
  </si>
  <si>
    <t>Partner distribution (property-specific %)</t>
  </si>
  <si>
    <t>Cumulative partner distribution</t>
  </si>
  <si>
    <t>Partner cash yield (on total buy-in)</t>
  </si>
  <si>
    <t>Average annual cash yield (on buy-in)</t>
  </si>
  <si>
    <t>DISTRIBUTION ALLOCATION HELPER — driven by Control column C</t>
  </si>
  <si>
    <t>African Sky distributable cash</t>
  </si>
  <si>
    <t>Beachside distributable cash</t>
  </si>
  <si>
    <t>Menlyn distributable cash</t>
  </si>
  <si>
    <t>African Sky partner distribution</t>
  </si>
  <si>
    <t>Beachside partner distribution</t>
  </si>
  <si>
    <t>Menlyn partner distribution</t>
  </si>
  <si>
    <t>African Sky cumulative distribution</t>
  </si>
  <si>
    <t>Beachside cumulative distribution</t>
  </si>
  <si>
    <t>Menlyn cumulative distribution</t>
  </si>
  <si>
    <t>PROPERTY OVERVIEW + PROPERTY-SPECIFIC PARTNER ECONOMICS</t>
  </si>
  <si>
    <t>Scenario share inputs include/exclude each property: 0% excludes, &gt;0% includes at selected partner share. Winchester follows African Sky and its expansion option.</t>
  </si>
  <si>
    <t>TABLE 1 — PROPERTY / ASSET METRICS</t>
  </si>
  <si>
    <t>African Sky Villas</t>
  </si>
  <si>
    <t>Beachside Escape</t>
  </si>
  <si>
    <t>Menlyn Main</t>
  </si>
  <si>
    <t>Description</t>
  </si>
  <si>
    <t>3-villa short-let / hospitality asset: African Sky Villa, Remington Villa and planned Winchester, with meals plus tours &amp; activities.</t>
  </si>
  <si>
    <t>Big Bay property with mixed long-term rental plus peak holiday letting during Dec/Jan.</t>
  </si>
  <si>
    <t>Long-term residential rental apartment with recurring monthly rental income.</t>
  </si>
  <si>
    <t>Combined NewCo property portfolio.</t>
  </si>
  <si>
    <t>Revenue basis</t>
  </si>
  <si>
    <t>Accommodation + meals + tours &amp; activities.</t>
  </si>
  <si>
    <t>10 months long-term rent + 2 peak holiday months.</t>
  </si>
  <si>
    <t>Monthly long-term rental.</t>
  </si>
  <si>
    <t>All property revenue streams consolidated.</t>
  </si>
  <si>
    <t>Adopted property value (100%)</t>
  </si>
  <si>
    <t>Year 1 NOI</t>
  </si>
  <si>
    <t>Implied value / NOI multiple</t>
  </si>
  <si>
    <t>TABLE 2 — PROPERTY-SPECIFIC PARTNER / INVESTOR ECONOMICS</t>
  </si>
  <si>
    <t>Partner share / NAV @ property-specific %</t>
  </si>
  <si>
    <t>Partner buy-in component</t>
  </si>
  <si>
    <t>5-year total IRR</t>
  </si>
  <si>
    <t>Year-1 cash yield</t>
  </si>
  <si>
    <t>5-year total MOIC</t>
  </si>
  <si>
    <t>10-year total IRR</t>
  </si>
  <si>
    <t>10-year total MOIC</t>
  </si>
  <si>
    <t>15-year total IRR</t>
  </si>
  <si>
    <t>15-year total MOIC</t>
  </si>
  <si>
    <t>20-year total IRR</t>
  </si>
  <si>
    <t>20-year total MOIC</t>
  </si>
  <si>
    <t>African Sky Villa accommodation</t>
  </si>
  <si>
    <t>Occupied unit-nights × ADR incl. extra guests</t>
  </si>
  <si>
    <t>Short-let villa revenue</t>
  </si>
  <si>
    <t>Remington Villa accommodation</t>
  </si>
  <si>
    <t>Winchester accommodation</t>
  </si>
  <si>
    <t>Online-from-year × ADR</t>
  </si>
  <si>
    <t>Planned unit online from model year</t>
  </si>
  <si>
    <t>Meals income</t>
  </si>
  <si>
    <t>Guest-nights × meal take-up × breakfast/dinner pricing</t>
  </si>
  <si>
    <t>Breakfast + dinner income</t>
  </si>
  <si>
    <t>Linked tour revenue assumptions</t>
  </si>
  <si>
    <t>Linked from ASKY Tours Calcs</t>
  </si>
  <si>
    <t>Total gross revenue</t>
  </si>
  <si>
    <t>Sum of above streams</t>
  </si>
  <si>
    <t>Before operating expenses</t>
  </si>
  <si>
    <t>BEACHSIDE ESCAPE — revenue streams</t>
  </si>
  <si>
    <t>Revenue stream / driver</t>
  </si>
  <si>
    <t>Basis</t>
  </si>
  <si>
    <t>Year 1</t>
  </si>
  <si>
    <t>Year 2</t>
  </si>
  <si>
    <t>Long-term rent</t>
  </si>
  <si>
    <t>Monthly rent × long-term months</t>
  </si>
  <si>
    <t>10 long-term months per year</t>
  </si>
  <si>
    <t>Peak holiday lets</t>
  </si>
  <si>
    <t>Peak ADR × peak months × nights/month × occupancy</t>
  </si>
  <si>
    <t>Dec/Jan holiday letting</t>
  </si>
  <si>
    <t>Estimated gross revenue</t>
  </si>
  <si>
    <t>Long-term rent + peak holiday lets</t>
  </si>
  <si>
    <t>Before commission and operating expenses</t>
  </si>
  <si>
    <t>Portfolio NewCo Beachside NOI</t>
  </si>
  <si>
    <t>After model operating costs</t>
  </si>
  <si>
    <t>MENLYN MAIN — revenue streams</t>
  </si>
  <si>
    <t>Monthly rent × 12</t>
  </si>
  <si>
    <t>Recurring monthly rental</t>
  </si>
  <si>
    <t>Portfolio NewCo Menlyn NOI</t>
  </si>
  <si>
    <t>3-STATEMENT MODEL — NewCo consolidated + investor tracking</t>
  </si>
  <si>
    <t>Integrated model linked to Control, property P&amp;Ls, Portfolio NewCo, Valuation, and Investor KPIs. Formation column shows today; Year 1–20 columns are live-linked forecast periods.</t>
  </si>
  <si>
    <t>Currency: ZAR. Base case: no external debt; distributable post-tax profit is paid out after Winchester construction capex is funded from NewCo cash.</t>
  </si>
  <si>
    <t>Formation / Today</t>
  </si>
  <si>
    <t>CONSOLIDATED INCOME STATEMENT</t>
  </si>
  <si>
    <t>Gross revenue</t>
  </si>
  <si>
    <t>Operating expenses</t>
  </si>
  <si>
    <t>NET OPERATING INCOME (NOI)</t>
  </si>
  <si>
    <t>NET PROFIT AFTER TAX (NPAT)</t>
  </si>
  <si>
    <t>NPAT margin</t>
  </si>
  <si>
    <t>INVESTOR — INCOME STATEMENT VIEW</t>
  </si>
  <si>
    <t>Blended partner ownership %</t>
  </si>
  <si>
    <t>Investor share of NOI</t>
  </si>
  <si>
    <t>Investor share of NPAT</t>
  </si>
  <si>
    <t>Cash-on-cash yield</t>
  </si>
  <si>
    <t>CONSOLIDATED BALANCE SHEET</t>
  </si>
  <si>
    <t>Cash</t>
  </si>
  <si>
    <t>Property assets / portfolio fair value</t>
  </si>
  <si>
    <t>TOTAL ASSETS</t>
  </si>
  <si>
    <t>Debt</t>
  </si>
  <si>
    <t>TOTAL LIABILITIES</t>
  </si>
  <si>
    <t>Opening contributed property equity</t>
  </si>
  <si>
    <t>Cumulative retained earnings</t>
  </si>
  <si>
    <t>Fair value / revaluation reserve</t>
  </si>
  <si>
    <t>TOTAL EQUITY</t>
  </si>
  <si>
    <t>TOTAL LIABILITIES + EQUITY</t>
  </si>
  <si>
    <t>Balance sheet check</t>
  </si>
  <si>
    <t>INVESTOR — BALANCE SHEET VIEW</t>
  </si>
  <si>
    <t>Partner NAV if exit this year</t>
  </si>
  <si>
    <t>Unrecovered capital</t>
  </si>
  <si>
    <t>Total value if exit this year</t>
  </si>
  <si>
    <t>Total MOIC if exit</t>
  </si>
  <si>
    <t>CONSOLIDATED CASH FLOW STATEMENT</t>
  </si>
  <si>
    <t>Beginning cash</t>
  </si>
  <si>
    <t>NPAT</t>
  </si>
  <si>
    <t>Winchester construction capex</t>
  </si>
  <si>
    <t>Shareholder distributions</t>
  </si>
  <si>
    <t>Net change in cash</t>
  </si>
  <si>
    <t>ENDING CASH</t>
  </si>
  <si>
    <t>Cash tie-out check</t>
  </si>
  <si>
    <t>INVESTOR — CASH FLOW VIEW</t>
  </si>
  <si>
    <t>Partner initial investment</t>
  </si>
  <si>
    <t>Partner cash distribution</t>
  </si>
  <si>
    <t>Cumulative partner distributions</t>
  </si>
  <si>
    <t>Cash MOIC</t>
  </si>
  <si>
    <t>Cash payback achieved?</t>
  </si>
  <si>
    <t>MODEL CHECKS</t>
  </si>
  <si>
    <t>BS balances?</t>
  </si>
  <si>
    <t>Ending cash ties to BS cash?</t>
  </si>
  <si>
    <t>NPAT links to cash flow?</t>
  </si>
  <si>
    <t>Master check</t>
  </si>
  <si>
    <t>PROPERTY RETURNS &amp; KPIs — per asset (property-specific partner %)</t>
  </si>
  <si>
    <t>Each property uses its own partner ownership %. Distributions, NAV, buy-in, IRR and MOIC are calculated from the property-specific partner %.</t>
  </si>
  <si>
    <t>Portfolio Total</t>
  </si>
  <si>
    <t>Average annual NOI (Yr 1-3)</t>
  </si>
  <si>
    <t>Implied earnings multiple (value ÷ NOI)</t>
  </si>
  <si>
    <t>5-year Cash MOIC</t>
  </si>
  <si>
    <t>5-year Total MOIC</t>
  </si>
  <si>
    <t>5-year Total IRR</t>
  </si>
  <si>
    <t>10-year Cash MOIC</t>
  </si>
  <si>
    <t>10-year Total MOIC</t>
  </si>
  <si>
    <t>10-year Total IRR</t>
  </si>
  <si>
    <t>15-year Cash MOIC</t>
  </si>
  <si>
    <t>15-year Total MOIC</t>
  </si>
  <si>
    <t>15-year Total IRR</t>
  </si>
  <si>
    <t>20-year Cash MOIC</t>
  </si>
  <si>
    <t>20-year Total MOIC</t>
  </si>
  <si>
    <t>20-year Total IRR</t>
  </si>
  <si>
    <t>50% PARTNER DISTRIBUTION HELPERS — by property</t>
  </si>
  <si>
    <t>AS partner dist</t>
  </si>
  <si>
    <t>BS partner dist</t>
  </si>
  <si>
    <t>MN partner dist</t>
  </si>
  <si>
    <t>AS cumulative</t>
  </si>
  <si>
    <t>BS cumulative</t>
  </si>
  <si>
    <t>MN cumulative</t>
  </si>
  <si>
    <t>AS total-exit 5y</t>
  </si>
  <si>
    <t>BS total-exit 5y</t>
  </si>
  <si>
    <t>MN total-exit 5y</t>
  </si>
  <si>
    <t>AS total-exit 10y</t>
  </si>
  <si>
    <t>BS total-exit 10y</t>
  </si>
  <si>
    <t>MN total-exit 10y</t>
  </si>
  <si>
    <t>AS total-exit 15y</t>
  </si>
  <si>
    <t>BS total-exit 15y</t>
  </si>
  <si>
    <t>MN total-exit 15y</t>
  </si>
  <si>
    <t>AS total-exit 20y</t>
  </si>
  <si>
    <t>BS total-exit 20y</t>
  </si>
  <si>
    <t>MN total-exit 20y</t>
  </si>
  <si>
    <t>INVESTOR RETURNS &amp; KPIs — property-specific partner %</t>
  </si>
  <si>
    <t>Cash = property-specific partner distributions. Total = distributions + property-specific partner share of property value at exit.</t>
  </si>
  <si>
    <t>Partner distribution</t>
  </si>
  <si>
    <t>Cumulative distribution</t>
  </si>
  <si>
    <t>Total value if exit (cash + NAV)</t>
  </si>
  <si>
    <t>Total MOIC (incl. property value)</t>
  </si>
  <si>
    <t>HOLD-PERIOD KPIs</t>
  </si>
  <si>
    <t>Hold period</t>
  </si>
  <si>
    <t>3-year</t>
  </si>
  <si>
    <t>5-year</t>
  </si>
  <si>
    <t>10-year</t>
  </si>
  <si>
    <t>15-year</t>
  </si>
  <si>
    <t>20-year</t>
  </si>
  <si>
    <t>Cash IRR</t>
  </si>
  <si>
    <t>Total IRR (incl. property value)</t>
  </si>
  <si>
    <t>Total MOIC</t>
  </si>
  <si>
    <t>50% PARTNER VIEW — key investor context</t>
  </si>
  <si>
    <t>Buy-in paid by 50% partner</t>
  </si>
  <si>
    <t>Partner NAV today @ 50%</t>
  </si>
  <si>
    <t>— exit cashflow helpers (t0 col C … t20 col W) —</t>
  </si>
  <si>
    <t>cash 3y</t>
  </si>
  <si>
    <t>cash 5y</t>
  </si>
  <si>
    <t>cash 10y</t>
  </si>
  <si>
    <t>cash 15y</t>
  </si>
  <si>
    <t>cash 20y</t>
  </si>
  <si>
    <t>total 3y</t>
  </si>
  <si>
    <t>total 5y</t>
  </si>
  <si>
    <t>total 10y</t>
  </si>
  <si>
    <t>total 15y</t>
  </si>
  <si>
    <t>total 20y</t>
  </si>
  <si>
    <t>SENSITIVITY &amp; RISKS — live one-way IRR data-tables</t>
  </si>
  <si>
    <t>Each row recomputes the FULL 20-year partner return with one input changed (all other Control inputs held live). Base row is highlighted and equals the main model. Scenario input cells are yellow — edit them freely.</t>
  </si>
  <si>
    <t>Note: scenarios recompute the full 20-year return. 5-, 10-, and 15-year base-case partner KPIs are now shown on Investor KPIs and Investor Close Summary to avoid mixing base hold periods with scenario sensitivities.</t>
  </si>
  <si>
    <t>Occupancy</t>
  </si>
  <si>
    <t>20-yr Total IRR</t>
  </si>
  <si>
    <t>20-yr Total MOIC</t>
  </si>
  <si>
    <t>Payback (yr)</t>
  </si>
  <si>
    <t>ADR / RATE ESCALATION p.a. (Control!B11)</t>
  </si>
  <si>
    <t>ADR escalation</t>
  </si>
  <si>
    <t>TOUR GROSS PROFIT (× base, via ASKY Tours Calcs)</t>
  </si>
  <si>
    <t>Tour GP (× base)</t>
  </si>
  <si>
    <t>EXIT PROPERTY GROWTH p.a. (Control!B70)</t>
  </si>
  <si>
    <t>Exit growth</t>
  </si>
  <si>
    <t>RISK REGISTER &amp; MITIGANTS</t>
  </si>
  <si>
    <t>Risk</t>
  </si>
  <si>
    <t>Why it matters</t>
  </si>
  <si>
    <t>Mitigant / response</t>
  </si>
  <si>
    <t>VAT / tax treatment</t>
  </si>
  <si>
    <t>Can affect net cashflows and transaction structure; turnover (incl. tours) is well over the R1m threshold.</t>
  </si>
  <si>
    <t>Keep flagged; obtain accountant sign-off before closing.</t>
  </si>
  <si>
    <t>Property transfer / legal structuring</t>
  </si>
  <si>
    <t>Transfer duty, VAT, CGT, s42 roll-over and shareholder docs affect execution.</t>
  </si>
  <si>
    <t>Attorney review and final deal structure before signature.</t>
  </si>
  <si>
    <t>African Sky operating income vs property value</t>
  </si>
  <si>
    <t>Operating NOI implies a high value if capitalised directly.</t>
  </si>
  <si>
    <t>Model adopts a conservative property value; operating upside shown separately.</t>
  </si>
  <si>
    <t>Tour take-up / supplier cost</t>
  </si>
  <si>
    <t>Tours materially contribute gross profit (see Tour GP table above).</t>
  </si>
  <si>
    <t>ASKY Tours Calcs is the source; update supplier costs/take-up as quotes firm up.</t>
  </si>
  <si>
    <t>Occupancy vs realised history</t>
  </si>
  <si>
    <t>Model runs 75%; realised bookings imply ~67-71% (see ASKY Stay Calc).</t>
  </si>
  <si>
    <t>Occupancy table above shows the return at 65-85%.</t>
  </si>
  <si>
    <t>Winchester expansion optional</t>
  </si>
  <si>
    <t>Timing/cost risk affects Year 1/2 cashflow only when Winchester expansion is set to Y on Control.</t>
  </si>
  <si>
    <t>Construction capex and revenue are gated by Control!B7; if N, sensitivity engine excludes Winchester.</t>
  </si>
  <si>
    <t>Exit growth assumption</t>
  </si>
  <si>
    <t>Exit NAV grows at the property value growth p.a. assumption (Control!B70); a large part of total return.</t>
  </si>
  <si>
    <t>Exit-growth table above shows the return at 0-9%.</t>
  </si>
  <si>
    <t>— live calculation engine below (safe to ignore / can be hidden) —</t>
  </si>
  <si>
    <t>[calc] Occupancy 0.65 dist</t>
  </si>
  <si>
    <t>[calc] Occupancy 0.65 cum</t>
  </si>
  <si>
    <t>[calc] Occupancy 0.7 dist</t>
  </si>
  <si>
    <t>[calc] Occupancy 0.7 cum</t>
  </si>
  <si>
    <t>[calc] Occupancy 0.75 dist</t>
  </si>
  <si>
    <t>[calc] Occupancy 0.75 cum</t>
  </si>
  <si>
    <t>[calc] Occupancy 0.8 dist</t>
  </si>
  <si>
    <t>[calc] Occupancy 0.8 cum</t>
  </si>
  <si>
    <t>[calc] Occupancy 0.85 dist</t>
  </si>
  <si>
    <t>[calc] Occupancy 0.85 cum</t>
  </si>
  <si>
    <t>[calc] ADR escalation 0.03 dist</t>
  </si>
  <si>
    <t>[calc] ADR escalation 0.03 cum</t>
  </si>
  <si>
    <t>[calc] ADR escalation 0.04 dist</t>
  </si>
  <si>
    <t>[calc] ADR escalation 0.04 cum</t>
  </si>
  <si>
    <t>[calc] ADR escalation 0.05 dist</t>
  </si>
  <si>
    <t>[calc] ADR escalation 0.05 cum</t>
  </si>
  <si>
    <t>[calc] ADR escalation 0.06 dist</t>
  </si>
  <si>
    <t>[calc] ADR escalation 0.06 cum</t>
  </si>
  <si>
    <t>[calc] ADR escalation 0.07 dist</t>
  </si>
  <si>
    <t>[calc] ADR escalation 0.07 cum</t>
  </si>
  <si>
    <t>[calc] Tour GP (× base) 0.6 dist</t>
  </si>
  <si>
    <t>[calc] Tour GP (× base) 0.6 cum</t>
  </si>
  <si>
    <t>[calc] Tour GP (× base) 0.8 dist</t>
  </si>
  <si>
    <t>[calc] Tour GP (× base) 0.8 cum</t>
  </si>
  <si>
    <t>[calc] Tour GP (× base) 1.0 dist</t>
  </si>
  <si>
    <t>[calc] Tour GP (× base) 1.0 cum</t>
  </si>
  <si>
    <t>[calc] Tour GP (× base) 1.2 dist</t>
  </si>
  <si>
    <t>[calc] Tour GP (× base) 1.2 cum</t>
  </si>
  <si>
    <t>[calc] Tour GP (× base) 1.4 dist</t>
  </si>
  <si>
    <t>[calc] Tour GP (× base) 1.4 cum</t>
  </si>
  <si>
    <t>[calc] Exit growth 0.0 dist</t>
  </si>
  <si>
    <t>[calc] Exit growth 0.0 cum</t>
  </si>
  <si>
    <t>[calc] Exit growth 0.03 dist</t>
  </si>
  <si>
    <t>[calc] Exit growth 0.03 cum</t>
  </si>
  <si>
    <t>[calc] Exit growth 0.05 dist</t>
  </si>
  <si>
    <t>[calc] Exit growth 0.05 cum</t>
  </si>
  <si>
    <t>[calc] Exit growth 0.07 dist</t>
  </si>
  <si>
    <t>[calc] Exit growth 0.07 cum</t>
  </si>
  <si>
    <t>[calc] Exit growth 0.09 dist</t>
  </si>
  <si>
    <t>[calc] Exit growth 0.09 cum</t>
  </si>
  <si>
    <t>INVESTOR CLOSE SUMMARY — property-specific partner %</t>
  </si>
  <si>
    <t>Live linked to the model. Update Control inputs and this summary recalculates.</t>
  </si>
  <si>
    <t>Source / note</t>
  </si>
  <si>
    <t>Control!B15</t>
  </si>
  <si>
    <t>NAV uplift / discount to buy-in</t>
  </si>
  <si>
    <t>Partner NAV today ÷ buy-in - 1</t>
  </si>
  <si>
    <t>Portfolio NewCo!C16</t>
  </si>
  <si>
    <t>Investor KPIs!C9</t>
  </si>
  <si>
    <t>Payback year from distributions</t>
  </si>
  <si>
    <t>First year cumulative distributions exceed buy-in</t>
  </si>
  <si>
    <t>5-year cash MOIC</t>
  </si>
  <si>
    <t>Investor KPIs!C19</t>
  </si>
  <si>
    <t>5-year total IRR incl. NAV</t>
  </si>
  <si>
    <t>Investor KPIs!C18</t>
  </si>
  <si>
    <t>10-year total MOIC incl. NAV</t>
  </si>
  <si>
    <t>Investor KPIs!D20</t>
  </si>
  <si>
    <t>50% PARTNER HOLD-PERIOD ILLUSTRATION</t>
  </si>
  <si>
    <t>Total IRR incl. NAV</t>
  </si>
  <si>
    <t>Total value if exit</t>
  </si>
  <si>
    <t>Close narrative</t>
  </si>
  <si>
    <t>Partner buys 50% of NewCo; buy-in is consideration to current owner, not working capital.</t>
  </si>
  <si>
    <t>Returns are driven by 50% share of distributable profit plus partner NAV at exit.</t>
  </si>
  <si>
    <t>Property exit NAV now links to the model property appreciation assumption.</t>
  </si>
  <si>
    <t>African Sky adopted value remains conservative versus operating-income-cap memo value.</t>
  </si>
  <si>
    <t>LEVERAGE &amp; GROWTH ENGINE — how fast the portfolio can scale</t>
  </si>
  <si>
    <t>ILLUSTRATIVE. Refinances to the target LTV each year and redeploys released equity + reinvested free cashflow into new assets at the acquisition yield. Shows how disciplined gearing compounds portfolio value. Debt/returns are pre-personal-tax; NOT a financing commitment.</t>
  </si>
  <si>
    <t>Stabilised portfolio income yield (assumption)</t>
  </si>
  <si>
    <t>Opening portfolio value</t>
  </si>
  <si>
    <t>Debt @ target LTV</t>
  </si>
  <si>
    <t>Equity</t>
  </si>
  <si>
    <t>After-tax NOI generated</t>
  </si>
  <si>
    <t>Interest cost</t>
  </si>
  <si>
    <t>Free cashflow (NOI − interest)</t>
  </si>
  <si>
    <t>Property appreciation</t>
  </si>
  <si>
    <t>Debt capacity released (LTV × appreciation)</t>
  </si>
  <si>
    <t>Acquisition equity (reinvested FCF + released)</t>
  </si>
  <si>
    <t>Acquisitions added (geared, ÷(1−LTV))</t>
  </si>
  <si>
    <t>CLOSING portfolio value</t>
  </si>
  <si>
    <t>Equity value (closing)</t>
  </si>
  <si>
    <t>DSCR (NOI ÷ interest)</t>
  </si>
  <si>
    <t>Portfolio value growth (× vs today)</t>
  </si>
  <si>
    <t>Raw bookings (364) — the source data</t>
  </si>
  <si>
    <t>Arrival</t>
  </si>
  <si>
    <t>Last night</t>
  </si>
  <si>
    <t>Villa</t>
  </si>
  <si>
    <t>Guest</t>
  </si>
  <si>
    <t>Nights</t>
  </si>
  <si>
    <t>Meal plan</t>
  </si>
  <si>
    <t>Source</t>
  </si>
  <si>
    <t>Revenue (gross)</t>
  </si>
  <si>
    <t>Juliana Borelli</t>
  </si>
  <si>
    <t>B&amp;B</t>
  </si>
  <si>
    <t>Booking.com</t>
  </si>
  <si>
    <t>Sky Villa</t>
  </si>
  <si>
    <t>Karen Dreyer</t>
  </si>
  <si>
    <t>Self-catering</t>
  </si>
  <si>
    <t>Airbnb</t>
  </si>
  <si>
    <t>Ronelle Bester</t>
  </si>
  <si>
    <t>TIMOTHY ARMSTRONG</t>
  </si>
  <si>
    <t>matthew Brusik</t>
  </si>
  <si>
    <t>Dinner B&amp;B</t>
  </si>
  <si>
    <t>Moshe Kao</t>
  </si>
  <si>
    <t>Andreas Scheller</t>
  </si>
  <si>
    <t>Sandra de Kloe</t>
  </si>
  <si>
    <t>Martina Dudink - van Bakel</t>
  </si>
  <si>
    <t>Andreas Manuel Sattler</t>
  </si>
  <si>
    <t>Magdalena Sobolewska</t>
  </si>
  <si>
    <t>Stuart Foster</t>
  </si>
  <si>
    <t>Christian Schiffbenker</t>
  </si>
  <si>
    <t>Michael Bartman</t>
  </si>
  <si>
    <t>Elke Traumuller-Olckers</t>
  </si>
  <si>
    <t>Tomiczek Stephan</t>
  </si>
  <si>
    <t>Michael Sommerhuber</t>
  </si>
  <si>
    <t>Rafael Stahl</t>
  </si>
  <si>
    <t>Inez und Nicole Kruger</t>
  </si>
  <si>
    <t>Kelly Thys</t>
  </si>
  <si>
    <t>Simone Teodori</t>
  </si>
  <si>
    <t>Own web site</t>
  </si>
  <si>
    <t>Elizabeth Puckering</t>
  </si>
  <si>
    <t>Craig Sinclair</t>
  </si>
  <si>
    <t>Kartika Sidabutar</t>
  </si>
  <si>
    <t>Jonas Bouwer</t>
  </si>
  <si>
    <t>Annika Schwehn</t>
  </si>
  <si>
    <t>Camille FILLIA</t>
  </si>
  <si>
    <t>van Lankeren Nancy</t>
  </si>
  <si>
    <t>Julia Welz</t>
  </si>
  <si>
    <t>Elena Haid</t>
  </si>
  <si>
    <t>Frank Peters</t>
  </si>
  <si>
    <t>Maudi Ramaboea</t>
  </si>
  <si>
    <t>Birgit Reinhardt</t>
  </si>
  <si>
    <t>Andreas Furtmeier</t>
  </si>
  <si>
    <t>Lois Massiel</t>
  </si>
  <si>
    <t>Karina Fridas</t>
  </si>
  <si>
    <t>Martin Klarner</t>
  </si>
  <si>
    <t>robbie linschoten</t>
  </si>
  <si>
    <t>Rutger Dijkstra</t>
  </si>
  <si>
    <t>GEOFF HEALD</t>
  </si>
  <si>
    <t>Jean-Paul Mouton</t>
  </si>
  <si>
    <t>Trace MacArthur</t>
  </si>
  <si>
    <t>ARIK KRAUSE</t>
  </si>
  <si>
    <t>Shonisani Tshigomana</t>
  </si>
  <si>
    <t>Alexander Grosser</t>
  </si>
  <si>
    <t>Daniela Figueiredo</t>
  </si>
  <si>
    <t>Svetlana Utkina</t>
  </si>
  <si>
    <t>Corinda Rozeboom e.v. Hofm</t>
  </si>
  <si>
    <t>Bernhard Bolinius</t>
  </si>
  <si>
    <t>Eva Seko</t>
  </si>
  <si>
    <t>Anna Auberger</t>
  </si>
  <si>
    <t>Katharina Schwegmann</t>
  </si>
  <si>
    <t>makhosazana Dludlu</t>
  </si>
  <si>
    <t>Scott Towler</t>
  </si>
  <si>
    <t>Sam de Spiegelaere</t>
  </si>
  <si>
    <t>Adriaan Botha</t>
  </si>
  <si>
    <t>Florent Palin</t>
  </si>
  <si>
    <t>Florence Desvernois</t>
  </si>
  <si>
    <t>Philippe</t>
  </si>
  <si>
    <t>Brendan Fletcher</t>
  </si>
  <si>
    <t>Jort Lola</t>
  </si>
  <si>
    <t>Nikola Loerzer</t>
  </si>
  <si>
    <t>Andreas Aichinger</t>
  </si>
  <si>
    <t>Ulf Merschmann</t>
  </si>
  <si>
    <t>Anna Seliger</t>
  </si>
  <si>
    <t>Doris Makgale</t>
  </si>
  <si>
    <t>Nicki Wimmer</t>
  </si>
  <si>
    <t>Preshlan Chetty</t>
  </si>
  <si>
    <t>Aleksandra Bunya</t>
  </si>
  <si>
    <t>Dennis Thomas Koschmieder</t>
  </si>
  <si>
    <t>Tanya Burrows</t>
  </si>
  <si>
    <t>Richard Tucker</t>
  </si>
  <si>
    <t>Bernd Bok</t>
  </si>
  <si>
    <t>Prawpun Euekittiroj</t>
  </si>
  <si>
    <t>Jaden Griggs</t>
  </si>
  <si>
    <t>franck brugiere</t>
  </si>
  <si>
    <t>Barthel Westendorp</t>
  </si>
  <si>
    <t>Charlie Guilloux</t>
  </si>
  <si>
    <t>ankie bakker</t>
  </si>
  <si>
    <t>leon</t>
  </si>
  <si>
    <t>Other</t>
  </si>
  <si>
    <t>Loris Schenberg</t>
  </si>
  <si>
    <t>Beatriz Lopes</t>
  </si>
  <si>
    <t>Robson Marques dos Santos</t>
  </si>
  <si>
    <t>Lillie Echevarria</t>
  </si>
  <si>
    <t>dreyer hoffman</t>
  </si>
  <si>
    <t>Haris Custovic</t>
  </si>
  <si>
    <t>Karin Buteijn</t>
  </si>
  <si>
    <t>Clarisse Hoernel</t>
  </si>
  <si>
    <t>ARPAD KISCH</t>
  </si>
  <si>
    <t>Tomas Diaz Lopez</t>
  </si>
  <si>
    <t>Virpi Jarvelainen</t>
  </si>
  <si>
    <t>Daniela Puellen</t>
  </si>
  <si>
    <t>Kemp Chrisna</t>
  </si>
  <si>
    <t>Kevin ALLEBE</t>
  </si>
  <si>
    <t>Saul Clay</t>
  </si>
  <si>
    <t>WebView</t>
  </si>
  <si>
    <t>Nigg Paale Dannemann</t>
  </si>
  <si>
    <t>Meersman Annick</t>
  </si>
  <si>
    <t>Jo Cronin</t>
  </si>
  <si>
    <t>caroline lapierre</t>
  </si>
  <si>
    <t>Salome Stock</t>
  </si>
  <si>
    <t>Dion Slutter</t>
  </si>
  <si>
    <t>Tayla Lee Gerrard</t>
  </si>
  <si>
    <t>Andre Cools</t>
  </si>
  <si>
    <t>pierric chotard</t>
  </si>
  <si>
    <t>Sanna-Maria Viertola</t>
  </si>
  <si>
    <t>Nicole Stolk</t>
  </si>
  <si>
    <t>Emilia mateo munoz</t>
  </si>
  <si>
    <t>Siemen Kwinten</t>
  </si>
  <si>
    <t>Elisama Costa</t>
  </si>
  <si>
    <t>Bill Donald</t>
  </si>
  <si>
    <t>Christy Minor</t>
  </si>
  <si>
    <t>Jorg Fuge</t>
  </si>
  <si>
    <t>Mr and Mrs Zuidema</t>
  </si>
  <si>
    <t>Pieter Silenga</t>
  </si>
  <si>
    <t>HEROLDT</t>
  </si>
  <si>
    <t>Lynn Kohls</t>
  </si>
  <si>
    <t>Maik Gross</t>
  </si>
  <si>
    <t>JUCIMARA Berton</t>
  </si>
  <si>
    <t>aylin koerfer</t>
  </si>
  <si>
    <t>August Morena</t>
  </si>
  <si>
    <t>Joris Vanwelkenhuyzen</t>
  </si>
  <si>
    <t>BLANCA FERRANDO HARO</t>
  </si>
  <si>
    <t>HEALTHCARE JUDE</t>
  </si>
  <si>
    <t>Giulia Muneratti</t>
  </si>
  <si>
    <t>Camilla Mosele</t>
  </si>
  <si>
    <t>Joelso Lopes de Miranda</t>
  </si>
  <si>
    <t>Inge Kaptein</t>
  </si>
  <si>
    <t>Bianca Op den Drink</t>
  </si>
  <si>
    <t>Alina Kruger</t>
  </si>
  <si>
    <t>Remco Spaan</t>
  </si>
  <si>
    <t>Martin Schulze</t>
  </si>
  <si>
    <t>Anne Giese</t>
  </si>
  <si>
    <t>Dominik Haba</t>
  </si>
  <si>
    <t>Omphemetse Mosito</t>
  </si>
  <si>
    <t>Javier de Ancos Martin</t>
  </si>
  <si>
    <t>Mathieu Dihal</t>
  </si>
  <si>
    <t>Theresa Lorenz</t>
  </si>
  <si>
    <t>Jan Philipp Huber</t>
  </si>
  <si>
    <t>Maria dominique</t>
  </si>
  <si>
    <t>Klaus Lippert</t>
  </si>
  <si>
    <t>Jacqueline Derron</t>
  </si>
  <si>
    <t>Mathijs Vandenboorn</t>
  </si>
  <si>
    <t>Jet Hammingh-Joustra</t>
  </si>
  <si>
    <t>Charlotte Human</t>
  </si>
  <si>
    <t>ronald granju</t>
  </si>
  <si>
    <t>Denis Long</t>
  </si>
  <si>
    <t>Guido Bachmann</t>
  </si>
  <si>
    <t>Christiaan Crickemans</t>
  </si>
  <si>
    <t>Karabo Mashego</t>
  </si>
  <si>
    <t>Gunter Korpiun</t>
  </si>
  <si>
    <t>Kerstin Weber</t>
  </si>
  <si>
    <t>Kelly Johnstone</t>
  </si>
  <si>
    <t>Christian Joseph Lingan</t>
  </si>
  <si>
    <t>Sibylle Von Aarburg</t>
  </si>
  <si>
    <t>Lea Chan</t>
  </si>
  <si>
    <t>ZIQIAN CHEN</t>
  </si>
  <si>
    <t>LERATO Nkadimeng</t>
  </si>
  <si>
    <t>GENEVIEVE ROASIO</t>
  </si>
  <si>
    <t>Noelia Garcia</t>
  </si>
  <si>
    <t>Markus Morick</t>
  </si>
  <si>
    <t>Viktoria Bratolubova</t>
  </si>
  <si>
    <t>Coeni Brink</t>
  </si>
  <si>
    <t>Lucas Daimer</t>
  </si>
  <si>
    <t>Hepke Michael</t>
  </si>
  <si>
    <t>Lennart Ruschenschmidt</t>
  </si>
  <si>
    <t>GIANNI BLARD</t>
  </si>
  <si>
    <t>Thitaree BOONKET</t>
  </si>
  <si>
    <t>Marnie Bean</t>
  </si>
  <si>
    <t>katia</t>
  </si>
  <si>
    <t>Max Muller</t>
  </si>
  <si>
    <t>Hendrike Walz-Bothe</t>
  </si>
  <si>
    <t>Thorsten Bartoelke</t>
  </si>
  <si>
    <t>Francine Godreau</t>
  </si>
  <si>
    <t>Ivan Fernando Palacios Pal</t>
  </si>
  <si>
    <t>Edward Humble</t>
  </si>
  <si>
    <t>Marcus Meyer</t>
  </si>
  <si>
    <t>Rebecca Maepa</t>
  </si>
  <si>
    <t>Marcel Hoogendoorn</t>
  </si>
  <si>
    <t>Natalia Graf</t>
  </si>
  <si>
    <t>Sarah Meinecke</t>
  </si>
  <si>
    <t>Oliveira de Mello Ariane</t>
  </si>
  <si>
    <t>Arthur Bettonvil</t>
  </si>
  <si>
    <t>Anastasiia Baraksanova</t>
  </si>
  <si>
    <t>Marta garcia sanchis</t>
  </si>
  <si>
    <t>Susanne Thiem</t>
  </si>
  <si>
    <t>Annette van de Voort-van T</t>
  </si>
  <si>
    <t>Merle Fiona Larissa Labugg</t>
  </si>
  <si>
    <t>Michael Ben Dahar</t>
  </si>
  <si>
    <t>camille person</t>
  </si>
  <si>
    <t>Patricia Kirkpatrick</t>
  </si>
  <si>
    <t>Frank Eichhorn</t>
  </si>
  <si>
    <t>Miguel Rodriguez</t>
  </si>
  <si>
    <t>Laura Brasileiro</t>
  </si>
  <si>
    <t>Tabea Jung</t>
  </si>
  <si>
    <t>Nkami Baloyi</t>
  </si>
  <si>
    <t>Michael van Best</t>
  </si>
  <si>
    <t>Mitja Kolbl</t>
  </si>
  <si>
    <t>Neal Munyebvu</t>
  </si>
  <si>
    <t>Leda Louzane Oliveira</t>
  </si>
  <si>
    <t>Sumeet Bhardwaj</t>
  </si>
  <si>
    <t>Lucy Masilela</t>
  </si>
  <si>
    <t>Penny Adams</t>
  </si>
  <si>
    <t>Nthabiseng Mashilane</t>
  </si>
  <si>
    <t>Graziella Priego</t>
  </si>
  <si>
    <t>Kyungsoo Jeong</t>
  </si>
  <si>
    <t>Alena Schnebel</t>
  </si>
  <si>
    <t>Hedia Lahlah</t>
  </si>
  <si>
    <t>Takashi Hakari</t>
  </si>
  <si>
    <t>Jessica Boonstra</t>
  </si>
  <si>
    <t>Ghalied Jakoet</t>
  </si>
  <si>
    <t>Alexander Schoberer</t>
  </si>
  <si>
    <t>Susanne Lieb Lieb</t>
  </si>
  <si>
    <t>Karel Noppe Brooks</t>
  </si>
  <si>
    <t>Jacco Poppe</t>
  </si>
  <si>
    <t>Paolo Raimondi</t>
  </si>
  <si>
    <t>nadia zucchi</t>
  </si>
  <si>
    <t>Kreshanti Wright</t>
  </si>
  <si>
    <t>Vinicius Luiz Zoanys dos S</t>
  </si>
  <si>
    <t>Sebastien DUMESGNIL D ENGE</t>
  </si>
  <si>
    <t>Tudor Popescu</t>
  </si>
  <si>
    <t>Tobias Vogel</t>
  </si>
  <si>
    <t>Jacqui Louw</t>
  </si>
  <si>
    <t>Rafael Souza</t>
  </si>
  <si>
    <t>Andre Luis de Oliveira Sil</t>
  </si>
  <si>
    <t>Sandra Berenst</t>
  </si>
  <si>
    <t>Ana Luiza Gouveia De Olive</t>
  </si>
  <si>
    <t>Katja Martin</t>
  </si>
  <si>
    <t>Ernesta Kelertiene</t>
  </si>
  <si>
    <t>Jean-Marie LUCAS</t>
  </si>
  <si>
    <t>Denis Kusakin</t>
  </si>
  <si>
    <t>Csaba Toth</t>
  </si>
  <si>
    <t>Jonas Schendzielorz</t>
  </si>
  <si>
    <t>Sophie Muller</t>
  </si>
  <si>
    <t>Roger Schoch</t>
  </si>
  <si>
    <t>Marcel Stoffer</t>
  </si>
  <si>
    <t>Natascha Burgers</t>
  </si>
  <si>
    <t>Inke van Gameren</t>
  </si>
  <si>
    <t>Thomas Hauck</t>
  </si>
  <si>
    <t>Chris Wafer</t>
  </si>
  <si>
    <t>REEVA TABACK</t>
  </si>
  <si>
    <t>Mark Alexander</t>
  </si>
  <si>
    <t>Corne Malherbe</t>
  </si>
  <si>
    <t>Zintle Twala</t>
  </si>
  <si>
    <t>Martha Louisa Steyn</t>
  </si>
  <si>
    <t>Alexandre Lima</t>
  </si>
  <si>
    <t>Cathy Cumming</t>
  </si>
  <si>
    <t>Raquel Pina</t>
  </si>
  <si>
    <t>Johan Sprukkelhorst</t>
  </si>
  <si>
    <t>Joanne Neasham</t>
  </si>
  <si>
    <t>geraldine barthelemy</t>
  </si>
  <si>
    <t>Aline Vilela</t>
  </si>
  <si>
    <t>jean hoffman</t>
  </si>
  <si>
    <t>OITSHUPILE MMATLI</t>
  </si>
  <si>
    <t>Katja Tarnowski</t>
  </si>
  <si>
    <t>Martin Kummer</t>
  </si>
  <si>
    <t>Katarzyna Hanysz</t>
  </si>
  <si>
    <t>Sunazuka Dai</t>
  </si>
  <si>
    <t>Renan Mutai Fraguglia</t>
  </si>
  <si>
    <t>Dirk Erfurth</t>
  </si>
  <si>
    <t>Caroline Vonflie</t>
  </si>
  <si>
    <t>JEAN VERANI</t>
  </si>
  <si>
    <t>Thomas Malekpanah</t>
  </si>
  <si>
    <t>Giovanni Sighinolfi</t>
  </si>
  <si>
    <t>Frederic grille</t>
  </si>
  <si>
    <t>Antoine LUCAS</t>
  </si>
  <si>
    <t>Agnes Thomas</t>
  </si>
  <si>
    <t>Katja Faude</t>
  </si>
  <si>
    <t>Eric Cillien</t>
  </si>
  <si>
    <t>Renate Wenghofer</t>
  </si>
  <si>
    <t>Karl Kisch</t>
  </si>
  <si>
    <t>NATALIA VARGAS</t>
  </si>
  <si>
    <t>Maris Rozentals</t>
  </si>
  <si>
    <t>Katarzyna Wisniewski</t>
  </si>
  <si>
    <t>Nadja Van rems</t>
  </si>
  <si>
    <t>Jan Hoogendyk</t>
  </si>
  <si>
    <t>Mirko Scheske</t>
  </si>
  <si>
    <t>Henry Wolff</t>
  </si>
  <si>
    <t>Joana Ferreira</t>
  </si>
  <si>
    <t>Angelique CATTEAU</t>
  </si>
  <si>
    <t>Marieke Hulshof</t>
  </si>
  <si>
    <t>Marjolein Dubbeld</t>
  </si>
  <si>
    <t>Mark Ruiter</t>
  </si>
  <si>
    <t>Dietmar Wenderoth</t>
  </si>
  <si>
    <t>Marcel luijnenburg</t>
  </si>
  <si>
    <t>Roberto Gisolfi</t>
  </si>
  <si>
    <t>dominiek pillaert</t>
  </si>
  <si>
    <t>Anja Schiller</t>
  </si>
  <si>
    <t>Jan Janssen</t>
  </si>
  <si>
    <t>Aren SERIK</t>
  </si>
  <si>
    <t>Carl-helmut Coulon</t>
  </si>
  <si>
    <t>Sabine Coulon</t>
  </si>
  <si>
    <t>Kaat De Tant</t>
  </si>
  <si>
    <t>Pieter Maritz</t>
  </si>
  <si>
    <t>Lewis Palmer</t>
  </si>
  <si>
    <t>Alexandria Moore</t>
  </si>
  <si>
    <t>Vanessa Sauvage</t>
  </si>
  <si>
    <t>Tronghien Pham</t>
  </si>
  <si>
    <t>Stefanie Luise Achtziger-V</t>
  </si>
  <si>
    <t>Steffen Seide</t>
  </si>
  <si>
    <t>Elke Huber</t>
  </si>
  <si>
    <t>Christian Hartmann</t>
  </si>
  <si>
    <t>Lisa Buttigieg</t>
  </si>
  <si>
    <t>Wiest Christian</t>
  </si>
  <si>
    <t>Michel DARTHUY</t>
  </si>
  <si>
    <t>Lutz Weber</t>
  </si>
  <si>
    <t>Ralf Imhof</t>
  </si>
  <si>
    <t>Alexander Kleusberg</t>
  </si>
  <si>
    <t>Birgit Hotowy</t>
  </si>
  <si>
    <t>Laurane Balanganani</t>
  </si>
  <si>
    <t>cecile Bertomeu</t>
  </si>
  <si>
    <t>Sandra Porz</t>
  </si>
  <si>
    <t>Joanne Unsworth</t>
  </si>
  <si>
    <t>Sharon Greenwood</t>
  </si>
  <si>
    <t>Vilma Pereira Rodrigues</t>
  </si>
  <si>
    <t>Mabeline Yeo</t>
  </si>
  <si>
    <t>Joanna Bellinghausen</t>
  </si>
  <si>
    <t>AISA ZOLVANOVA</t>
  </si>
  <si>
    <t>Konrad Braun</t>
  </si>
  <si>
    <t>Stefanie Hahn</t>
  </si>
  <si>
    <t>Thomas Golla</t>
  </si>
  <si>
    <t>Andreas Wenner</t>
  </si>
  <si>
    <t>Ruud Wiersma</t>
  </si>
  <si>
    <t>Diana Kontermann</t>
  </si>
  <si>
    <t>Melina Scherzinger</t>
  </si>
  <si>
    <t>Eduard Calsbeek</t>
  </si>
  <si>
    <t>Roberto Santos Barros Juni</t>
  </si>
  <si>
    <t>veronique De Ravel Fontain</t>
  </si>
  <si>
    <t>Johanna Karkosch</t>
  </si>
  <si>
    <t>Sumaya sheriff</t>
  </si>
  <si>
    <t>Thubelihle Dlamini</t>
  </si>
  <si>
    <t>Jeremy Lee</t>
  </si>
  <si>
    <t>Jens Kampfer</t>
  </si>
  <si>
    <t>Mafafo Bonolo</t>
  </si>
  <si>
    <t>Bernd Klein</t>
  </si>
  <si>
    <t>COLUMN TOTALS</t>
  </si>
  <si>
    <t>All Bookings</t>
  </si>
  <si>
    <t>—</t>
  </si>
  <si>
    <t>COMPREHENSIVE KPI DASHBOARD — Extracted from Raw Booking Data</t>
  </si>
  <si>
    <t>Use these validated metrics to cross-check or update model assumptions. Timeframe: full dataset (~18 months).</t>
  </si>
  <si>
    <t>Remington</t>
  </si>
  <si>
    <t>Combined</t>
  </si>
  <si>
    <t>Notes / Model Use</t>
  </si>
  <si>
    <t>Date Range</t>
  </si>
  <si>
    <t>Earliest arrival</t>
  </si>
  <si>
    <t>Start of dataset</t>
  </si>
  <si>
    <t>Latest arrival</t>
  </si>
  <si>
    <t>End of dataset</t>
  </si>
  <si>
    <t>Days spanned</t>
  </si>
  <si>
    <t>Timeframe (years)</t>
  </si>
  <si>
    <t>For annualisation</t>
  </si>
  <si>
    <t>VOLUME METRICS</t>
  </si>
  <si>
    <t>Volume</t>
  </si>
  <si>
    <t>Total bookings</t>
  </si>
  <si>
    <t>Count of reservations</t>
  </si>
  <si>
    <t>Total room-nights</t>
  </si>
  <si>
    <t>Sum of stay nights</t>
  </si>
  <si>
    <t>Total guest-nights</t>
  </si>
  <si>
    <t>Room-nights × guests (meal base)</t>
  </si>
  <si>
    <t>ANNUALISED METRICS</t>
  </si>
  <si>
    <t>Annual</t>
  </si>
  <si>
    <t>Bookings / year</t>
  </si>
  <si>
    <t>Compare to ASKY Stay Calc H5:H6</t>
  </si>
  <si>
    <t>Room-nights / year</t>
  </si>
  <si>
    <t>Occupied unit-nights p.a.</t>
  </si>
  <si>
    <t>Guest-nights / year</t>
  </si>
  <si>
    <t>Meal revenue base p.a.</t>
  </si>
  <si>
    <t>Occupancy % (365 nights/unit)</t>
  </si>
  <si>
    <t>→ Control occupancy inputs</t>
  </si>
  <si>
    <t>STAY DURATION METRICS</t>
  </si>
  <si>
    <t>Duration</t>
  </si>
  <si>
    <t>Avg nights / booking</t>
  </si>
  <si>
    <t>→ ASKY Stay Calc F5:F6</t>
  </si>
  <si>
    <t>Median nights / booking</t>
  </si>
  <si>
    <t>→ ASKY Stay Calc G5:G6</t>
  </si>
  <si>
    <t>Min nights / booking</t>
  </si>
  <si>
    <t>Shortest stay</t>
  </si>
  <si>
    <t>Max nights / booking</t>
  </si>
  <si>
    <t>Longest stay</t>
  </si>
  <si>
    <t>STAY LENGTH DISTRIBUTION</t>
  </si>
  <si>
    <t>Stay Split</t>
  </si>
  <si>
    <t>1–2 nights (count)</t>
  </si>
  <si>
    <t>Short stays</t>
  </si>
  <si>
    <t>3–4 nights (count)</t>
  </si>
  <si>
    <t>Medium stays</t>
  </si>
  <si>
    <t>5+ nights (count)</t>
  </si>
  <si>
    <t>Long stays</t>
  </si>
  <si>
    <t>1–2 nights (%)</t>
  </si>
  <si>
    <t>3–4 nights (%)</t>
  </si>
  <si>
    <t>5+ nights (%)</t>
  </si>
  <si>
    <t>GUEST METRICS</t>
  </si>
  <si>
    <t>Total guests (sum)</t>
  </si>
  <si>
    <t>Sum of guests across all bookings</t>
  </si>
  <si>
    <t>Avg guests / booking</t>
  </si>
  <si>
    <t>Average party size</t>
  </si>
  <si>
    <t>Avg guests / room-night</t>
  </si>
  <si>
    <t>→ Control!B31 (2.8 assumed)</t>
  </si>
  <si>
    <t>Min guests / booking</t>
  </si>
  <si>
    <t>Smallest party</t>
  </si>
  <si>
    <t>Max guests / booking</t>
  </si>
  <si>
    <t>Largest party</t>
  </si>
  <si>
    <t>REVENUE METRICS</t>
  </si>
  <si>
    <t>Revenue</t>
  </si>
  <si>
    <t>Total gross revenue (ZAR)</t>
  </si>
  <si>
    <t>Sum of all booking revenue</t>
  </si>
  <si>
    <t>Avg revenue / booking</t>
  </si>
  <si>
    <t>RevPB</t>
  </si>
  <si>
    <t>ADR (revenue / room-night)</t>
  </si>
  <si>
    <t>Actual vs model ADR</t>
  </si>
  <si>
    <t>Annual gross revenue</t>
  </si>
  <si>
    <t>Annualised from dataset</t>
  </si>
  <si>
    <t>RevPAR (annual rev / 365)</t>
  </si>
  <si>
    <t>Revenue per available night</t>
  </si>
  <si>
    <t>BOOKING SOURCE DISTRIBUTION</t>
  </si>
  <si>
    <t>Booking.com (count)</t>
  </si>
  <si>
    <t>~20% commission</t>
  </si>
  <si>
    <t>Airbnb (count)</t>
  </si>
  <si>
    <t>~15% commission</t>
  </si>
  <si>
    <t>Own web site (count)</t>
  </si>
  <si>
    <t>0% commission</t>
  </si>
  <si>
    <t>Booking.com (%)</t>
  </si>
  <si>
    <t>Airbnb (%)</t>
  </si>
  <si>
    <t>Own web site (%)</t>
  </si>
  <si>
    <t>MEAL PLAN DISTRIBUTION</t>
  </si>
  <si>
    <t>Meal Plan</t>
  </si>
  <si>
    <t>Dinner B&amp;B (count)</t>
  </si>
  <si>
    <t>Both meals taken</t>
  </si>
  <si>
    <t>B&amp;B only (count)</t>
  </si>
  <si>
    <t>Breakfast only</t>
  </si>
  <si>
    <t>Self-catering (count)</t>
  </si>
  <si>
    <t>No meals</t>
  </si>
  <si>
    <t>Dinner B&amp;B (%)</t>
  </si>
  <si>
    <t>→ Model assumes 75% take meals</t>
  </si>
  <si>
    <t>B&amp;B only (%)</t>
  </si>
  <si>
    <t>Self-catering (%)</t>
  </si>
  <si>
    <t>Any meals taken (%)</t>
  </si>
  <si>
    <t>Dinner B&amp;B + B&amp;B only</t>
  </si>
  <si>
    <t>MODEL ASSUMPTION COMPARISON</t>
  </si>
  <si>
    <t>Property</t>
  </si>
  <si>
    <t>Actual (from data)</t>
  </si>
  <si>
    <t>Model assumes</t>
  </si>
  <si>
    <t>Variance</t>
  </si>
  <si>
    <t>ASV</t>
  </si>
  <si>
    <t>ASKY Stay Calc F5</t>
  </si>
  <si>
    <t>ASKY Stay Calc F6</t>
  </si>
  <si>
    <t>Annual occupancy %</t>
  </si>
  <si>
    <t>Control B30</t>
  </si>
  <si>
    <t>Control B34</t>
  </si>
  <si>
    <t>Guests taking meals %</t>
  </si>
  <si>
    <t>Model 75% assumption</t>
  </si>
  <si>
    <t>CONTROL INPUT DEPENDENCY ANALYSIS — What Drives the Model</t>
  </si>
  <si>
    <t>Control Cell</t>
  </si>
  <si>
    <t>Input Description</t>
  </si>
  <si>
    <t>Model Value</t>
  </si>
  <si>
    <t>Actual (Verified)</t>
  </si>
  <si>
    <t>Impact</t>
  </si>
  <si>
    <t>Sheets Using This Input</t>
  </si>
  <si>
    <t>Control!B30</t>
  </si>
  <si>
    <t>ASV — avg annual nights booked (%)</t>
  </si>
  <si>
    <t>African Sky P&amp;L (C7), Portfolio NewCo, INV sheets</t>
  </si>
  <si>
    <t>Control!B34</t>
  </si>
  <si>
    <t>Remington — avg annual nights booked (%)</t>
  </si>
  <si>
    <t>African Sky P&amp;L (C8), Portfolio NewCo, INV sheets</t>
  </si>
  <si>
    <t>ASV — avg guests per occupied unit-night</t>
  </si>
  <si>
    <t>African Sky P&amp;L (C11 guest-nights), meal calcs, tours</t>
  </si>
  <si>
    <t>Control!B35</t>
  </si>
  <si>
    <t>Remington — avg guests per occupied unit-night</t>
  </si>
  <si>
    <t>Control!B41</t>
  </si>
  <si>
    <t>African Sky P&amp;L (C12 meal covers → C13 meals income)</t>
  </si>
  <si>
    <t>Control!B52</t>
  </si>
  <si>
    <t>OTA channel commission (%)</t>
  </si>
  <si>
    <t>N/A - 20% commission on 90% OTA mix is valid</t>
  </si>
  <si>
    <t>Model uses 20% commission on 90% Booking.com mix</t>
  </si>
  <si>
    <t>ASV — ADR incl. 2 guests (ZAR/night)</t>
  </si>
  <si>
    <t>African Sky P&amp;L (C7) — Note: actual is net of commission</t>
  </si>
  <si>
    <t>Remington — ADR incl. 2 guests (ZAR/night)</t>
  </si>
  <si>
    <t>African Sky P&amp;L (C8) — Note: actual is net of commission</t>
  </si>
  <si>
    <t>ASKY Stay Calc!F5</t>
  </si>
  <si>
    <t>ASV — avg nights / booking (duration)</t>
  </si>
  <si>
    <t>ASKY Stay Calc (H5 bookings/year) — contextual only</t>
  </si>
  <si>
    <t>ASKY Stay Calc!F6</t>
  </si>
  <si>
    <t>Remington — avg nights / booking (duration)</t>
  </si>
  <si>
    <t>ASKY Stay Calc (H6 bookings/year) — contextual only</t>
  </si>
  <si>
    <t>KEY FINDING</t>
  </si>
  <si>
    <t>Meal uptake 94.8% vs model 75%</t>
  </si>
  <si>
    <t>UPSIDE to meal revenue</t>
  </si>
  <si>
    <t>Major revenue impact if model updated</t>
  </si>
  <si>
    <t>Remington guests/night 2.69 vs 2.4</t>
  </si>
  <si>
    <t>UPSIDE to guest-nights</t>
  </si>
  <si>
    <t>Increases Remington meal &amp; tour revenue</t>
  </si>
  <si>
    <t>HOW CONTROL INPUTS FLOW INTO THE MODEL</t>
  </si>
  <si>
    <t>Control Input</t>
  </si>
  <si>
    <t>→</t>
  </si>
  <si>
    <t>Drives Calculation</t>
  </si>
  <si>
    <t>Appears In</t>
  </si>
  <si>
    <t>B30 (ASV occ. 70%)</t>
  </si>
  <si>
    <t>365 × 70% = 255.5 room-nights</t>
  </si>
  <si>
    <t>African Sky P&amp;L row 7 (accommodation rev)</t>
  </si>
  <si>
    <t>B31 (ASV guests 2.8)</t>
  </si>
  <si>
    <t>255.5 × 2.8 = 715 guest-nights</t>
  </si>
  <si>
    <t>African Sky P&amp;L row 11 → row 12 (meal covers)</t>
  </si>
  <si>
    <t>B34 (Rem occ. 61%)</t>
  </si>
  <si>
    <t>365 × 61% = 222.7 room-nights</t>
  </si>
  <si>
    <t>African Sky P&amp;L row 8 (accommodation rev)</t>
  </si>
  <si>
    <t>B35 (Rem guests 2.4)</t>
  </si>
  <si>
    <t>222.7 × 2.4 = 534 guest-nights</t>
  </si>
  <si>
    <t>B41 (Meal take-up 75%)</t>
  </si>
  <si>
    <t>Guest-nights × 75% = meal covers</t>
  </si>
  <si>
    <t>African Sky P&amp;L row 12 → row 13 (meals income)</t>
  </si>
  <si>
    <t>B52 (Commission 20%)</t>
  </si>
  <si>
    <t>Accommodation rev × 20%</t>
  </si>
  <si>
    <t>African Sky P&amp;L row 17 (channel commission)</t>
  </si>
  <si>
    <t>STAY DURATION NOTE</t>
  </si>
  <si>
    <t>ASKY Stay Calc F5:F6 calculates avg nights/booking from this same data, but the P&amp;L uses room-nights directly (not bookings × duration).</t>
  </si>
  <si>
    <t>Duration is contextual for investor explanation but does not feed P&amp;L formulas.</t>
  </si>
  <si>
    <t>RECOMMENDATIONS — Where Actuals Differ from Model</t>
  </si>
  <si>
    <t>Priority</t>
  </si>
  <si>
    <t>Finding</t>
  </si>
  <si>
    <t>Model Input</t>
  </si>
  <si>
    <t>Verified Actual</t>
  </si>
  <si>
    <t>Recommendation</t>
  </si>
  <si>
    <t>Revenue Impact</t>
  </si>
  <si>
    <t>🔴 HIGH</t>
  </si>
  <si>
    <t>Meal uptake under-estimated</t>
  </si>
  <si>
    <t>UPDATE Control!B41 to 95%</t>
  </si>
  <si>
    <t>+26% meal revenue (~R130k/yr)</t>
  </si>
  <si>
    <t>🟡 MEDIUM</t>
  </si>
  <si>
    <t>Remington guests/night too low</t>
  </si>
  <si>
    <t>UPDATE Control!B35 to 2.7</t>
  </si>
  <si>
    <t>+12% Remington guest-nights</t>
  </si>
  <si>
    <t>🟢 LOW</t>
  </si>
  <si>
    <t>ASV occupancy close</t>
  </si>
  <si>
    <t>KEEP 70% (conservative)</t>
  </si>
  <si>
    <t>Minimal (~2% variance)</t>
  </si>
  <si>
    <t>Remington occupancy close</t>
  </si>
  <si>
    <t>KEEP 61% (conservative)</t>
  </si>
  <si>
    <t>ASV guests/night close</t>
  </si>
  <si>
    <t>KEEP 2.8 (conservative)</t>
  </si>
  <si>
    <t>ℹ️ INFO</t>
  </si>
  <si>
    <t>ADR appears lower in actuals</t>
  </si>
  <si>
    <t>R4,500/R3,700</t>
  </si>
  <si>
    <t>R3,103/R2,828</t>
  </si>
  <si>
    <t>NO CHANGE — actual is NET of OTA commission</t>
  </si>
  <si>
    <t>Model correctly shows gross → then deducts commission</t>
  </si>
  <si>
    <t>Channel mix validates 20% commission</t>
  </si>
  <si>
    <t>90% via Booking.com</t>
  </si>
  <si>
    <t>KEEP — 20% on 90% Booking.com mix is accurate</t>
  </si>
  <si>
    <t>Commission assumption is valid</t>
  </si>
  <si>
    <t>African Sky — Average Stay Duration / Booking</t>
  </si>
  <si>
    <t>Stay-length context — realised bookings only</t>
  </si>
  <si>
    <t>Purpose: estimate ASV and Remington stay duration using the current model occupied-night assumption and the uploaded historical booking data as a reference only. Pricing in the booking file is not used for duration.</t>
  </si>
  <si>
    <t>This section explains why median stay nights are shown: most bookings are short, but a smaller number of longer bookings lifts the average.</t>
  </si>
  <si>
    <t>Historical dataset used</t>
  </si>
  <si>
    <t>Median stay nights</t>
  </si>
  <si>
    <t>1–2
 nights</t>
  </si>
  <si>
    <t>3–4 nights</t>
  </si>
  <si>
    <t>5+ 
nights</t>
  </si>
  <si>
    <t>Plain-English takeaway</t>
  </si>
  <si>
    <t>African Sky Villa (ASV / Sky Villa)</t>
  </si>
  <si>
    <t>Realised only: Jan 2025–Jun 2026</t>
  </si>
  <si>
    <t>ASV / Sky Villa</t>
  </si>
  <si>
    <t>Most ASV bookings are 1–2 nights; a few 5+ night stays lift the average from the 2-night median to ~2.3 nights.</t>
  </si>
  <si>
    <t>Remington also has a 2-night median, but more long stays lift the average to ~2.7 nights.</t>
  </si>
  <si>
    <t>How to read this</t>
  </si>
  <si>
    <t xml:space="preserve">A) Median = the middle booking length. Here it is 2 nights for both villas, meaning the typical booking is short. B) Average = total room-nights ÷ bookings. It is higher than the median because longer stays </t>
  </si>
  <si>
    <t>Reference data cross-check</t>
  </si>
  <si>
    <t>add extra room-nights. C) Use average for forecast maths; keep median and stay split for investor-friendly context.</t>
  </si>
  <si>
    <t>Avg stay nights</t>
  </si>
  <si>
    <t>How calculated</t>
  </si>
  <si>
    <t>Sky Villa / ASV</t>
  </si>
  <si>
    <t>All bookings in file</t>
  </si>
  <si>
    <t>Occupied unit-nights</t>
  </si>
  <si>
    <t>Occupied unit-nights = Control!B20 available nights × per-villa nights-booked % (Sky 70% / Remington 61%), matching the P&amp;L — e.g. 365 × 70% = 255.5 Sky nights/year.</t>
  </si>
  <si>
    <t>Realised only through Jun 2026</t>
  </si>
  <si>
    <t>Avg stay nights / booking</t>
  </si>
  <si>
    <t>Historical room-nights ÷ historical bookings</t>
  </si>
  <si>
    <t>Implied annual bookings</t>
  </si>
  <si>
    <t>Current model occupied unit-nights ÷ selected avg stay nights</t>
  </si>
  <si>
    <t>Use realised-only average duration as the base assumption: ASV 2.3 nights, Remington 2.7 nights. Keep the all-bookings figures as a sense check because forward bookings are incomplete.</t>
  </si>
  <si>
    <t>Guest &amp; pricing assumptions</t>
  </si>
  <si>
    <t>Avg guests per occupied unit-night</t>
  </si>
  <si>
    <t>Used for guest-nights and meal revenue; separate from booking duration.</t>
  </si>
  <si>
    <t>Base nightly rate covers 2 guests. Extra guests above 2 are charged separately.</t>
  </si>
  <si>
    <t>Applied to average guests above 2.</t>
  </si>
  <si>
    <t>Plain-English summary</t>
  </si>
  <si>
    <t>Stay duration drives bookings/year; guest count drives accommodation uplift and meal revenue.</t>
  </si>
  <si>
    <t>Tour Profit &amp; Margin — per experience</t>
  </si>
  <si>
    <t>Retail from live site (fixed) · Supplier cost &amp; pax are editable (blue) · Margin and profit are formulas</t>
  </si>
  <si>
    <t>#</t>
  </si>
  <si>
    <t>Tour</t>
  </si>
  <si>
    <t>Retail /pax</t>
  </si>
  <si>
    <t>Supplier cost /pax</t>
  </si>
  <si>
    <t>Margin pp</t>
  </si>
  <si>
    <t>Margin %</t>
  </si>
  <si>
    <t>Active units</t>
  </si>
  <si>
    <t>Weighted guests / unit-night</t>
  </si>
  <si>
    <t>Weighted occ</t>
  </si>
  <si>
    <t>Annual guest-night base</t>
  </si>
  <si>
    <t>Clients taking Tours</t>
  </si>
  <si>
    <t>Dedicated Tour Choice</t>
  </si>
  <si>
    <t>Period factor</t>
  </si>
  <si>
    <t>Est. pax/yr</t>
  </si>
  <si>
    <t>Supplier cost</t>
  </si>
  <si>
    <t>Gross profit</t>
  </si>
  <si>
    <t>SAFARIS</t>
  </si>
  <si>
    <t>Full-Day Kruger Safari</t>
  </si>
  <si>
    <t>Half-Day Morning Safari</t>
  </si>
  <si>
    <t>Sunset Bush Braai Safari</t>
  </si>
  <si>
    <t>CF Moto Sunset Safari</t>
  </si>
  <si>
    <t>Thermal Night Drive Safari</t>
  </si>
  <si>
    <t>SAFARIS subtotal</t>
  </si>
  <si>
    <t>DAY TOURS</t>
  </si>
  <si>
    <t>Panorama Day Tour</t>
  </si>
  <si>
    <t>Eswatini Day Tour</t>
  </si>
  <si>
    <t>Maputo Day Tour</t>
  </si>
  <si>
    <t>Hlane Rhino Day Tour</t>
  </si>
  <si>
    <t>Chimp Eden &amp; Sudwala Caves</t>
  </si>
  <si>
    <t>DAY TOURS subtotal</t>
  </si>
  <si>
    <t>RIVER ADVENTURES</t>
  </si>
  <si>
    <t>Komati Tiger Fishing — Half Day</t>
  </si>
  <si>
    <t>Komati Tiger Fishing — Full Day</t>
  </si>
  <si>
    <t>Komati Sunset Cruise</t>
  </si>
  <si>
    <t>RIVER ADVENTURES subtotal</t>
  </si>
  <si>
    <t>TRANSFERS</t>
  </si>
  <si>
    <t>Private Airport Transfer — KMIA</t>
  </si>
  <si>
    <t>TRANSFERS subtotal</t>
  </si>
  <si>
    <t>ALL TOURS — TOTAL</t>
  </si>
  <si>
    <t>CHANGE LOG — v2 vs the RED-FLAGGED v1</t>
  </si>
  <si>
    <t>Ref</t>
  </si>
  <si>
    <t>Prior red flag (v1)</t>
  </si>
  <si>
    <t>How v2 fixes / addresses it</t>
  </si>
  <si>
    <t>R1</t>
  </si>
  <si>
    <t>African Sky meals overstated ~R402k/yr; driver (821.25) didn't match the P&amp;L (547.5); rate mislabelled.</t>
  </si>
  <si>
    <t>Rebuilt from first principles: explicit breakfast (R150/R100) + dinner (R375/R200), 75% of GUEST-NIGHTS take both. Clear 'meal cover' terminology; guest-nights derived from occupied unit-nights × guests.</t>
  </si>
  <si>
    <t>R2</t>
  </si>
  <si>
    <t>Independent NAV' was circular — value = 50% cost × 2, so NAV = buy-in by construction.</t>
  </si>
  <si>
    <t>Valuation is now genuinely independent: income capitalisation (NOI ÷ market cap rate) for Beachside &amp; Menlyn, comparable/cost for African Sky. NAV is no longer equal to the buy-in.</t>
  </si>
  <si>
    <t>R3</t>
  </si>
  <si>
    <t>Valuation multiples inconsistent; Beachside adopted above its CMA.</t>
  </si>
  <si>
    <t>Asset-appropriate cap rates; income approach shown vs cost as corroboration. Adopted values are the conservative (cost) figures; income supports more.</t>
  </si>
  <si>
    <t>R4</t>
  </si>
  <si>
    <t xml:space="preserve">Zero VAT on ~R4.8m revenue.
</t>
  </si>
  <si>
    <t>Explicit VAT toggle + note on the Control sheet; flagged as gated to the accountant (mixed taxable/exempt supply).</t>
  </si>
  <si>
    <t>HEAD</t>
  </si>
  <si>
    <t>15% IRR' was mostly return of capital; cash IRR negative to yr5.</t>
  </si>
  <si>
    <t>Investor KPIs now separate Cash vs Total IRR/MOIC at 3/5/10/20 yr and show a Cash payback-year cell, so the return profile is explicit.</t>
  </si>
  <si>
    <t>v7.8</t>
  </si>
  <si>
    <t>R2 circularity only partly fixed in v777b: Beachside/Menlyn adopted value = buy-in×2, so NAV=buy-in by construction.</t>
  </si>
  <si>
    <t>Beachside &amp; Menlyn adopted values switched to independent comparable inputs (Valuation D8/E8); income-capitalised value shown as corroboration. NAV now genuinely differs from buy-in; a real modest entry discount emerges.</t>
  </si>
  <si>
    <t>Occupancy double-definition: Stay Calc reference block used global 75% while the model uses realised 70%/61%.</t>
  </si>
  <si>
    <t>Stay Calc cross-check (H11:H14) + note re-based to realised per-villa occupancy. Control!B19 (75%) now unreferenced (legacy).</t>
  </si>
  <si>
    <t>Stale note: Close Summary buy-in cited Control!B9 (empty).</t>
  </si>
  <si>
    <t>Corrected to Control!B15.</t>
  </si>
  <si>
    <t>v7.9</t>
  </si>
  <si>
    <t>Strategy/execution layer requested; property optionality via original Control partner-%.</t>
  </si>
  <si>
    <t>Added STRAT — Control, STRAT 1 — Partner view, STRAT — SB Outcome (internal). All driven by original Control (partner-% at 0% pulls through everywhere). Restored partner-% gating on adopted-value row (Valuation D8/E8). Corrected NAV shown net of existing debt (assumed vs settled); entry is a premium once bonds are counted — pitch reframed to income+growth. Bridge sized to SB R1.8m target.</t>
  </si>
  <si>
    <t>v7.11</t>
  </si>
  <si>
    <t>Fix: SB net cash double-counted the R1.0m already lent. Add: transfer/deal taxes were missing.</t>
  </si>
  <si>
    <t>SB net cash = partner NEW cash at close − bonds settled − SB share of deal taxes (R1.0m no longer double-counted; memo shows total incl. prior loan). Added Transfer &amp; Deal Taxes block: SA transfer duty per property (marginal brackets, gated; nil under s42 rollover toggle) + 0.25% STT on shares, borne by NewCo 50/50 and reflected in both parties. All gated to the accountant.</t>
  </si>
  <si>
    <t>v7.12</t>
  </si>
  <si>
    <t>Requested partner-financing comparison sheets.</t>
  </si>
  <si>
    <t>Added STRAT 2 (partner all-cash — no personal bond) and STRAT 3 (partner full-bond — ~no cash). Both keep NewCo debt-free (Option 1); they only change how the partner funds his own 50%. STRAT 3 models the partner's personal bond (his liability, not NewCo's), showing leveraged cash-on-cash on the small equity committed.</t>
  </si>
  <si>
    <t>v7.13</t>
  </si>
  <si>
    <t>Requested single-view comparison.</t>
  </si>
  <si>
    <t>Added STRAT — Compare: stacks the mix / all-cash / full-bond partner-financing routes side by side from one consistent engine (reproduces STRAT 2 &amp; STRAT 3 as a cross-check), with cash-on-cash, IRR and MOIC for each.</t>
  </si>
  <si>
    <t>v7.15</t>
  </si>
  <si>
    <t>Toggle disconnect: Distribution allocation % (C5/C7) were separate inputs stuck at 50%, so changing the Offer % (col B) did not move the profit distributions.</t>
  </si>
  <si>
    <t>Linked C5=B5 and C7=B7 (C8 already =B8). The Partner Offer % (column B) is now the single driver — changing it flows through buy-in, ownership, distributions, returns and both parties everywhere.</t>
  </si>
  <si>
    <t>v7.16-GDS</t>
  </si>
  <si>
    <t>Fix STRAT 1/2/3, Compare &amp; flow for GDS (R1m already lent).</t>
  </si>
  <si>
    <t>Exit stake value now grows at the property-appreciation rate (5%) and applies the full friction+minority haircut (was: grew at 6% friction and dropped friction). STRAT 2/3 buy-in &amp; taxes now link to STRAT — Control (flow with toggles). STRAT 1 rebuilt as a clean 50/50 mix engine (bond service, net cash, net exit). Compare yr0 now equals cash/equity in (R1m counted once). Junk cells cleared.</t>
  </si>
  <si>
    <t>DEAL STRUCTURE — OPTION 1 (clean equity, bonds settled)</t>
  </si>
  <si>
    <t>Partner pays 50% of full property values; SB settles the bonds; NewCo ends up DEBT-FREE. Driven by original Control partner-% (0% excludes). Yellow = input.</t>
  </si>
  <si>
    <t>A · EXISTING DEBT (gated on partner %)</t>
  </si>
  <si>
    <t>African Sky bond</t>
  </si>
  <si>
    <t>unencumbered</t>
  </si>
  <si>
    <t>Beachside bond</t>
  </si>
  <si>
    <t>confirmed</t>
  </si>
  <si>
    <t>Menlyn bond</t>
  </si>
  <si>
    <t>Existing debt IN the deal (gated)</t>
  </si>
  <si>
    <t>B · DEAL ECONOMICS (Option 1)</t>
  </si>
  <si>
    <t>Gross portfolio value (adopted, gated)</t>
  </si>
  <si>
    <t>African Sky R6.0m + Beachside R4.0m (+ Menlyn if in)</t>
  </si>
  <si>
    <t>PARTNER BUY-IN = 50% of full values</t>
  </si>
  <si>
    <t>the price the partner pays</t>
  </si>
  <si>
    <t>less: partner already lent (credit)</t>
  </si>
  <si>
    <t>received by SB earlier; credited against buy-in</t>
  </si>
  <si>
    <t>Partner NEW cash at close</t>
  </si>
  <si>
    <t>what the partner actually brings at close</t>
  </si>
  <si>
    <t>less: bonds settled at close (by SB)</t>
  </si>
  <si>
    <t>SB NEW cash at close</t>
  </si>
  <si>
    <t>partner new cash − bonds settled (R1.0m not counted again)</t>
  </si>
  <si>
    <t>memo: SB total cash incl. prior R1.0m</t>
  </si>
  <si>
    <t>over the whole deal (R1.0m already received)</t>
  </si>
  <si>
    <t>NewCo debt AFTER close</t>
  </si>
  <si>
    <t>→ 0 · debt-free</t>
  </si>
  <si>
    <t>Partner ownership of NewCo</t>
  </si>
  <si>
    <t>value-weighted; 50% at base</t>
  </si>
  <si>
    <t>Entry vs value (debt-free)</t>
  </si>
  <si>
    <t>0% — fair</t>
  </si>
  <si>
    <t>C · TRANSFER &amp; DEAL TAXES (GATED — accountant)</t>
  </si>
  <si>
    <t>s42 asset-for-share rollover applies? (1=Yes/0=No)</t>
  </si>
  <si>
    <t>if Yes, transfer duty defers to ~nil</t>
  </si>
  <si>
    <t>Transfer duty — African Sky (gated)</t>
  </si>
  <si>
    <t>Transfer duty — Beachside (gated)</t>
  </si>
  <si>
    <t>Transfer duty — Menlyn (gated)</t>
  </si>
  <si>
    <t>Transfer duty payable (nil if rollover)</t>
  </si>
  <si>
    <t>Securities Transfer Tax on shares (0.25%)</t>
  </si>
  <si>
    <t>TOTAL DEAL TAXES (borne by NewCo, 50/50)</t>
  </si>
  <si>
    <t>— SB 50% share</t>
  </si>
  <si>
    <t>— Partner 50% share</t>
  </si>
  <si>
    <t>SB net cash AFTER its tax share</t>
  </si>
  <si>
    <t>real cash to SB at close, after tax</t>
  </si>
  <si>
    <t>NOTE</t>
  </si>
  <si>
    <t>s42 asset-for-share rollover or a VAT going-concern sale can reduce transfer duty toward nil — confirm with the accountant. STT on shares is unavoidable but tiny.</t>
  </si>
  <si>
    <t>D · PARTNER RETURN BASIS (no debt)</t>
  </si>
  <si>
    <t>Portfolio NOI (Yr1, gated)</t>
  </si>
  <si>
    <t>Company tax rate</t>
  </si>
  <si>
    <t>After-tax distributable (no debt service)</t>
  </si>
  <si>
    <t>Partner distribution — Year 1</t>
  </si>
  <si>
    <t>Partner Year-1 cash yield (on buy-in)</t>
  </si>
  <si>
    <t>E · OPTIONAL PRE-CLOSE BRIDGE (timing only)</t>
  </si>
  <si>
    <t>SB cash needed BEFORE close</t>
  </si>
  <si>
    <t>Bridge on African Sky — LTV</t>
  </si>
  <si>
    <t>Bridge max facility (AS, gated)</t>
  </si>
  <si>
    <t>Bridge origination fee %</t>
  </si>
  <si>
    <t>Bridge monthly rate</t>
  </si>
  <si>
    <t>Bridge holding to close (months)</t>
  </si>
  <si>
    <t>Bridge draw (sized to need, capped)</t>
  </si>
  <si>
    <t>Net advance to SB now</t>
  </si>
  <si>
    <t>Bridge cost (repaid at close from buy-in)</t>
  </si>
  <si>
    <t>F · AFRICAN SKY VALUE SENSITIVITY</t>
  </si>
  <si>
    <t>African Sky value — base</t>
  </si>
  <si>
    <t>African Sky value — low (CMA high)</t>
  </si>
  <si>
    <t>Buy-in at AS-low</t>
  </si>
  <si>
    <t>Year-1 yield at AS-low</t>
  </si>
  <si>
    <t>G · EXIT ASSUMPTIONS</t>
  </si>
  <si>
    <t>NOI escalation p.a.</t>
  </si>
  <si>
    <t>Property appreciation p.a.</t>
  </si>
  <si>
    <t>Exit friction %</t>
  </si>
  <si>
    <t>Minority / illiquidity discount %</t>
  </si>
  <si>
    <t>CHECK — NewCo debt-free after close</t>
  </si>
  <si>
    <t>YOUR INVESTMENT — AT A GLANCE</t>
  </si>
  <si>
    <t>50% of a debt-free portfolio. Every figure links to the model. Ranges, not promises. Not FAIS advice.</t>
  </si>
  <si>
    <t>HOW YOU FUND YOUR 50%</t>
  </si>
  <si>
    <t>Buy-in (= your 50% of full values)</t>
  </si>
  <si>
    <t>Plus: your 50% share of deal taxes</t>
  </si>
  <si>
    <t>transfer duty (if no rollover) + STT</t>
  </si>
  <si>
    <t>TOTAL CAPITAL (your cost of the 50%)</t>
  </si>
  <si>
    <t>Less: already advanced to SB (the R1m)</t>
  </si>
  <si>
    <t>converts to equity — credited to you</t>
  </si>
  <si>
    <t>NEW capital to fund at close</t>
  </si>
  <si>
    <t>Funded by personal bond %  (you choose)</t>
  </si>
  <si>
    <t>0% = all cash · 100% = full bond</t>
  </si>
  <si>
    <t>— your cash at close</t>
  </si>
  <si>
    <t>— your personal bond</t>
  </si>
  <si>
    <t>YOUR TOTAL CASH IN (R1m + cash at close)</t>
  </si>
  <si>
    <t>your real out-of-pocket equity</t>
  </si>
  <si>
    <t>YOUR PERSONAL BOND (secured on you, not NewCo)</t>
  </si>
  <si>
    <t>Bond rate p.a.</t>
  </si>
  <si>
    <t>Bond term (yrs)</t>
  </si>
  <si>
    <t>Annual bond service</t>
  </si>
  <si>
    <t>WHAT YOU OWN</t>
  </si>
  <si>
    <t>Ownership of NewCo</t>
  </si>
  <si>
    <t>Entry vs asset value</t>
  </si>
  <si>
    <t>fair — debt-free stake at 50% of value</t>
  </si>
  <si>
    <t>Year-1 net cash yield (on your cash in)</t>
  </si>
  <si>
    <t>YOUR CASH EACH YEAR (after tax, after your bond)</t>
  </si>
  <si>
    <t>Your gross distribution (your %)</t>
  </si>
  <si>
    <t>Less: your bond service</t>
  </si>
  <si>
    <t>NET cash to you</t>
  </si>
  <si>
    <t>Cumulative net to you</t>
  </si>
  <si>
    <t>Bond balance at exit (yr20)</t>
  </si>
  <si>
    <t>Gross stake value at exit (yr20)</t>
  </si>
  <si>
    <t>NET stake to you at exit (less bond)</t>
  </si>
  <si>
    <t>YOUR RETURN</t>
  </si>
  <si>
    <t>Cash flow (yr0 … yr20)</t>
  </si>
  <si>
    <t>Total IRR (20y, incl. exit)</t>
  </si>
  <si>
    <t>Total MOIC (20y, incl. exit)</t>
  </si>
  <si>
    <t>Year-10 cash MOIC (distributions only)</t>
  </si>
  <si>
    <t>In plain terms</t>
  </si>
  <si>
    <t>You pay 50% of the full property values for 50% of a debt-free NewCo (SB settles the existing bonds at close). The R1m you already advanced is credited toward your buy-in and converts to equity. You fund the balance partly in cash and partly with your OWN bond (shown above as a 50/50 mix — change the % in the yellow cell). Each year you receive your share of the after-tax rental, accommodation and tour income, less your own bond service. Your total return adds the growth in your 50% stake at exit, net of any bond still outstanding, after your half of the one-off transfer/deal taxes. All figures are assumptions and ranges. Not financial advice.</t>
  </si>
  <si>
    <t>STRAT 2 — PARTNER ALL-CASH (no bond for buy-in)</t>
  </si>
  <si>
    <t>Same Option-1 deal (NewCo debt-free); partner funds his 50% entirely with cash. Simplest, lowest risk. Links to STRAT — Control / STRAT 1.</t>
  </si>
  <si>
    <t>HOW YOU FUND IT</t>
  </si>
  <si>
    <t>Buy-in (= 50% of values)</t>
  </si>
  <si>
    <t>share consideration</t>
  </si>
  <si>
    <t>Plus your 50% share of deal taxes</t>
  </si>
  <si>
    <t>transfer duty + STT</t>
  </si>
  <si>
    <t>TOTAL OUTLAY</t>
  </si>
  <si>
    <t>Less: Already advanced (converts to equity)</t>
  </si>
  <si>
    <t>deducted from buy-in</t>
  </si>
  <si>
    <t>TOTAL INPUT BALANCE REQUIRED (ALL CASH)</t>
  </si>
  <si>
    <t>Cash invested at close</t>
  </si>
  <si>
    <t>all-cash: full amount</t>
  </si>
  <si>
    <t>Personal bond</t>
  </si>
  <si>
    <t>none</t>
  </si>
  <si>
    <t>Year-1 cash-on-cash yield</t>
  </si>
  <si>
    <t>on total input</t>
  </si>
  <si>
    <t>YOUR CASH EACH YEAR (after tax, no debt)</t>
  </si>
  <si>
    <t>Your distribution (= net)</t>
  </si>
  <si>
    <t>Cumulative to you</t>
  </si>
  <si>
    <t>Stake value at exit (yr20)</t>
  </si>
  <si>
    <t>Total cash flow (yr20 incl. exit)</t>
  </si>
  <si>
    <t>Cash-only IRR (20y)</t>
  </si>
  <si>
    <t>Cash MOIC (20y)</t>
  </si>
  <si>
    <t>STRAT 3 — PARTNER FULL-BOND (~no cash for buy-in)</t>
  </si>
  <si>
    <t>Same Option-1 deal (NewCo stays debt-free); partner funds his buy-in with his OWN bond (secured on his assets, not NewCo). Leveraged — higher cash-on-cash, higher risk.</t>
  </si>
  <si>
    <t>Personal bond (you borrow)</t>
  </si>
  <si>
    <t>full amount via your own bond</t>
  </si>
  <si>
    <t>personal/bank bond</t>
  </si>
  <si>
    <t>Bond annual service</t>
  </si>
  <si>
    <t>Your equity (cash actually in)</t>
  </si>
  <si>
    <t>the R1m already advanced</t>
  </si>
  <si>
    <t>YOUR NET CASH EACH YEAR (after your bond)</t>
  </si>
  <si>
    <t>Gross distribution (your 50%)</t>
  </si>
  <si>
    <t>Bond opening balance</t>
  </si>
  <si>
    <t>Interest</t>
  </si>
  <si>
    <t>Principal</t>
  </si>
  <si>
    <t>Your bond service</t>
  </si>
  <si>
    <t>NET to you (after bond)</t>
  </si>
  <si>
    <t>YOUR RETURN (leveraged)</t>
  </si>
  <si>
    <t>Year-1 cash-on-cash (net / equity)</t>
  </si>
  <si>
    <t>Remaining bond at exit (yr20)</t>
  </si>
  <si>
    <t>Stake value at exit, net of bond</t>
  </si>
  <si>
    <t>Cash-only IRR (20y, on equity)</t>
  </si>
  <si>
    <t>Cash MOIC (20y, on equity)</t>
  </si>
  <si>
    <t>Trade-off</t>
  </si>
  <si>
    <t>Full bond: you put in almost no cash — the property income services your personal bond and still pays you a surplus, so your return on the little equity you commit is high (leveraged). The risks: your bond is a personal liability secured on your own assets, distributions must keep covering the service (occupancy risk bites harder), and your net cash is thinner early on. NewCo itself stays debt-free — this bond is yours alone. Not financial advice.</t>
  </si>
  <si>
    <t>STRAT — COMPARE · how the partner funds his 50%</t>
  </si>
  <si>
    <t>Same debt-free Option-1 deal in all three. Only the partner’s own financing changes. Self-contained engine (cross-checks STRAT 2 &amp; 3). Toggles live with Menlyn and values.</t>
  </si>
  <si>
    <t>Shared inputs</t>
  </si>
  <si>
    <t>Plus: Deal taxes (50% share)</t>
  </si>
  <si>
    <t>Less: Already advanced</t>
  </si>
  <si>
    <t>TOTAL INPUT REQUIRED</t>
  </si>
  <si>
    <t>Gross Yr-1 distribution (50% stake)</t>
  </si>
  <si>
    <t>COMPARISON</t>
  </si>
  <si>
    <t>STRAT 1 · Mix (50/50)</t>
  </si>
  <si>
    <t>STRAT 2 · All cash</t>
  </si>
  <si>
    <t>STRAT 3 · Full bond</t>
  </si>
  <si>
    <t>Bond % of new cash</t>
  </si>
  <si>
    <t>Cash / equity you put in</t>
  </si>
  <si>
    <t>Your own personal bond</t>
  </si>
  <si>
    <t>Your bond service (yr1)</t>
  </si>
  <si>
    <t>Gross Yr-1 distribution</t>
  </si>
  <si>
    <t>NET Yr-1 cash to you</t>
  </si>
  <si>
    <t>Yr-1 cash-on-cash</t>
  </si>
  <si>
    <t>CASHFLOW ENGINE (yr0 … yr20)</t>
  </si>
  <si>
    <t>Mix</t>
  </si>
  <si>
    <t>All cash</t>
  </si>
  <si>
    <t>Full bond</t>
  </si>
  <si>
    <t>MULTI-PERIOD EXIT METRICS</t>
  </si>
  <si>
    <t>5-YEAR EXIT</t>
  </si>
  <si>
    <t>Cumulative distributions</t>
  </si>
  <si>
    <t>Remaining bond</t>
  </si>
  <si>
    <t>Stake value (gross)</t>
  </si>
  <si>
    <t>Terminal CF (yr5)</t>
  </si>
  <si>
    <t>(IRR helper: CF0-CF5)</t>
  </si>
  <si>
    <t>Total IRR (5y)</t>
  </si>
  <si>
    <t>Total MOIC (5y)</t>
  </si>
  <si>
    <t>10-YEAR EXIT</t>
  </si>
  <si>
    <t>Terminal CF (yr10)</t>
  </si>
  <si>
    <t>(IRR helper: CF0-CF10)</t>
  </si>
  <si>
    <t>Total IRR (10y)</t>
  </si>
  <si>
    <t>Total MOIC (10y)</t>
  </si>
  <si>
    <t>15-YEAR EXIT</t>
  </si>
  <si>
    <t>Terminal CF (yr15)</t>
  </si>
  <si>
    <t>(IRR helper: CF0-CF15)</t>
  </si>
  <si>
    <t>Total IRR (15y)</t>
  </si>
  <si>
    <t>Total MOIC (15y)</t>
  </si>
  <si>
    <t>20-YEAR EXIT</t>
  </si>
  <si>
    <t>Terminal CF (yr20)</t>
  </si>
  <si>
    <t>(IRR helper: CF0-CF20)</t>
  </si>
  <si>
    <t>Total IRR (20y)</t>
  </si>
  <si>
    <t>Total MOIC (20y)</t>
  </si>
  <si>
    <t>SUMMARY: MULTI-PERIOD RETURNS</t>
  </si>
  <si>
    <t>Exit Period</t>
  </si>
  <si>
    <t>Mix 50/50</t>
  </si>
  <si>
    <t>All Cash</t>
  </si>
  <si>
    <t>Full Bond</t>
  </si>
  <si>
    <t>5 Year</t>
  </si>
  <si>
    <t>IRR</t>
  </si>
  <si>
    <t>MOIC</t>
  </si>
  <si>
    <t>10 Year</t>
  </si>
  <si>
    <t>15 Year</t>
  </si>
  <si>
    <t>20 Year</t>
  </si>
  <si>
    <t>HOW TO READ THIS COMPARISON</t>
  </si>
  <si>
    <t>• Mix (50/50): Half the buy-in funded from cash, half from personal bond. Balances cash outlay with leverage.</t>
  </si>
  <si>
    <t>• All Cash: Full buy-in paid in cash upfront. Lower IRR but lower risk and no interest drag.</t>
  </si>
  <si>
    <t>• Full Bond: Entire buy-in funded via personal bond (only R1m already advanced as cash). Highest IRR via leverage.</t>
  </si>
  <si>
    <t>• IRR: Internal rate of return (time-weighted annual return). Higher = better, but leverage amplifies both gains and risks.</t>
  </si>
  <si>
    <t>• MOIC: Multiple on invested capital (total value / cash invested). Shows absolute money multiplication.</t>
  </si>
  <si>
    <t>• Exit metrics include cumulative distributions + stake sale proceeds less remaining bond (if any).</t>
  </si>
  <si>
    <t>• Bond assumptions: 11.5% rate, 20-year term. At year 20, bond fully amortized (R0 remaining).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</si>
</sst>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#,##0.0"/>
    <numFmt numFmtId="165" formatCode="0.0%"/>
    <numFmt numFmtId="166" formatCode="0.00&quot;x&quot;"/>
    <numFmt numFmtId="167" formatCode="#,##0;\(#,##0\);\-"/>
    <numFmt numFmtId="168" formatCode="_-* #,##0.0_-;\-* #,##0.0_-;_-* &quot;-&quot;??_-;_-@_-"/>
    <numFmt numFmtId="169" formatCode="0.0"/>
    <numFmt numFmtId="170" formatCode="\R\ #,##0"/>
    <numFmt numFmtId="171" formatCode="\R\ #,##0;[Red]\(\R\ #,##0\);\-"/>
    <numFmt numFmtId="172" formatCode="0.0\x"/>
    <numFmt numFmtId="173" formatCode="0.00\x"/>
    <numFmt numFmtId="174" formatCode="#,##0;[Red]\(#,##0\)"/>
    <numFmt numFmtId="175" formatCode="0.00&quot;×&quot;"/>
    <numFmt numFmtId="176" formatCode="dd\ mmm\ yy"/>
    <numFmt numFmtId="177" formatCode="\R#,##0;\(\R#,##0\);&quot;–&quot;"/>
    <numFmt numFmtId="178" formatCode="&quot;R &quot;#,##0"/>
    <numFmt numFmtId="179" formatCode="\+0.0%;\-0.0%"/>
    <numFmt numFmtId="180" formatCode="\+0.00;\-0.00"/>
    <numFmt numFmtId="181" formatCode="\+\R\ #,##0;\-\R\ #,##0"/>
    <numFmt numFmtId="182" formatCode="_-* #,##0_-;\-* #,##0_-;_-* &quot;-&quot;??_-;_-@_-"/>
    <numFmt numFmtId="183" formatCode="0.00\×"/>
  </numFmts>
  <fonts count="82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1"/>
      <color rgb="FF0000FF"/>
      <name val="Calibri"/>
      <family val="2"/>
      <charset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6"/>
      <color theme="1"/>
      <name val="Aptos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sz val="10"/>
      <color theme="1"/>
      <name val="Aptos"/>
      <family val="2"/>
    </font>
    <font>
      <b/>
      <sz val="16"/>
      <color rgb="FFFFFFFF"/>
      <name val="Aptos"/>
      <family val="2"/>
    </font>
    <font>
      <sz val="10"/>
      <color rgb="FF1F1F1F"/>
      <name val="Aptos"/>
      <family val="2"/>
    </font>
    <font>
      <b/>
      <sz val="10"/>
      <color rgb="FF000000"/>
      <name val="Aptos"/>
      <family val="2"/>
    </font>
    <font>
      <b/>
      <sz val="10"/>
      <color rgb="FFFFFFFF"/>
      <name val="Aptos"/>
      <family val="2"/>
    </font>
    <font>
      <b/>
      <sz val="10"/>
      <color rgb="FF1F3864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FFFFFF"/>
      <name val="Aptos"/>
      <family val="2"/>
    </font>
    <font>
      <b/>
      <sz val="10"/>
      <color theme="1"/>
      <name val="Aptos"/>
      <family val="2"/>
    </font>
    <font>
      <i/>
      <sz val="10"/>
      <color rgb="FF808080"/>
      <name val="Aptos"/>
      <family val="2"/>
    </font>
    <font>
      <b/>
      <sz val="10"/>
      <color rgb="FF000000"/>
      <name val="Aptos"/>
      <family val="2"/>
    </font>
    <font>
      <b/>
      <sz val="11"/>
      <color rgb="FF000000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4747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00863D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666666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80808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3"/>
      <color rgb="FF1C1813"/>
      <name val="Calibri"/>
      <family val="2"/>
    </font>
    <font>
      <i/>
      <sz val="9"/>
      <color rgb="FF6B6150"/>
      <name val="Calibri"/>
      <family val="2"/>
    </font>
    <font>
      <b/>
      <sz val="10"/>
      <color rgb="FF9A6E1F"/>
      <name val="Calibri"/>
      <family val="2"/>
    </font>
    <font>
      <sz val="10"/>
      <name val="Calibri"/>
      <family val="2"/>
    </font>
    <font>
      <i/>
      <sz val="8"/>
      <color rgb="FF8A7F6E"/>
      <name val="Calibri"/>
      <family val="2"/>
    </font>
    <font>
      <b/>
      <sz val="10"/>
      <name val="Calibri"/>
      <family val="2"/>
    </font>
    <font>
      <b/>
      <sz val="11"/>
      <color rgb="FFB23B3B"/>
      <name val="Calibri"/>
      <family val="2"/>
    </font>
    <font>
      <b/>
      <sz val="11"/>
      <color rgb="FF2E7D32"/>
      <name val="Calibri"/>
      <family val="2"/>
    </font>
    <font>
      <b/>
      <sz val="15"/>
      <color rgb="FFF3ECDB"/>
      <name val="Calibri"/>
      <family val="2"/>
    </font>
    <font>
      <b/>
      <sz val="9"/>
      <color rgb="FF6B6857"/>
      <name val="Calibri"/>
      <family val="2"/>
    </font>
    <font>
      <sz val="9"/>
      <color rgb="FF1A1A1A"/>
      <name val="Calibri"/>
      <family val="2"/>
    </font>
    <font>
      <sz val="9"/>
      <color rgb="FF8E5A2E"/>
      <name val="Calibri"/>
      <family val="2"/>
    </font>
    <font>
      <sz val="9"/>
      <color rgb="FF2E6E8E"/>
      <name val="Calibri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8"/>
      <color rgb="FF8A7F6E"/>
      <name val="Calibri"/>
      <family val="2"/>
    </font>
    <font>
      <sz val="11"/>
      <color theme="1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B050"/>
      <name val="Calibri"/>
      <family val="2"/>
      <scheme val="minor"/>
    </font>
    <font>
      <sz val="10"/>
      <color rgb="FF9A6E1F"/>
      <name val="Calibri"/>
      <family val="2"/>
    </font>
    <font>
      <b/>
      <u/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sz val="10"/>
      <color rgb="FF9A6E1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i/>
      <sz val="8"/>
      <color rgb="FF8A7F6E"/>
      <name val="Calibri"/>
      <family val="2"/>
    </font>
    <font>
      <b/>
      <sz val="11"/>
      <color rgb="FF2E7D32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FEFEF"/>
      </patternFill>
    </fill>
    <fill>
      <patternFill patternType="solid">
        <fgColor rgb="FFD9EAD3"/>
      </patternFill>
    </fill>
    <fill>
      <patternFill patternType="solid">
        <fgColor rgb="FFFFEB9C"/>
      </patternFill>
    </fill>
    <fill>
      <patternFill patternType="solid">
        <fgColor rgb="FF1F3864"/>
        <bgColor rgb="FF333333"/>
      </patternFill>
    </fill>
    <fill>
      <patternFill patternType="solid">
        <fgColor rgb="FF595959"/>
        <bgColor rgb="FF7F7F7F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</patternFill>
    </fill>
    <fill>
      <patternFill patternType="solid">
        <fgColor rgb="FF1F4E7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3864"/>
      </patternFill>
    </fill>
    <fill>
      <patternFill patternType="solid">
        <fgColor rgb="FFEFEFE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3CE"/>
      </patternFill>
    </fill>
    <fill>
      <patternFill patternType="solid">
        <fgColor rgb="FF2C4031"/>
      </patternFill>
    </fill>
    <fill>
      <patternFill patternType="solid">
        <fgColor rgb="FFEDE6D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49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3CE"/>
      </patternFill>
    </fill>
  </fills>
  <borders count="2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rgb="FF1F4E79"/>
      </left>
      <right/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1F4E79"/>
      </left>
      <right/>
      <top style="thin">
        <color rgb="FF1F4E79"/>
      </top>
      <bottom/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 style="thin">
        <color rgb="FF1F4E79"/>
      </bottom>
      <diagonal/>
    </border>
    <border>
      <left/>
      <right/>
      <top/>
      <bottom style="thin">
        <color rgb="FFCDC3AA"/>
      </bottom>
      <diagonal/>
    </border>
    <border>
      <left/>
      <right/>
      <top/>
      <bottom style="thin">
        <color auto="1"/>
      </bottom>
      <diagonal/>
    </border>
    <border>
      <left style="thin">
        <color rgb="FF1F4E79"/>
      </left>
      <right style="thin">
        <color rgb="FF1F4E79"/>
      </right>
      <top/>
      <bottom style="thin">
        <color rgb="FF1F4E79"/>
      </bottom>
      <diagonal/>
    </border>
    <border>
      <left style="thin">
        <color indexed="64"/>
      </left>
      <right style="thin">
        <color rgb="FF1F4E79"/>
      </right>
      <top style="thin">
        <color indexed="64"/>
      </top>
      <bottom style="thin">
        <color rgb="FF1F4E79"/>
      </bottom>
      <diagonal/>
    </border>
    <border>
      <left style="thin">
        <color rgb="FF1F4E79"/>
      </left>
      <right style="thin">
        <color indexed="64"/>
      </right>
      <top style="thin">
        <color indexed="64"/>
      </top>
      <bottom style="thin">
        <color rgb="FF1F4E79"/>
      </bottom>
      <diagonal/>
    </border>
    <border>
      <left style="thin">
        <color indexed="64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indexed="64"/>
      </right>
      <top style="thin">
        <color rgb="FF1F4E79"/>
      </top>
      <bottom style="thin">
        <color rgb="FF1F4E79"/>
      </bottom>
      <diagonal/>
    </border>
    <border>
      <left style="thin">
        <color indexed="64"/>
      </left>
      <right style="thin">
        <color rgb="FF1F4E79"/>
      </right>
      <top style="thin">
        <color rgb="FF1F4E79"/>
      </top>
      <bottom style="thin">
        <color indexed="64"/>
      </bottom>
      <diagonal/>
    </border>
    <border>
      <left style="thin">
        <color rgb="FF1F4E79"/>
      </left>
      <right style="thin">
        <color indexed="64"/>
      </right>
      <top style="thin">
        <color rgb="FF1F4E7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4" fillId="0" borderId="0"/>
    <xf numFmtId="43" fontId="4" fillId="0" borderId="0"/>
    <xf numFmtId="9" fontId="4" fillId="0" borderId="0"/>
    <xf numFmtId="9" fontId="14" fillId="0" borderId="0"/>
    <xf numFmtId="43" fontId="14" fillId="0" borderId="0"/>
  </cellStyleXfs>
  <cellXfs count="440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3" fontId="3" fillId="0" borderId="0" xfId="0" applyNumberFormat="1" applyFont="1"/>
    <xf numFmtId="3" fontId="3" fillId="4" borderId="0" xfId="0" applyNumberFormat="1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0" fontId="3" fillId="4" borderId="0" xfId="0" applyFont="1" applyFill="1"/>
    <xf numFmtId="3" fontId="3" fillId="4" borderId="0" xfId="0" applyNumberFormat="1" applyFont="1" applyFill="1"/>
    <xf numFmtId="0" fontId="3" fillId="5" borderId="0" xfId="0" applyFont="1" applyFill="1"/>
    <xf numFmtId="3" fontId="3" fillId="5" borderId="0" xfId="0" applyNumberFormat="1" applyFont="1" applyFill="1"/>
    <xf numFmtId="165" fontId="0" fillId="0" borderId="0" xfId="0" applyNumberFormat="1"/>
    <xf numFmtId="3" fontId="0" fillId="6" borderId="0" xfId="0" applyNumberFormat="1" applyFill="1"/>
    <xf numFmtId="166" fontId="0" fillId="0" borderId="0" xfId="0" applyNumberFormat="1"/>
    <xf numFmtId="166" fontId="3" fillId="0" borderId="0" xfId="0" applyNumberFormat="1" applyFont="1"/>
    <xf numFmtId="165" fontId="0" fillId="3" borderId="0" xfId="0" applyNumberFormat="1" applyFill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5" fillId="0" borderId="0" xfId="1" applyFont="1"/>
    <xf numFmtId="0" fontId="4" fillId="0" borderId="0" xfId="1"/>
    <xf numFmtId="0" fontId="6" fillId="0" borderId="0" xfId="1" applyFont="1"/>
    <xf numFmtId="0" fontId="7" fillId="7" borderId="1" xfId="1" applyFont="1" applyFill="1" applyBorder="1" applyAlignment="1">
      <alignment horizontal="left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4" fillId="0" borderId="0" xfId="1" applyAlignment="1">
      <alignment wrapText="1"/>
    </xf>
    <xf numFmtId="0" fontId="7" fillId="8" borderId="0" xfId="1" applyFont="1" applyFill="1"/>
    <xf numFmtId="0" fontId="4" fillId="8" borderId="0" xfId="1" applyFill="1"/>
    <xf numFmtId="0" fontId="8" fillId="0" borderId="1" xfId="1" applyFont="1" applyBorder="1" applyAlignment="1">
      <alignment horizontal="center" vertical="center"/>
    </xf>
    <xf numFmtId="0" fontId="8" fillId="0" borderId="1" xfId="1" applyFont="1" applyBorder="1"/>
    <xf numFmtId="167" fontId="8" fillId="0" borderId="1" xfId="1" applyNumberFormat="1" applyFont="1" applyBorder="1" applyAlignment="1">
      <alignment horizontal="right" vertical="center"/>
    </xf>
    <xf numFmtId="167" fontId="9" fillId="9" borderId="1" xfId="1" applyNumberFormat="1" applyFont="1" applyFill="1" applyBorder="1" applyAlignment="1">
      <alignment horizontal="right" vertical="center"/>
    </xf>
    <xf numFmtId="165" fontId="10" fillId="0" borderId="1" xfId="1" applyNumberFormat="1" applyFont="1" applyBorder="1" applyAlignment="1">
      <alignment horizontal="right" vertical="center"/>
    </xf>
    <xf numFmtId="168" fontId="10" fillId="0" borderId="1" xfId="2" applyNumberFormat="1" applyFont="1" applyBorder="1" applyAlignment="1">
      <alignment horizontal="right" vertical="center"/>
    </xf>
    <xf numFmtId="167" fontId="10" fillId="0" borderId="1" xfId="1" applyNumberFormat="1" applyFont="1" applyBorder="1" applyAlignment="1">
      <alignment horizontal="right" vertical="center"/>
    </xf>
    <xf numFmtId="9" fontId="4" fillId="0" borderId="0" xfId="1" applyNumberFormat="1"/>
    <xf numFmtId="0" fontId="4" fillId="10" borderId="1" xfId="1" applyFill="1" applyBorder="1"/>
    <xf numFmtId="0" fontId="10" fillId="10" borderId="1" xfId="1" applyFont="1" applyFill="1" applyBorder="1"/>
    <xf numFmtId="165" fontId="10" fillId="10" borderId="1" xfId="1" applyNumberFormat="1" applyFont="1" applyFill="1" applyBorder="1" applyAlignment="1">
      <alignment horizontal="right" vertical="center"/>
    </xf>
    <xf numFmtId="165" fontId="11" fillId="10" borderId="1" xfId="1" applyNumberFormat="1" applyFont="1" applyFill="1" applyBorder="1" applyAlignment="1">
      <alignment horizontal="right" vertical="center"/>
    </xf>
    <xf numFmtId="167" fontId="10" fillId="10" borderId="1" xfId="1" applyNumberFormat="1" applyFont="1" applyFill="1" applyBorder="1" applyAlignment="1">
      <alignment horizontal="right" vertical="center"/>
    </xf>
    <xf numFmtId="0" fontId="4" fillId="11" borderId="1" xfId="1" applyFill="1" applyBorder="1"/>
    <xf numFmtId="0" fontId="10" fillId="11" borderId="1" xfId="1" applyFont="1" applyFill="1" applyBorder="1"/>
    <xf numFmtId="165" fontId="10" fillId="11" borderId="1" xfId="1" applyNumberFormat="1" applyFont="1" applyFill="1" applyBorder="1" applyAlignment="1">
      <alignment horizontal="right" vertical="center"/>
    </xf>
    <xf numFmtId="167" fontId="10" fillId="11" borderId="1" xfId="1" applyNumberFormat="1" applyFont="1" applyFill="1" applyBorder="1" applyAlignment="1">
      <alignment horizontal="right" vertical="center"/>
    </xf>
    <xf numFmtId="0" fontId="13" fillId="0" borderId="0" xfId="0" applyFont="1"/>
    <xf numFmtId="169" fontId="0" fillId="0" borderId="0" xfId="0" applyNumberFormat="1" applyAlignment="1">
      <alignment wrapText="1"/>
    </xf>
    <xf numFmtId="0" fontId="15" fillId="0" borderId="0" xfId="0" applyFont="1" applyAlignment="1">
      <alignment vertical="top" wrapText="1"/>
    </xf>
    <xf numFmtId="169" fontId="0" fillId="0" borderId="0" xfId="0" applyNumberFormat="1" applyAlignment="1">
      <alignment vertical="top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0" fontId="18" fillId="1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9" fontId="0" fillId="0" borderId="0" xfId="0" applyNumberFormat="1" applyAlignment="1">
      <alignment horizontal="center" vertical="top" wrapText="1"/>
    </xf>
    <xf numFmtId="0" fontId="18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9" fontId="0" fillId="0" borderId="0" xfId="0" applyNumberFormat="1" applyAlignment="1">
      <alignment horizontal="center" vertical="top"/>
    </xf>
    <xf numFmtId="0" fontId="22" fillId="14" borderId="0" xfId="0" applyFont="1" applyFill="1" applyAlignment="1">
      <alignment vertical="center"/>
    </xf>
    <xf numFmtId="0" fontId="16" fillId="14" borderId="0" xfId="0" applyFont="1" applyFill="1" applyAlignment="1">
      <alignment vertical="center"/>
    </xf>
    <xf numFmtId="0" fontId="0" fillId="14" borderId="0" xfId="0" applyFill="1" applyAlignment="1">
      <alignment vertical="top"/>
    </xf>
    <xf numFmtId="0" fontId="0" fillId="14" borderId="0" xfId="0" applyFill="1" applyAlignment="1">
      <alignment vertical="top" wrapText="1"/>
    </xf>
    <xf numFmtId="3" fontId="0" fillId="14" borderId="0" xfId="0" applyNumberFormat="1" applyFill="1" applyAlignment="1">
      <alignment horizontal="center" vertical="top" wrapText="1"/>
    </xf>
    <xf numFmtId="0" fontId="21" fillId="14" borderId="0" xfId="0" applyFont="1" applyFill="1" applyAlignment="1">
      <alignment vertical="top"/>
    </xf>
    <xf numFmtId="0" fontId="19" fillId="15" borderId="0" xfId="0" applyFont="1" applyFill="1" applyAlignment="1">
      <alignment vertical="center" wrapText="1"/>
    </xf>
    <xf numFmtId="0" fontId="19" fillId="15" borderId="0" xfId="0" applyFont="1" applyFill="1" applyAlignment="1">
      <alignment horizontal="center" vertical="center" wrapText="1"/>
    </xf>
    <xf numFmtId="0" fontId="19" fillId="15" borderId="0" xfId="0" applyFont="1" applyFill="1" applyAlignment="1">
      <alignment horizontal="left" vertical="center"/>
    </xf>
    <xf numFmtId="0" fontId="20" fillId="15" borderId="0" xfId="0" applyFont="1" applyFill="1" applyAlignment="1">
      <alignment vertical="center"/>
    </xf>
    <xf numFmtId="0" fontId="0" fillId="15" borderId="0" xfId="0" applyFill="1" applyAlignment="1">
      <alignment vertical="top"/>
    </xf>
    <xf numFmtId="170" fontId="0" fillId="0" borderId="0" xfId="0" applyNumberFormat="1" applyAlignment="1">
      <alignment wrapText="1"/>
    </xf>
    <xf numFmtId="0" fontId="15" fillId="0" borderId="0" xfId="0" applyFont="1"/>
    <xf numFmtId="0" fontId="23" fillId="0" borderId="0" xfId="0" applyFont="1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top" wrapText="1"/>
    </xf>
    <xf numFmtId="0" fontId="0" fillId="0" borderId="0" xfId="0" applyAlignment="1">
      <alignment horizontal="left"/>
    </xf>
    <xf numFmtId="0" fontId="26" fillId="0" borderId="0" xfId="0" applyFont="1" applyAlignment="1">
      <alignment horizontal="left"/>
    </xf>
    <xf numFmtId="0" fontId="27" fillId="13" borderId="0" xfId="0" applyFont="1" applyFill="1" applyAlignment="1">
      <alignment horizontal="left"/>
    </xf>
    <xf numFmtId="170" fontId="26" fillId="0" borderId="0" xfId="0" applyNumberFormat="1" applyFont="1" applyAlignment="1">
      <alignment horizontal="left"/>
    </xf>
    <xf numFmtId="165" fontId="26" fillId="0" borderId="0" xfId="0" applyNumberFormat="1" applyFont="1" applyAlignment="1">
      <alignment horizontal="left"/>
    </xf>
    <xf numFmtId="0" fontId="25" fillId="0" borderId="0" xfId="0" applyFont="1" applyAlignment="1">
      <alignment horizontal="left"/>
    </xf>
    <xf numFmtId="169" fontId="26" fillId="0" borderId="0" xfId="0" applyNumberFormat="1" applyFont="1" applyAlignment="1">
      <alignment horizontal="left"/>
    </xf>
    <xf numFmtId="3" fontId="26" fillId="0" borderId="0" xfId="0" applyNumberFormat="1" applyFont="1" applyAlignment="1">
      <alignment horizontal="left"/>
    </xf>
    <xf numFmtId="9" fontId="26" fillId="0" borderId="0" xfId="4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 wrapText="1"/>
    </xf>
    <xf numFmtId="0" fontId="15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2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28" fillId="0" borderId="4" xfId="0" applyFont="1" applyBorder="1" applyAlignment="1">
      <alignment horizontal="right"/>
    </xf>
    <xf numFmtId="0" fontId="31" fillId="24" borderId="4" xfId="0" applyFont="1" applyFill="1" applyBorder="1" applyAlignment="1">
      <alignment horizontal="right"/>
    </xf>
    <xf numFmtId="171" fontId="28" fillId="0" borderId="4" xfId="0" applyNumberFormat="1" applyFont="1" applyBorder="1" applyAlignment="1">
      <alignment horizontal="right"/>
    </xf>
    <xf numFmtId="171" fontId="31" fillId="25" borderId="4" xfId="0" applyNumberFormat="1" applyFont="1" applyFill="1" applyBorder="1" applyAlignment="1">
      <alignment horizontal="right"/>
    </xf>
    <xf numFmtId="165" fontId="28" fillId="0" borderId="4" xfId="0" applyNumberFormat="1" applyFont="1" applyBorder="1" applyAlignment="1">
      <alignment horizontal="right"/>
    </xf>
    <xf numFmtId="172" fontId="28" fillId="0" borderId="4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28" fillId="0" borderId="4" xfId="0" applyFont="1" applyBorder="1" applyAlignment="1">
      <alignment horizontal="left"/>
    </xf>
    <xf numFmtId="0" fontId="31" fillId="24" borderId="4" xfId="0" applyFont="1" applyFill="1" applyBorder="1" applyAlignment="1">
      <alignment horizontal="left"/>
    </xf>
    <xf numFmtId="0" fontId="31" fillId="25" borderId="4" xfId="0" applyFont="1" applyFill="1" applyBorder="1" applyAlignment="1">
      <alignment horizontal="left"/>
    </xf>
    <xf numFmtId="0" fontId="28" fillId="0" borderId="4" xfId="0" applyFont="1" applyBorder="1" applyAlignment="1">
      <alignment horizontal="left" indent="1"/>
    </xf>
    <xf numFmtId="0" fontId="31" fillId="25" borderId="4" xfId="0" applyFont="1" applyFill="1" applyBorder="1" applyAlignment="1">
      <alignment horizontal="left" indent="1"/>
    </xf>
    <xf numFmtId="0" fontId="31" fillId="25" borderId="6" xfId="0" applyFont="1" applyFill="1" applyBorder="1" applyAlignment="1">
      <alignment horizontal="left"/>
    </xf>
    <xf numFmtId="0" fontId="28" fillId="0" borderId="4" xfId="0" applyFont="1" applyBorder="1" applyAlignment="1">
      <alignment horizontal="center"/>
    </xf>
    <xf numFmtId="0" fontId="31" fillId="25" borderId="6" xfId="0" applyFont="1" applyFill="1" applyBorder="1" applyAlignment="1">
      <alignment horizontal="center"/>
    </xf>
    <xf numFmtId="0" fontId="33" fillId="0" borderId="0" xfId="0" applyFont="1"/>
    <xf numFmtId="0" fontId="34" fillId="0" borderId="0" xfId="0" applyFont="1"/>
    <xf numFmtId="0" fontId="34" fillId="0" borderId="0" xfId="0" applyFont="1" applyAlignment="1">
      <alignment vertical="top" wrapText="1"/>
    </xf>
    <xf numFmtId="0" fontId="35" fillId="0" borderId="0" xfId="0" applyFont="1"/>
    <xf numFmtId="3" fontId="35" fillId="4" borderId="0" xfId="0" applyNumberFormat="1" applyFont="1" applyFill="1" applyAlignment="1">
      <alignment horizontal="center"/>
    </xf>
    <xf numFmtId="3" fontId="34" fillId="0" borderId="0" xfId="0" applyNumberFormat="1" applyFont="1"/>
    <xf numFmtId="165" fontId="34" fillId="0" borderId="0" xfId="0" applyNumberFormat="1" applyFont="1"/>
    <xf numFmtId="166" fontId="34" fillId="0" borderId="0" xfId="0" applyNumberFormat="1" applyFont="1"/>
    <xf numFmtId="3" fontId="35" fillId="0" borderId="0" xfId="0" applyNumberFormat="1" applyFont="1"/>
    <xf numFmtId="166" fontId="35" fillId="0" borderId="0" xfId="0" applyNumberFormat="1" applyFont="1"/>
    <xf numFmtId="0" fontId="36" fillId="2" borderId="0" xfId="0" applyFont="1" applyFill="1"/>
    <xf numFmtId="0" fontId="34" fillId="2" borderId="0" xfId="0" applyFont="1" applyFill="1"/>
    <xf numFmtId="165" fontId="35" fillId="5" borderId="0" xfId="0" applyNumberFormat="1" applyFont="1" applyFill="1"/>
    <xf numFmtId="164" fontId="35" fillId="5" borderId="0" xfId="0" applyNumberFormat="1" applyFont="1" applyFill="1"/>
    <xf numFmtId="0" fontId="34" fillId="0" borderId="0" xfId="0" applyFont="1" applyAlignment="1">
      <alignment horizontal="left" vertical="top" wrapText="1"/>
    </xf>
    <xf numFmtId="0" fontId="37" fillId="0" borderId="0" xfId="0" applyFont="1" applyAlignment="1">
      <alignment vertical="top" wrapText="1"/>
    </xf>
    <xf numFmtId="0" fontId="34" fillId="0" borderId="0" xfId="0" applyFont="1" applyAlignment="1">
      <alignment horizontal="right" vertical="top" wrapText="1"/>
    </xf>
    <xf numFmtId="0" fontId="34" fillId="0" borderId="2" xfId="0" applyFont="1" applyBorder="1" applyAlignment="1">
      <alignment horizontal="left" vertical="top" wrapText="1"/>
    </xf>
    <xf numFmtId="0" fontId="37" fillId="0" borderId="2" xfId="0" applyFont="1" applyBorder="1" applyAlignment="1">
      <alignment vertical="top" wrapText="1"/>
    </xf>
    <xf numFmtId="170" fontId="34" fillId="0" borderId="2" xfId="0" applyNumberFormat="1" applyFont="1" applyBorder="1" applyAlignment="1">
      <alignment horizontal="right" vertical="top" wrapText="1"/>
    </xf>
    <xf numFmtId="0" fontId="36" fillId="20" borderId="2" xfId="0" applyFont="1" applyFill="1" applyBorder="1" applyAlignment="1">
      <alignment horizontal="center" vertical="top" wrapText="1"/>
    </xf>
    <xf numFmtId="0" fontId="36" fillId="20" borderId="2" xfId="0" applyFont="1" applyFill="1" applyBorder="1" applyAlignment="1">
      <alignment horizontal="right" vertical="top" wrapText="1"/>
    </xf>
    <xf numFmtId="0" fontId="36" fillId="20" borderId="2" xfId="0" applyFont="1" applyFill="1" applyBorder="1" applyAlignment="1">
      <alignment horizontal="left" vertical="top" wrapText="1"/>
    </xf>
    <xf numFmtId="0" fontId="34" fillId="0" borderId="2" xfId="0" applyFont="1" applyBorder="1" applyAlignment="1">
      <alignment vertical="top" wrapText="1"/>
    </xf>
    <xf numFmtId="0" fontId="37" fillId="0" borderId="0" xfId="0" applyFont="1"/>
    <xf numFmtId="0" fontId="34" fillId="0" borderId="0" xfId="0" applyFont="1" applyAlignment="1">
      <alignment horizontal="left"/>
    </xf>
    <xf numFmtId="0" fontId="36" fillId="13" borderId="0" xfId="0" applyFont="1" applyFill="1"/>
    <xf numFmtId="0" fontId="36" fillId="13" borderId="0" xfId="0" applyFont="1" applyFill="1" applyAlignment="1">
      <alignment horizontal="left"/>
    </xf>
    <xf numFmtId="170" fontId="34" fillId="0" borderId="0" xfId="0" applyNumberFormat="1" applyFont="1" applyAlignment="1">
      <alignment horizontal="left"/>
    </xf>
    <xf numFmtId="165" fontId="34" fillId="0" borderId="0" xfId="0" applyNumberFormat="1" applyFont="1" applyAlignment="1">
      <alignment horizontal="left"/>
    </xf>
    <xf numFmtId="1" fontId="34" fillId="0" borderId="0" xfId="0" applyNumberFormat="1" applyFont="1" applyAlignment="1">
      <alignment horizontal="left"/>
    </xf>
    <xf numFmtId="173" fontId="34" fillId="0" borderId="0" xfId="0" applyNumberFormat="1" applyFont="1" applyAlignment="1">
      <alignment horizontal="left"/>
    </xf>
    <xf numFmtId="0" fontId="34" fillId="0" borderId="0" xfId="0" applyFont="1" applyAlignment="1">
      <alignment horizontal="center"/>
    </xf>
    <xf numFmtId="0" fontId="36" fillId="16" borderId="0" xfId="0" applyFont="1" applyFill="1"/>
    <xf numFmtId="0" fontId="34" fillId="16" borderId="0" xfId="0" applyFont="1" applyFill="1"/>
    <xf numFmtId="0" fontId="35" fillId="17" borderId="0" xfId="0" applyFont="1" applyFill="1"/>
    <xf numFmtId="0" fontId="35" fillId="17" borderId="0" xfId="0" applyFont="1" applyFill="1" applyAlignment="1">
      <alignment vertical="top" wrapText="1"/>
    </xf>
    <xf numFmtId="0" fontId="38" fillId="0" borderId="0" xfId="0" applyFont="1"/>
    <xf numFmtId="0" fontId="35" fillId="24" borderId="0" xfId="0" applyFont="1" applyFill="1"/>
    <xf numFmtId="0" fontId="35" fillId="24" borderId="0" xfId="0" applyFont="1" applyFill="1" applyAlignment="1">
      <alignment horizontal="center"/>
    </xf>
    <xf numFmtId="0" fontId="37" fillId="24" borderId="0" xfId="0" applyFont="1" applyFill="1"/>
    <xf numFmtId="0" fontId="36" fillId="22" borderId="0" xfId="0" applyFont="1" applyFill="1"/>
    <xf numFmtId="172" fontId="34" fillId="0" borderId="0" xfId="0" applyNumberFormat="1" applyFont="1"/>
    <xf numFmtId="171" fontId="35" fillId="3" borderId="0" xfId="0" applyNumberFormat="1" applyFont="1" applyFill="1"/>
    <xf numFmtId="171" fontId="35" fillId="5" borderId="0" xfId="0" applyNumberFormat="1" applyFont="1" applyFill="1"/>
    <xf numFmtId="0" fontId="35" fillId="25" borderId="0" xfId="0" applyFont="1" applyFill="1"/>
    <xf numFmtId="165" fontId="35" fillId="25" borderId="0" xfId="0" applyNumberFormat="1" applyFont="1" applyFill="1"/>
    <xf numFmtId="0" fontId="37" fillId="25" borderId="0" xfId="0" applyFont="1" applyFill="1"/>
    <xf numFmtId="165" fontId="37" fillId="25" borderId="0" xfId="0" applyNumberFormat="1" applyFont="1" applyFill="1"/>
    <xf numFmtId="172" fontId="37" fillId="25" borderId="0" xfId="0" applyNumberFormat="1" applyFont="1" applyFill="1"/>
    <xf numFmtId="165" fontId="37" fillId="0" borderId="0" xfId="0" applyNumberFormat="1" applyFont="1"/>
    <xf numFmtId="0" fontId="36" fillId="22" borderId="0" xfId="0" applyFont="1" applyFill="1" applyAlignment="1">
      <alignment horizontal="center"/>
    </xf>
    <xf numFmtId="165" fontId="36" fillId="22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center"/>
    </xf>
    <xf numFmtId="172" fontId="34" fillId="0" borderId="0" xfId="0" applyNumberFormat="1" applyFont="1" applyAlignment="1">
      <alignment horizontal="center"/>
    </xf>
    <xf numFmtId="171" fontId="34" fillId="0" borderId="0" xfId="0" applyNumberFormat="1" applyFont="1" applyAlignment="1">
      <alignment horizontal="center"/>
    </xf>
    <xf numFmtId="171" fontId="39" fillId="24" borderId="0" xfId="0" applyNumberFormat="1" applyFont="1" applyFill="1"/>
    <xf numFmtId="165" fontId="39" fillId="24" borderId="0" xfId="0" applyNumberFormat="1" applyFont="1" applyFill="1"/>
    <xf numFmtId="172" fontId="39" fillId="24" borderId="0" xfId="0" applyNumberFormat="1" applyFont="1" applyFill="1"/>
    <xf numFmtId="1" fontId="0" fillId="0" borderId="0" xfId="0" applyNumberFormat="1" applyAlignment="1">
      <alignment horizontal="left"/>
    </xf>
    <xf numFmtId="0" fontId="37" fillId="0" borderId="7" xfId="0" applyFont="1" applyBorder="1" applyAlignment="1">
      <alignment vertical="top" wrapText="1"/>
    </xf>
    <xf numFmtId="0" fontId="34" fillId="0" borderId="7" xfId="0" applyFont="1" applyBorder="1" applyAlignment="1">
      <alignment vertical="top" wrapText="1"/>
    </xf>
    <xf numFmtId="170" fontId="34" fillId="0" borderId="7" xfId="0" applyNumberFormat="1" applyFont="1" applyBorder="1" applyAlignment="1">
      <alignment horizontal="right" vertical="top" wrapText="1"/>
    </xf>
    <xf numFmtId="0" fontId="34" fillId="0" borderId="7" xfId="0" applyFont="1" applyBorder="1" applyAlignment="1">
      <alignment horizontal="left" vertical="top" wrapText="1"/>
    </xf>
    <xf numFmtId="0" fontId="36" fillId="20" borderId="8" xfId="0" applyFont="1" applyFill="1" applyBorder="1" applyAlignment="1">
      <alignment horizontal="center" vertical="top" wrapText="1"/>
    </xf>
    <xf numFmtId="172" fontId="36" fillId="20" borderId="8" xfId="0" applyNumberFormat="1" applyFont="1" applyFill="1" applyBorder="1" applyAlignment="1">
      <alignment horizontal="center" vertical="top" wrapText="1"/>
    </xf>
    <xf numFmtId="172" fontId="36" fillId="20" borderId="8" xfId="0" applyNumberFormat="1" applyFont="1" applyFill="1" applyBorder="1" applyAlignment="1">
      <alignment horizontal="right" vertical="top" wrapText="1"/>
    </xf>
    <xf numFmtId="172" fontId="36" fillId="20" borderId="8" xfId="0" applyNumberFormat="1" applyFont="1" applyFill="1" applyBorder="1" applyAlignment="1">
      <alignment horizontal="left" vertical="top" wrapText="1"/>
    </xf>
    <xf numFmtId="0" fontId="40" fillId="24" borderId="0" xfId="0" applyFont="1" applyFill="1" applyAlignment="1">
      <alignment horizontal="center" vertical="top"/>
    </xf>
    <xf numFmtId="0" fontId="0" fillId="0" borderId="3" xfId="0" applyBorder="1" applyAlignment="1">
      <alignment vertical="top"/>
    </xf>
    <xf numFmtId="171" fontId="0" fillId="0" borderId="3" xfId="0" applyNumberFormat="1" applyBorder="1" applyAlignment="1">
      <alignment vertical="top"/>
    </xf>
    <xf numFmtId="0" fontId="0" fillId="0" borderId="4" xfId="0" applyBorder="1" applyAlignment="1">
      <alignment vertical="top"/>
    </xf>
    <xf numFmtId="171" fontId="0" fillId="0" borderId="4" xfId="0" applyNumberFormat="1" applyBorder="1" applyAlignment="1">
      <alignment vertical="top"/>
    </xf>
    <xf numFmtId="165" fontId="0" fillId="0" borderId="4" xfId="0" applyNumberFormat="1" applyBorder="1" applyAlignment="1">
      <alignment vertical="top"/>
    </xf>
    <xf numFmtId="0" fontId="0" fillId="0" borderId="5" xfId="0" applyBorder="1" applyAlignment="1">
      <alignment vertical="top"/>
    </xf>
    <xf numFmtId="172" fontId="0" fillId="0" borderId="5" xfId="0" applyNumberFormat="1" applyBorder="1" applyAlignment="1">
      <alignment vertical="top"/>
    </xf>
    <xf numFmtId="172" fontId="0" fillId="0" borderId="4" xfId="0" applyNumberFormat="1" applyBorder="1" applyAlignment="1">
      <alignment vertical="top"/>
    </xf>
    <xf numFmtId="0" fontId="42" fillId="0" borderId="0" xfId="0" applyFont="1" applyAlignment="1">
      <alignment vertical="top"/>
    </xf>
    <xf numFmtId="0" fontId="40" fillId="0" borderId="0" xfId="0" applyFont="1" applyAlignment="1">
      <alignment horizontal="center" vertical="top"/>
    </xf>
    <xf numFmtId="165" fontId="0" fillId="0" borderId="0" xfId="0" applyNumberFormat="1" applyAlignment="1">
      <alignment vertical="top"/>
    </xf>
    <xf numFmtId="165" fontId="26" fillId="0" borderId="0" xfId="4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18" fillId="22" borderId="10" xfId="0" applyFont="1" applyFill="1" applyBorder="1" applyAlignment="1">
      <alignment vertical="top"/>
    </xf>
    <xf numFmtId="0" fontId="0" fillId="0" borderId="10" xfId="0" applyBorder="1" applyAlignment="1">
      <alignment vertical="top"/>
    </xf>
    <xf numFmtId="165" fontId="0" fillId="3" borderId="10" xfId="0" applyNumberFormat="1" applyFill="1" applyBorder="1" applyAlignment="1">
      <alignment vertical="top"/>
    </xf>
    <xf numFmtId="3" fontId="0" fillId="3" borderId="10" xfId="0" applyNumberFormat="1" applyFill="1" applyBorder="1" applyAlignment="1">
      <alignment vertical="top"/>
    </xf>
    <xf numFmtId="0" fontId="2" fillId="22" borderId="10" xfId="0" applyFont="1" applyFill="1" applyBorder="1" applyAlignment="1">
      <alignment vertical="top"/>
    </xf>
    <xf numFmtId="0" fontId="0" fillId="27" borderId="10" xfId="0" applyFill="1" applyBorder="1" applyAlignment="1">
      <alignment horizontal="left" vertical="center" wrapText="1"/>
    </xf>
    <xf numFmtId="0" fontId="0" fillId="27" borderId="10" xfId="0" applyFill="1" applyBorder="1" applyAlignment="1">
      <alignment wrapText="1"/>
    </xf>
    <xf numFmtId="171" fontId="0" fillId="27" borderId="10" xfId="0" applyNumberFormat="1" applyFill="1" applyBorder="1" applyAlignment="1">
      <alignment horizontal="left" wrapText="1"/>
    </xf>
    <xf numFmtId="172" fontId="0" fillId="27" borderId="10" xfId="0" applyNumberFormat="1" applyFill="1" applyBorder="1" applyAlignment="1">
      <alignment horizontal="left" wrapText="1"/>
    </xf>
    <xf numFmtId="165" fontId="0" fillId="27" borderId="10" xfId="0" applyNumberFormat="1" applyFill="1" applyBorder="1" applyAlignment="1">
      <alignment horizontal="left" wrapText="1"/>
    </xf>
    <xf numFmtId="0" fontId="0" fillId="27" borderId="10" xfId="0" applyFill="1" applyBorder="1" applyAlignment="1">
      <alignment horizontal="left" wrapText="1"/>
    </xf>
    <xf numFmtId="0" fontId="15" fillId="23" borderId="10" xfId="0" applyFont="1" applyFill="1" applyBorder="1" applyAlignment="1">
      <alignment wrapText="1"/>
    </xf>
    <xf numFmtId="171" fontId="15" fillId="23" borderId="10" xfId="0" applyNumberFormat="1" applyFont="1" applyFill="1" applyBorder="1" applyAlignment="1">
      <alignment horizontal="left" wrapText="1"/>
    </xf>
    <xf numFmtId="0" fontId="0" fillId="0" borderId="11" xfId="0" applyBorder="1" applyAlignment="1">
      <alignment vertical="top"/>
    </xf>
    <xf numFmtId="3" fontId="0" fillId="3" borderId="11" xfId="0" applyNumberFormat="1" applyFill="1" applyBorder="1" applyAlignment="1">
      <alignment vertical="top"/>
    </xf>
    <xf numFmtId="165" fontId="0" fillId="3" borderId="11" xfId="0" applyNumberFormat="1" applyFill="1" applyBorder="1" applyAlignment="1">
      <alignment vertical="top"/>
    </xf>
    <xf numFmtId="3" fontId="13" fillId="12" borderId="10" xfId="0" applyNumberFormat="1" applyFont="1" applyFill="1" applyBorder="1" applyAlignment="1">
      <alignment vertical="top"/>
    </xf>
    <xf numFmtId="0" fontId="40" fillId="24" borderId="10" xfId="0" applyFont="1" applyFill="1" applyBorder="1" applyAlignment="1">
      <alignment horizontal="left" wrapText="1"/>
    </xf>
    <xf numFmtId="3" fontId="0" fillId="0" borderId="0" xfId="0" applyNumberFormat="1" applyAlignment="1">
      <alignment vertical="top"/>
    </xf>
    <xf numFmtId="0" fontId="18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3" fontId="13" fillId="0" borderId="0" xfId="0" applyNumberFormat="1" applyFont="1" applyAlignment="1">
      <alignment vertical="top"/>
    </xf>
    <xf numFmtId="1" fontId="41" fillId="0" borderId="0" xfId="0" applyNumberFormat="1" applyFont="1" applyAlignment="1">
      <alignment horizontal="left" vertical="top" wrapText="1"/>
    </xf>
    <xf numFmtId="165" fontId="46" fillId="0" borderId="0" xfId="0" applyNumberFormat="1" applyFont="1" applyAlignment="1">
      <alignment horizontal="center" vertical="top"/>
    </xf>
    <xf numFmtId="9" fontId="46" fillId="0" borderId="0" xfId="4" applyFont="1" applyAlignment="1">
      <alignment horizontal="center"/>
    </xf>
    <xf numFmtId="165" fontId="46" fillId="0" borderId="0" xfId="4" applyNumberFormat="1" applyFont="1" applyAlignment="1">
      <alignment horizontal="center"/>
    </xf>
    <xf numFmtId="0" fontId="41" fillId="0" borderId="0" xfId="0" applyFont="1" applyAlignment="1">
      <alignment vertical="top"/>
    </xf>
    <xf numFmtId="0" fontId="35" fillId="0" borderId="0" xfId="0" applyFont="1" applyAlignment="1">
      <alignment horizontal="left" vertical="top" wrapText="1"/>
    </xf>
    <xf numFmtId="0" fontId="34" fillId="0" borderId="0" xfId="0" applyFont="1" applyAlignment="1">
      <alignment wrapText="1"/>
    </xf>
    <xf numFmtId="165" fontId="34" fillId="18" borderId="0" xfId="0" applyNumberFormat="1" applyFont="1" applyFill="1" applyAlignment="1">
      <alignment horizontal="center" vertical="center"/>
    </xf>
    <xf numFmtId="165" fontId="35" fillId="19" borderId="0" xfId="0" applyNumberFormat="1" applyFont="1" applyFill="1" applyAlignment="1">
      <alignment horizontal="center" vertical="center"/>
    </xf>
    <xf numFmtId="165" fontId="34" fillId="18" borderId="0" xfId="0" applyNumberFormat="1" applyFont="1" applyFill="1" applyAlignment="1">
      <alignment horizontal="center"/>
    </xf>
    <xf numFmtId="165" fontId="35" fillId="19" borderId="0" xfId="0" applyNumberFormat="1" applyFont="1" applyFill="1" applyAlignment="1">
      <alignment horizontal="center"/>
    </xf>
    <xf numFmtId="166" fontId="34" fillId="18" borderId="0" xfId="0" applyNumberFormat="1" applyFont="1" applyFill="1" applyAlignment="1">
      <alignment horizontal="center"/>
    </xf>
    <xf numFmtId="166" fontId="35" fillId="19" borderId="0" xfId="0" applyNumberFormat="1" applyFont="1" applyFill="1" applyAlignment="1">
      <alignment horizontal="center"/>
    </xf>
    <xf numFmtId="0" fontId="35" fillId="17" borderId="0" xfId="0" applyFont="1" applyFill="1" applyAlignment="1">
      <alignment vertical="top"/>
    </xf>
    <xf numFmtId="0" fontId="35" fillId="17" borderId="0" xfId="0" applyFont="1" applyFill="1" applyAlignment="1">
      <alignment horizontal="center"/>
    </xf>
    <xf numFmtId="0" fontId="35" fillId="17" borderId="0" xfId="0" applyFont="1" applyFill="1" applyAlignment="1">
      <alignment horizontal="center" vertical="top" wrapText="1"/>
    </xf>
    <xf numFmtId="10" fontId="34" fillId="0" borderId="0" xfId="0" applyNumberFormat="1" applyFont="1" applyAlignment="1">
      <alignment horizontal="center"/>
    </xf>
    <xf numFmtId="166" fontId="34" fillId="0" borderId="0" xfId="0" applyNumberFormat="1" applyFont="1" applyAlignment="1">
      <alignment horizontal="center"/>
    </xf>
    <xf numFmtId="3" fontId="34" fillId="0" borderId="0" xfId="0" applyNumberFormat="1" applyFont="1" applyAlignment="1">
      <alignment horizontal="center"/>
    </xf>
    <xf numFmtId="10" fontId="35" fillId="19" borderId="0" xfId="0" applyNumberFormat="1" applyFont="1" applyFill="1" applyAlignment="1">
      <alignment horizontal="center"/>
    </xf>
    <xf numFmtId="3" fontId="35" fillId="19" borderId="0" xfId="0" applyNumberFormat="1" applyFont="1" applyFill="1" applyAlignment="1">
      <alignment horizontal="center"/>
    </xf>
    <xf numFmtId="0" fontId="47" fillId="28" borderId="0" xfId="0" applyFont="1" applyFill="1"/>
    <xf numFmtId="3" fontId="47" fillId="28" borderId="0" xfId="0" applyNumberFormat="1" applyFont="1" applyFill="1"/>
    <xf numFmtId="0" fontId="48" fillId="28" borderId="0" xfId="0" applyFont="1" applyFill="1"/>
    <xf numFmtId="0" fontId="18" fillId="22" borderId="10" xfId="0" applyFont="1" applyFill="1" applyBorder="1" applyAlignment="1">
      <alignment vertical="center"/>
    </xf>
    <xf numFmtId="3" fontId="0" fillId="0" borderId="0" xfId="0" applyNumberFormat="1" applyAlignment="1">
      <alignment vertical="center"/>
    </xf>
    <xf numFmtId="0" fontId="40" fillId="26" borderId="9" xfId="0" applyFont="1" applyFill="1" applyBorder="1" applyAlignment="1">
      <alignment vertical="top"/>
    </xf>
    <xf numFmtId="0" fontId="40" fillId="26" borderId="9" xfId="0" applyFont="1" applyFill="1" applyBorder="1" applyAlignment="1">
      <alignment horizontal="left" vertical="center"/>
    </xf>
    <xf numFmtId="0" fontId="18" fillId="22" borderId="13" xfId="0" applyFont="1" applyFill="1" applyBorder="1" applyAlignment="1">
      <alignment horizontal="center" vertical="center" wrapText="1"/>
    </xf>
    <xf numFmtId="165" fontId="43" fillId="26" borderId="12" xfId="0" applyNumberFormat="1" applyFont="1" applyFill="1" applyBorder="1" applyAlignment="1">
      <alignment horizontal="center" vertical="top"/>
    </xf>
    <xf numFmtId="0" fontId="46" fillId="0" borderId="0" xfId="0" applyFont="1" applyAlignment="1">
      <alignment horizontal="center" vertical="center"/>
    </xf>
    <xf numFmtId="0" fontId="0" fillId="27" borderId="10" xfId="0" applyFill="1" applyBorder="1" applyAlignment="1">
      <alignment vertical="center" wrapText="1"/>
    </xf>
    <xf numFmtId="172" fontId="0" fillId="27" borderId="10" xfId="0" applyNumberFormat="1" applyFill="1" applyBorder="1" applyAlignment="1">
      <alignment horizontal="left" vertical="center" wrapText="1"/>
    </xf>
    <xf numFmtId="165" fontId="49" fillId="26" borderId="10" xfId="0" applyNumberFormat="1" applyFont="1" applyFill="1" applyBorder="1" applyAlignment="1">
      <alignment vertical="top"/>
    </xf>
    <xf numFmtId="164" fontId="49" fillId="26" borderId="10" xfId="0" applyNumberFormat="1" applyFont="1" applyFill="1" applyBorder="1" applyAlignment="1">
      <alignment vertical="top"/>
    </xf>
    <xf numFmtId="0" fontId="42" fillId="0" borderId="10" xfId="0" applyFont="1" applyBorder="1" applyAlignment="1">
      <alignment vertical="top" wrapText="1"/>
    </xf>
    <xf numFmtId="165" fontId="10" fillId="0" borderId="1" xfId="3" applyNumberFormat="1" applyFont="1" applyBorder="1" applyAlignment="1">
      <alignment horizontal="right" vertical="center"/>
    </xf>
    <xf numFmtId="165" fontId="4" fillId="8" borderId="0" xfId="1" applyNumberFormat="1" applyFill="1"/>
    <xf numFmtId="164" fontId="10" fillId="0" borderId="1" xfId="2" applyNumberFormat="1" applyFont="1" applyBorder="1" applyAlignment="1">
      <alignment horizontal="right" vertical="center"/>
    </xf>
    <xf numFmtId="164" fontId="10" fillId="10" borderId="1" xfId="1" applyNumberFormat="1" applyFont="1" applyFill="1" applyBorder="1" applyAlignment="1">
      <alignment horizontal="right" vertical="center"/>
    </xf>
    <xf numFmtId="164" fontId="4" fillId="8" borderId="0" xfId="1" applyNumberFormat="1" applyFill="1"/>
    <xf numFmtId="165" fontId="11" fillId="0" borderId="1" xfId="3" applyNumberFormat="1" applyFont="1" applyBorder="1" applyAlignment="1">
      <alignment horizontal="right" vertical="center"/>
    </xf>
    <xf numFmtId="165" fontId="12" fillId="8" borderId="0" xfId="1" applyNumberFormat="1" applyFont="1" applyFill="1"/>
    <xf numFmtId="169" fontId="10" fillId="0" borderId="1" xfId="2" applyNumberFormat="1" applyFont="1" applyBorder="1" applyAlignment="1">
      <alignment horizontal="right" vertical="center"/>
    </xf>
    <xf numFmtId="169" fontId="10" fillId="10" borderId="1" xfId="1" applyNumberFormat="1" applyFont="1" applyFill="1" applyBorder="1" applyAlignment="1">
      <alignment horizontal="right" vertical="center"/>
    </xf>
    <xf numFmtId="169" fontId="4" fillId="8" borderId="0" xfId="1" applyNumberFormat="1" applyFill="1"/>
    <xf numFmtId="164" fontId="9" fillId="9" borderId="1" xfId="1" applyNumberFormat="1" applyFont="1" applyFill="1" applyBorder="1" applyAlignment="1">
      <alignment horizontal="right" vertical="center"/>
    </xf>
    <xf numFmtId="164" fontId="4" fillId="10" borderId="1" xfId="1" applyNumberFormat="1" applyFill="1" applyBorder="1"/>
    <xf numFmtId="0" fontId="50" fillId="24" borderId="1" xfId="1" applyFont="1" applyFill="1" applyBorder="1" applyAlignment="1">
      <alignment horizontal="center" vertical="center" wrapText="1"/>
    </xf>
    <xf numFmtId="3" fontId="49" fillId="26" borderId="10" xfId="0" applyNumberFormat="1" applyFont="1" applyFill="1" applyBorder="1" applyAlignment="1">
      <alignment vertical="top"/>
    </xf>
    <xf numFmtId="0" fontId="0" fillId="0" borderId="10" xfId="0" applyBorder="1" applyAlignment="1">
      <alignment vertical="top" wrapText="1"/>
    </xf>
    <xf numFmtId="0" fontId="42" fillId="30" borderId="10" xfId="0" applyFont="1" applyFill="1" applyBorder="1" applyAlignment="1">
      <alignment vertical="top" wrapText="1"/>
    </xf>
    <xf numFmtId="0" fontId="52" fillId="31" borderId="10" xfId="0" applyFont="1" applyFill="1" applyBorder="1" applyAlignment="1">
      <alignment vertical="top"/>
    </xf>
    <xf numFmtId="165" fontId="51" fillId="31" borderId="10" xfId="0" applyNumberFormat="1" applyFont="1" applyFill="1" applyBorder="1" applyAlignment="1">
      <alignment vertical="top"/>
    </xf>
    <xf numFmtId="0" fontId="52" fillId="31" borderId="11" xfId="0" applyFont="1" applyFill="1" applyBorder="1" applyAlignment="1">
      <alignment vertical="top"/>
    </xf>
    <xf numFmtId="3" fontId="51" fillId="31" borderId="11" xfId="0" applyNumberFormat="1" applyFont="1" applyFill="1" applyBorder="1" applyAlignment="1">
      <alignment vertical="top"/>
    </xf>
    <xf numFmtId="3" fontId="51" fillId="31" borderId="10" xfId="0" applyNumberFormat="1" applyFont="1" applyFill="1" applyBorder="1" applyAlignment="1">
      <alignment vertical="top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1" fontId="0" fillId="32" borderId="0" xfId="0" applyNumberFormat="1" applyFill="1"/>
    <xf numFmtId="0" fontId="57" fillId="0" borderId="0" xfId="0" applyFont="1"/>
    <xf numFmtId="174" fontId="0" fillId="32" borderId="0" xfId="0" applyNumberFormat="1" applyFill="1"/>
    <xf numFmtId="165" fontId="0" fillId="32" borderId="0" xfId="0" applyNumberFormat="1" applyFill="1"/>
    <xf numFmtId="174" fontId="58" fillId="0" borderId="0" xfId="0" applyNumberFormat="1" applyFont="1"/>
    <xf numFmtId="174" fontId="0" fillId="0" borderId="0" xfId="0" applyNumberFormat="1"/>
    <xf numFmtId="1" fontId="0" fillId="0" borderId="0" xfId="0" applyNumberFormat="1"/>
    <xf numFmtId="175" fontId="60" fillId="0" borderId="0" xfId="0" applyNumberFormat="1" applyFont="1"/>
    <xf numFmtId="175" fontId="0" fillId="0" borderId="0" xfId="0" applyNumberFormat="1"/>
    <xf numFmtId="165" fontId="58" fillId="0" borderId="0" xfId="0" applyNumberFormat="1" applyFont="1"/>
    <xf numFmtId="165" fontId="60" fillId="0" borderId="0" xfId="0" applyNumberFormat="1" applyFont="1"/>
    <xf numFmtId="0" fontId="58" fillId="0" borderId="0" xfId="0" applyFont="1"/>
    <xf numFmtId="174" fontId="60" fillId="0" borderId="0" xfId="0" applyNumberFormat="1" applyFont="1"/>
    <xf numFmtId="174" fontId="59" fillId="0" borderId="0" xfId="0" applyNumberFormat="1" applyFont="1"/>
    <xf numFmtId="1" fontId="60" fillId="0" borderId="0" xfId="0" applyNumberFormat="1" applyFont="1"/>
    <xf numFmtId="0" fontId="62" fillId="34" borderId="16" xfId="0" applyFont="1" applyFill="1" applyBorder="1"/>
    <xf numFmtId="176" fontId="63" fillId="0" borderId="0" xfId="0" applyNumberFormat="1" applyFont="1"/>
    <xf numFmtId="0" fontId="64" fillId="0" borderId="0" xfId="0" applyFont="1"/>
    <xf numFmtId="0" fontId="63" fillId="0" borderId="0" xfId="0" applyFont="1"/>
    <xf numFmtId="177" fontId="63" fillId="0" borderId="0" xfId="0" applyNumberFormat="1" applyFont="1"/>
    <xf numFmtId="0" fontId="65" fillId="0" borderId="0" xfId="0" applyFont="1"/>
    <xf numFmtId="0" fontId="66" fillId="0" borderId="0" xfId="0" applyFont="1"/>
    <xf numFmtId="0" fontId="15" fillId="36" borderId="0" xfId="0" applyFont="1" applyFill="1"/>
    <xf numFmtId="0" fontId="15" fillId="26" borderId="0" xfId="0" applyFont="1" applyFill="1"/>
    <xf numFmtId="0" fontId="15" fillId="37" borderId="0" xfId="0" applyFont="1" applyFill="1"/>
    <xf numFmtId="0" fontId="18" fillId="35" borderId="0" xfId="0" applyFont="1" applyFill="1"/>
    <xf numFmtId="2" fontId="0" fillId="0" borderId="0" xfId="0" applyNumberFormat="1"/>
    <xf numFmtId="0" fontId="15" fillId="38" borderId="0" xfId="0" applyFont="1" applyFill="1"/>
    <xf numFmtId="169" fontId="0" fillId="0" borderId="0" xfId="0" applyNumberFormat="1"/>
    <xf numFmtId="0" fontId="15" fillId="39" borderId="0" xfId="0" applyFont="1" applyFill="1"/>
    <xf numFmtId="0" fontId="15" fillId="40" borderId="0" xfId="0" applyFont="1" applyFill="1"/>
    <xf numFmtId="178" fontId="0" fillId="0" borderId="0" xfId="0" applyNumberFormat="1"/>
    <xf numFmtId="0" fontId="15" fillId="41" borderId="0" xfId="0" applyFont="1" applyFill="1"/>
    <xf numFmtId="0" fontId="15" fillId="43" borderId="0" xfId="0" applyFont="1" applyFill="1"/>
    <xf numFmtId="9" fontId="0" fillId="0" borderId="0" xfId="0" applyNumberFormat="1"/>
    <xf numFmtId="170" fontId="0" fillId="0" borderId="0" xfId="0" applyNumberFormat="1"/>
    <xf numFmtId="9" fontId="15" fillId="37" borderId="0" xfId="0" applyNumberFormat="1" applyFont="1" applyFill="1"/>
    <xf numFmtId="10" fontId="0" fillId="0" borderId="0" xfId="0" applyNumberFormat="1"/>
    <xf numFmtId="0" fontId="0" fillId="44" borderId="0" xfId="0" applyFill="1"/>
    <xf numFmtId="9" fontId="0" fillId="44" borderId="0" xfId="0" applyNumberFormat="1" applyFill="1"/>
    <xf numFmtId="10" fontId="0" fillId="44" borderId="0" xfId="0" applyNumberFormat="1" applyFill="1"/>
    <xf numFmtId="0" fontId="0" fillId="45" borderId="0" xfId="0" applyFill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3" fontId="69" fillId="0" borderId="0" xfId="0" applyNumberFormat="1" applyFont="1" applyAlignment="1">
      <alignment vertical="top"/>
    </xf>
    <xf numFmtId="0" fontId="69" fillId="0" borderId="0" xfId="0" applyFont="1"/>
    <xf numFmtId="0" fontId="15" fillId="0" borderId="10" xfId="0" applyFont="1" applyBorder="1" applyAlignment="1">
      <alignment vertical="top"/>
    </xf>
    <xf numFmtId="3" fontId="15" fillId="46" borderId="10" xfId="0" applyNumberFormat="1" applyFont="1" applyFill="1" applyBorder="1" applyAlignment="1">
      <alignment vertical="top"/>
    </xf>
    <xf numFmtId="182" fontId="15" fillId="46" borderId="10" xfId="5" applyNumberFormat="1" applyFont="1" applyFill="1" applyBorder="1" applyAlignment="1">
      <alignment vertical="top"/>
    </xf>
    <xf numFmtId="182" fontId="15" fillId="47" borderId="10" xfId="5" applyNumberFormat="1" applyFont="1" applyFill="1" applyBorder="1" applyAlignment="1">
      <alignment vertical="top"/>
    </xf>
    <xf numFmtId="165" fontId="14" fillId="0" borderId="0" xfId="4" applyNumberFormat="1"/>
    <xf numFmtId="10" fontId="14" fillId="0" borderId="0" xfId="4" applyNumberFormat="1"/>
    <xf numFmtId="182" fontId="0" fillId="0" borderId="0" xfId="5" applyNumberFormat="1" applyFont="1"/>
    <xf numFmtId="43" fontId="0" fillId="0" borderId="0" xfId="5" applyFont="1"/>
    <xf numFmtId="43" fontId="14" fillId="0" borderId="0" xfId="5"/>
    <xf numFmtId="165" fontId="43" fillId="48" borderId="12" xfId="0" applyNumberFormat="1" applyFont="1" applyFill="1" applyBorder="1" applyAlignment="1">
      <alignment horizontal="center" vertical="top"/>
    </xf>
    <xf numFmtId="0" fontId="15" fillId="0" borderId="10" xfId="0" applyFont="1" applyBorder="1" applyAlignment="1">
      <alignment vertical="top" wrapText="1"/>
    </xf>
    <xf numFmtId="165" fontId="71" fillId="26" borderId="10" xfId="0" applyNumberFormat="1" applyFont="1" applyFill="1" applyBorder="1" applyAlignment="1">
      <alignment vertical="top"/>
    </xf>
    <xf numFmtId="0" fontId="40" fillId="0" borderId="10" xfId="0" applyFont="1" applyBorder="1" applyAlignment="1">
      <alignment vertical="top" wrapText="1"/>
    </xf>
    <xf numFmtId="165" fontId="15" fillId="0" borderId="0" xfId="0" applyNumberFormat="1" applyFont="1"/>
    <xf numFmtId="3" fontId="58" fillId="0" borderId="0" xfId="0" applyNumberFormat="1" applyFont="1"/>
    <xf numFmtId="3" fontId="60" fillId="0" borderId="0" xfId="0" applyNumberFormat="1" applyFont="1"/>
    <xf numFmtId="3" fontId="15" fillId="0" borderId="0" xfId="0" applyNumberFormat="1" applyFont="1"/>
    <xf numFmtId="183" fontId="0" fillId="0" borderId="0" xfId="0" applyNumberFormat="1"/>
    <xf numFmtId="3" fontId="72" fillId="0" borderId="0" xfId="0" applyNumberFormat="1" applyFont="1"/>
    <xf numFmtId="0" fontId="74" fillId="0" borderId="0" xfId="0" applyFont="1"/>
    <xf numFmtId="0" fontId="75" fillId="0" borderId="0" xfId="0" applyFont="1"/>
    <xf numFmtId="0" fontId="52" fillId="0" borderId="0" xfId="0" applyFont="1"/>
    <xf numFmtId="183" fontId="15" fillId="0" borderId="0" xfId="0" applyNumberFormat="1" applyFont="1"/>
    <xf numFmtId="0" fontId="15" fillId="36" borderId="2" xfId="0" applyFont="1" applyFill="1" applyBorder="1"/>
    <xf numFmtId="0" fontId="0" fillId="0" borderId="2" xfId="0" applyBorder="1"/>
    <xf numFmtId="165" fontId="0" fillId="0" borderId="2" xfId="0" applyNumberFormat="1" applyBorder="1"/>
    <xf numFmtId="183" fontId="0" fillId="0" borderId="2" xfId="0" applyNumberFormat="1" applyBorder="1"/>
    <xf numFmtId="3" fontId="56" fillId="0" borderId="17" xfId="0" applyNumberFormat="1" applyFont="1" applyBorder="1"/>
    <xf numFmtId="3" fontId="73" fillId="0" borderId="17" xfId="0" applyNumberFormat="1" applyFont="1" applyBorder="1"/>
    <xf numFmtId="182" fontId="74" fillId="0" borderId="0" xfId="5" applyNumberFormat="1" applyFont="1"/>
    <xf numFmtId="3" fontId="58" fillId="0" borderId="17" xfId="0" applyNumberFormat="1" applyFont="1" applyBorder="1"/>
    <xf numFmtId="165" fontId="3" fillId="0" borderId="0" xfId="0" applyNumberFormat="1" applyFont="1"/>
    <xf numFmtId="0" fontId="76" fillId="0" borderId="0" xfId="0" applyFont="1"/>
    <xf numFmtId="9" fontId="14" fillId="0" borderId="0" xfId="4" applyAlignment="1">
      <alignment horizontal="center"/>
    </xf>
    <xf numFmtId="165" fontId="14" fillId="0" borderId="0" xfId="4" applyNumberFormat="1" applyAlignment="1">
      <alignment horizontal="center"/>
    </xf>
    <xf numFmtId="165" fontId="15" fillId="0" borderId="0" xfId="4" applyNumberFormat="1" applyFont="1" applyAlignment="1">
      <alignment horizontal="center"/>
    </xf>
    <xf numFmtId="0" fontId="2" fillId="22" borderId="18" xfId="0" applyFont="1" applyFill="1" applyBorder="1" applyAlignment="1">
      <alignment vertical="top"/>
    </xf>
    <xf numFmtId="0" fontId="18" fillId="22" borderId="18" xfId="0" applyFont="1" applyFill="1" applyBorder="1" applyAlignment="1">
      <alignment vertical="top"/>
    </xf>
    <xf numFmtId="0" fontId="2" fillId="22" borderId="19" xfId="0" applyFont="1" applyFill="1" applyBorder="1" applyAlignment="1">
      <alignment vertical="center"/>
    </xf>
    <xf numFmtId="0" fontId="18" fillId="22" borderId="20" xfId="0" applyFont="1" applyFill="1" applyBorder="1" applyAlignment="1">
      <alignment vertical="center"/>
    </xf>
    <xf numFmtId="0" fontId="0" fillId="0" borderId="21" xfId="0" applyBorder="1" applyAlignment="1">
      <alignment vertical="top"/>
    </xf>
    <xf numFmtId="165" fontId="0" fillId="3" borderId="22" xfId="0" applyNumberFormat="1" applyFill="1" applyBorder="1" applyAlignment="1">
      <alignment vertical="top"/>
    </xf>
    <xf numFmtId="3" fontId="0" fillId="3" borderId="22" xfId="0" applyNumberFormat="1" applyFill="1" applyBorder="1" applyAlignment="1">
      <alignment vertical="top"/>
    </xf>
    <xf numFmtId="0" fontId="0" fillId="0" borderId="23" xfId="0" applyBorder="1" applyAlignment="1">
      <alignment vertical="top"/>
    </xf>
    <xf numFmtId="3" fontId="3" fillId="0" borderId="24" xfId="0" applyNumberFormat="1" applyFont="1" applyBorder="1" applyAlignment="1">
      <alignment vertical="top"/>
    </xf>
    <xf numFmtId="0" fontId="40" fillId="24" borderId="10" xfId="0" applyFont="1" applyFill="1" applyBorder="1" applyAlignment="1">
      <alignment horizontal="left" wrapText="1" indent="1"/>
    </xf>
    <xf numFmtId="0" fontId="0" fillId="27" borderId="10" xfId="0" applyFill="1" applyBorder="1" applyAlignment="1">
      <alignment horizontal="left" vertical="center" wrapText="1" indent="1"/>
    </xf>
    <xf numFmtId="0" fontId="0" fillId="27" borderId="10" xfId="0" applyFill="1" applyBorder="1" applyAlignment="1">
      <alignment horizontal="left" wrapText="1" indent="1"/>
    </xf>
    <xf numFmtId="0" fontId="15" fillId="23" borderId="10" xfId="0" applyFont="1" applyFill="1" applyBorder="1" applyAlignment="1">
      <alignment horizontal="left" wrapText="1" indent="1"/>
    </xf>
    <xf numFmtId="0" fontId="15" fillId="29" borderId="10" xfId="0" applyFont="1" applyFill="1" applyBorder="1" applyAlignment="1">
      <alignment horizontal="left" wrapText="1" indent="1"/>
    </xf>
    <xf numFmtId="164" fontId="71" fillId="26" borderId="10" xfId="0" applyNumberFormat="1" applyFont="1" applyFill="1" applyBorder="1" applyAlignment="1">
      <alignment vertical="top"/>
    </xf>
    <xf numFmtId="0" fontId="77" fillId="0" borderId="0" xfId="0" applyFont="1"/>
    <xf numFmtId="0" fontId="78" fillId="0" borderId="0" xfId="0" applyFont="1"/>
    <xf numFmtId="174" fontId="79" fillId="0" borderId="0" xfId="0" applyNumberFormat="1" applyFont="1"/>
    <xf numFmtId="174" fontId="56" fillId="0" borderId="17" xfId="0" applyNumberFormat="1" applyFont="1" applyBorder="1"/>
    <xf numFmtId="0" fontId="80" fillId="0" borderId="0" xfId="0" applyFont="1"/>
    <xf numFmtId="0" fontId="79" fillId="0" borderId="0" xfId="0" applyFont="1"/>
    <xf numFmtId="174" fontId="73" fillId="0" borderId="17" xfId="0" applyNumberFormat="1" applyFont="1" applyBorder="1"/>
    <xf numFmtId="174" fontId="79" fillId="0" borderId="0" xfId="5" applyNumberFormat="1" applyFont="1"/>
    <xf numFmtId="165" fontId="79" fillId="49" borderId="0" xfId="4" applyNumberFormat="1" applyFont="1" applyFill="1"/>
    <xf numFmtId="0" fontId="78" fillId="0" borderId="0" xfId="0" applyFont="1" applyAlignment="1">
      <alignment horizontal="left" indent="1"/>
    </xf>
    <xf numFmtId="174" fontId="56" fillId="0" borderId="0" xfId="0" applyNumberFormat="1" applyFont="1"/>
    <xf numFmtId="174" fontId="70" fillId="0" borderId="0" xfId="0" applyNumberFormat="1" applyFont="1"/>
    <xf numFmtId="165" fontId="79" fillId="0" borderId="0" xfId="0" applyNumberFormat="1" applyFont="1"/>
    <xf numFmtId="174" fontId="80" fillId="0" borderId="0" xfId="0" applyNumberFormat="1" applyFont="1"/>
    <xf numFmtId="165" fontId="81" fillId="0" borderId="0" xfId="0" applyNumberFormat="1" applyFont="1"/>
    <xf numFmtId="1" fontId="79" fillId="0" borderId="0" xfId="0" applyNumberFormat="1" applyFont="1"/>
    <xf numFmtId="174" fontId="78" fillId="0" borderId="0" xfId="0" applyNumberFormat="1" applyFont="1"/>
    <xf numFmtId="0" fontId="79" fillId="0" borderId="0" xfId="0" applyFont="1" applyAlignment="1">
      <alignment vertical="top" wrapText="1"/>
    </xf>
    <xf numFmtId="175" fontId="81" fillId="0" borderId="0" xfId="0" applyNumberFormat="1" applyFont="1"/>
    <xf numFmtId="0" fontId="15" fillId="36" borderId="0" xfId="0" applyFont="1" applyFill="1"/>
    <xf numFmtId="0" fontId="0" fillId="0" borderId="0" xfId="0"/>
    <xf numFmtId="0" fontId="44" fillId="35" borderId="0" xfId="0" applyFont="1" applyFill="1"/>
    <xf numFmtId="0" fontId="67" fillId="0" borderId="0" xfId="0" applyFont="1"/>
    <xf numFmtId="0" fontId="15" fillId="26" borderId="0" xfId="0" applyFont="1" applyFill="1"/>
    <xf numFmtId="0" fontId="66" fillId="0" borderId="0" xfId="0" applyFont="1"/>
    <xf numFmtId="0" fontId="15" fillId="37" borderId="0" xfId="0" applyFont="1" applyFill="1"/>
    <xf numFmtId="0" fontId="45" fillId="22" borderId="10" xfId="0" applyFont="1" applyFill="1" applyBorder="1" applyAlignment="1">
      <alignment horizontal="left" vertical="center" wrapText="1" indent="1"/>
    </xf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1" fontId="41" fillId="23" borderId="10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8" fillId="22" borderId="0" xfId="0" applyFont="1" applyFill="1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36" fillId="21" borderId="4" xfId="0" applyFont="1" applyFill="1" applyBorder="1" applyAlignment="1">
      <alignment vertical="top" wrapText="1"/>
    </xf>
    <xf numFmtId="0" fontId="0" fillId="0" borderId="4" xfId="0" applyBorder="1"/>
    <xf numFmtId="0" fontId="42" fillId="24" borderId="0" xfId="0" applyFont="1" applyFill="1" applyAlignment="1">
      <alignment vertical="top" wrapText="1"/>
    </xf>
    <xf numFmtId="0" fontId="36" fillId="21" borderId="0" xfId="0" applyFont="1" applyFill="1" applyAlignment="1">
      <alignment vertical="top" wrapText="1"/>
    </xf>
    <xf numFmtId="0" fontId="44" fillId="22" borderId="0" xfId="0" applyFont="1" applyFill="1" applyAlignment="1">
      <alignment vertical="top"/>
    </xf>
    <xf numFmtId="0" fontId="30" fillId="23" borderId="4" xfId="0" applyFont="1" applyFill="1" applyBorder="1" applyAlignment="1">
      <alignment wrapText="1"/>
    </xf>
    <xf numFmtId="0" fontId="32" fillId="22" borderId="4" xfId="0" applyFont="1" applyFill="1" applyBorder="1"/>
    <xf numFmtId="0" fontId="29" fillId="22" borderId="3" xfId="0" applyFont="1" applyFill="1" applyBorder="1" applyAlignment="1">
      <alignment wrapText="1"/>
    </xf>
    <xf numFmtId="0" fontId="0" fillId="0" borderId="3" xfId="0" applyBorder="1"/>
    <xf numFmtId="0" fontId="34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15" fillId="0" borderId="0" xfId="0" applyFont="1"/>
    <xf numFmtId="0" fontId="68" fillId="35" borderId="0" xfId="0" applyFont="1" applyFill="1"/>
    <xf numFmtId="0" fontId="61" fillId="33" borderId="0" xfId="0" applyFont="1" applyFill="1" applyAlignment="1">
      <alignment vertical="center" indent="1"/>
    </xf>
    <xf numFmtId="0" fontId="68" fillId="21" borderId="0" xfId="0" applyFont="1" applyFill="1"/>
    <xf numFmtId="0" fontId="44" fillId="42" borderId="0" xfId="0" applyFont="1" applyFill="1"/>
    <xf numFmtId="0" fontId="15" fillId="0" borderId="0" xfId="0" applyFont="1" applyAlignment="1">
      <alignment vertical="top" wrapText="1"/>
    </xf>
    <xf numFmtId="0" fontId="24" fillId="14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18" fillId="13" borderId="0" xfId="0" applyFont="1" applyFill="1" applyAlignment="1">
      <alignment horizontal="left" wrapText="1"/>
    </xf>
    <xf numFmtId="0" fontId="0" fillId="0" borderId="0" xfId="0" applyAlignment="1">
      <alignment vertical="top" wrapText="1"/>
    </xf>
    <xf numFmtId="0" fontId="0" fillId="14" borderId="0" xfId="0" applyFill="1" applyAlignment="1">
      <alignment horizontal="left" vertical="top" wrapText="1"/>
    </xf>
    <xf numFmtId="0" fontId="0" fillId="14" borderId="0" xfId="0" applyFill="1" applyAlignment="1">
      <alignment vertical="top" wrapText="1"/>
    </xf>
    <xf numFmtId="0" fontId="0" fillId="14" borderId="0" xfId="0" applyFill="1" applyAlignment="1">
      <alignment horizontal="left" vertical="top"/>
    </xf>
    <xf numFmtId="0" fontId="17" fillId="0" borderId="0" xfId="0" applyFont="1" applyAlignment="1">
      <alignment vertical="top"/>
    </xf>
    <xf numFmtId="0" fontId="78" fillId="0" borderId="0" xfId="0" applyFont="1" applyAlignment="1">
      <alignment vertical="top" wrapText="1"/>
    </xf>
    <xf numFmtId="0" fontId="15" fillId="38" borderId="0" xfId="0" applyFont="1" applyFill="1"/>
    <xf numFmtId="174" fontId="15" fillId="0" borderId="0" xfId="0" applyNumberFormat="1" applyFont="1"/>
    <xf numFmtId="0" fontId="0" fillId="0" borderId="25" xfId="0" applyBorder="1"/>
    <xf numFmtId="3" fontId="0" fillId="0" borderId="25" xfId="0" applyNumberFormat="1" applyBorder="1"/>
    <xf numFmtId="0" fontId="78" fillId="0" borderId="25" xfId="0" applyFont="1" applyBorder="1"/>
    <xf numFmtId="174" fontId="79" fillId="0" borderId="25" xfId="0" applyNumberFormat="1" applyFont="1" applyBorder="1"/>
  </cellXfs>
  <cellStyles count="6">
    <cellStyle name="Comma" xfId="5" builtinId="3"/>
    <cellStyle name="Comma 2" xfId="2" xr:uid="{00000000-0005-0000-0000-000002000000}"/>
    <cellStyle name="Normal" xfId="0" builtinId="0"/>
    <cellStyle name="Normal 2" xfId="1" xr:uid="{00000000-0005-0000-0000-000001000000}"/>
    <cellStyle name="Per cent" xfId="4" builtinId="5"/>
    <cellStyle name="Per cent 2" xfId="3" xr:uid="{00000000-0005-0000-0000-000003000000}"/>
  </cellStyles>
  <dxfs count="6"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B20"/>
  <sheetViews>
    <sheetView topLeftCell="A5" workbookViewId="0">
      <selection activeCell="A6" sqref="A6:XFD6"/>
    </sheetView>
  </sheetViews>
  <sheetFormatPr defaultRowHeight="14.4" x14ac:dyDescent="0.3"/>
  <cols>
    <col min="1" max="1" width="30" style="19" customWidth="1"/>
    <col min="2" max="2" width="121" style="19" customWidth="1"/>
    <col min="3" max="8" width="8.88671875" style="19" customWidth="1"/>
    <col min="9" max="16384" width="8.88671875" style="19"/>
  </cols>
  <sheetData>
    <row r="1" spans="1:2" ht="18" customHeight="1" x14ac:dyDescent="0.3">
      <c r="A1" s="18" t="s">
        <v>36</v>
      </c>
    </row>
    <row r="2" spans="1:2" ht="28.8" customHeight="1" x14ac:dyDescent="0.3">
      <c r="A2" s="20" t="s">
        <v>37</v>
      </c>
      <c r="B2" s="3" t="s">
        <v>38</v>
      </c>
    </row>
    <row r="3" spans="1:2" ht="43.2" customHeight="1" x14ac:dyDescent="0.3">
      <c r="A3" s="20" t="s">
        <v>39</v>
      </c>
      <c r="B3" s="3" t="s">
        <v>40</v>
      </c>
    </row>
    <row r="4" spans="1:2" ht="28.8" customHeight="1" x14ac:dyDescent="0.3">
      <c r="A4" s="20" t="s">
        <v>41</v>
      </c>
      <c r="B4" s="3" t="s">
        <v>42</v>
      </c>
    </row>
    <row r="5" spans="1:2" ht="28.8" customHeight="1" x14ac:dyDescent="0.3">
      <c r="A5" s="20" t="s">
        <v>43</v>
      </c>
      <c r="B5" s="3" t="s">
        <v>44</v>
      </c>
    </row>
    <row r="6" spans="1:2" x14ac:dyDescent="0.3">
      <c r="A6" s="20"/>
      <c r="B6" s="3"/>
    </row>
    <row r="7" spans="1:2" x14ac:dyDescent="0.3">
      <c r="A7" s="20" t="s">
        <v>45</v>
      </c>
      <c r="B7" s="3"/>
    </row>
    <row r="8" spans="1:2" x14ac:dyDescent="0.3">
      <c r="A8" s="19" t="s">
        <v>46</v>
      </c>
      <c r="B8" s="3" t="s">
        <v>47</v>
      </c>
    </row>
    <row r="9" spans="1:2" x14ac:dyDescent="0.3">
      <c r="A9" s="19" t="s">
        <v>48</v>
      </c>
      <c r="B9" s="3" t="s">
        <v>49</v>
      </c>
    </row>
    <row r="10" spans="1:2" x14ac:dyDescent="0.3">
      <c r="A10" s="19" t="s">
        <v>50</v>
      </c>
      <c r="B10" s="3" t="s">
        <v>51</v>
      </c>
    </row>
    <row r="11" spans="1:2" x14ac:dyDescent="0.3">
      <c r="A11" s="19" t="s">
        <v>52</v>
      </c>
      <c r="B11" s="3" t="s">
        <v>53</v>
      </c>
    </row>
    <row r="12" spans="1:2" x14ac:dyDescent="0.3">
      <c r="A12" s="19" t="s">
        <v>54</v>
      </c>
      <c r="B12" s="3" t="s">
        <v>55</v>
      </c>
    </row>
    <row r="13" spans="1:2" x14ac:dyDescent="0.3">
      <c r="A13" s="19" t="s">
        <v>56</v>
      </c>
      <c r="B13" s="3" t="s">
        <v>57</v>
      </c>
    </row>
    <row r="14" spans="1:2" x14ac:dyDescent="0.3">
      <c r="A14" s="19" t="s">
        <v>58</v>
      </c>
      <c r="B14" s="3" t="s">
        <v>59</v>
      </c>
    </row>
    <row r="15" spans="1:2" x14ac:dyDescent="0.3">
      <c r="A15" s="19" t="s">
        <v>60</v>
      </c>
      <c r="B15" s="3" t="s">
        <v>61</v>
      </c>
    </row>
    <row r="16" spans="1:2" x14ac:dyDescent="0.3">
      <c r="A16" s="19" t="s">
        <v>62</v>
      </c>
      <c r="B16" s="3" t="s">
        <v>63</v>
      </c>
    </row>
    <row r="17" spans="1:2" ht="43.2" customHeight="1" x14ac:dyDescent="0.3">
      <c r="A17" s="20" t="s">
        <v>64</v>
      </c>
      <c r="B17" s="3" t="s">
        <v>65</v>
      </c>
    </row>
    <row r="18" spans="1:2" ht="86.4" customHeight="1" x14ac:dyDescent="0.3">
      <c r="A18" s="20" t="s">
        <v>66</v>
      </c>
      <c r="B18" s="3" t="s">
        <v>67</v>
      </c>
    </row>
    <row r="19" spans="1:2" ht="28.8" customHeight="1" x14ac:dyDescent="0.3">
      <c r="A19" s="20" t="s">
        <v>14</v>
      </c>
      <c r="B19" s="3" t="s">
        <v>68</v>
      </c>
    </row>
    <row r="20" spans="1:2" ht="43.95" customHeight="1" x14ac:dyDescent="0.3">
      <c r="A20" s="46" t="s">
        <v>69</v>
      </c>
      <c r="B20" s="3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sqref="A1:A1048576"/>
    </sheetView>
  </sheetViews>
  <sheetFormatPr defaultRowHeight="14.4" x14ac:dyDescent="0.3"/>
  <cols>
    <col min="1" max="1" width="16.77734375" style="79" customWidth="1"/>
    <col min="2" max="2" width="36.109375" style="79" bestFit="1" customWidth="1"/>
    <col min="3" max="3" width="26.44140625" style="79" bestFit="1" customWidth="1"/>
    <col min="4" max="4" width="87.33203125" style="79" bestFit="1" customWidth="1"/>
    <col min="5" max="9" width="8.88671875" style="79" customWidth="1"/>
    <col min="10" max="16384" width="8.88671875" style="79"/>
  </cols>
  <sheetData>
    <row r="1" spans="1:4" ht="21" customHeight="1" x14ac:dyDescent="0.4">
      <c r="A1" s="84" t="s">
        <v>71</v>
      </c>
      <c r="B1" s="80"/>
      <c r="C1" s="80"/>
      <c r="D1" s="80"/>
    </row>
    <row r="2" spans="1:4" x14ac:dyDescent="0.3">
      <c r="A2" s="80" t="s">
        <v>72</v>
      </c>
      <c r="B2" s="80"/>
      <c r="C2" s="80"/>
      <c r="D2" s="80"/>
    </row>
    <row r="3" spans="1:4" x14ac:dyDescent="0.3">
      <c r="A3" s="80"/>
      <c r="B3" s="80"/>
      <c r="C3" s="80"/>
      <c r="D3" s="80"/>
    </row>
    <row r="4" spans="1:4" x14ac:dyDescent="0.3">
      <c r="A4" s="81" t="s">
        <v>73</v>
      </c>
      <c r="B4" s="81" t="s">
        <v>74</v>
      </c>
      <c r="C4" s="81" t="s">
        <v>75</v>
      </c>
      <c r="D4" s="81" t="s">
        <v>76</v>
      </c>
    </row>
    <row r="5" spans="1:4" x14ac:dyDescent="0.3">
      <c r="A5" s="80" t="s">
        <v>77</v>
      </c>
      <c r="B5" s="80" t="s">
        <v>78</v>
      </c>
      <c r="C5" s="189">
        <v>0.5</v>
      </c>
      <c r="D5" s="80" t="s">
        <v>79</v>
      </c>
    </row>
    <row r="6" spans="1:4" x14ac:dyDescent="0.3">
      <c r="A6" s="80" t="s">
        <v>77</v>
      </c>
      <c r="B6" s="80" t="s">
        <v>80</v>
      </c>
      <c r="C6" s="82" t="s">
        <v>81</v>
      </c>
      <c r="D6" s="80" t="s">
        <v>82</v>
      </c>
    </row>
    <row r="7" spans="1:4" x14ac:dyDescent="0.3">
      <c r="A7" s="80" t="s">
        <v>77</v>
      </c>
      <c r="B7" s="80" t="s">
        <v>83</v>
      </c>
      <c r="C7" s="83">
        <v>0.5</v>
      </c>
      <c r="D7" s="80" t="s">
        <v>79</v>
      </c>
    </row>
    <row r="8" spans="1:4" x14ac:dyDescent="0.3">
      <c r="A8" s="80" t="s">
        <v>77</v>
      </c>
      <c r="B8" s="80" t="s">
        <v>84</v>
      </c>
      <c r="C8" s="83">
        <v>0.5</v>
      </c>
      <c r="D8" s="80" t="s">
        <v>79</v>
      </c>
    </row>
    <row r="9" spans="1:4" x14ac:dyDescent="0.3">
      <c r="A9" s="80" t="s">
        <v>85</v>
      </c>
      <c r="B9" s="80" t="s">
        <v>86</v>
      </c>
      <c r="C9" s="85">
        <v>2.8</v>
      </c>
      <c r="D9" s="80" t="s">
        <v>87</v>
      </c>
    </row>
    <row r="10" spans="1:4" x14ac:dyDescent="0.3">
      <c r="A10" s="80" t="s">
        <v>88</v>
      </c>
      <c r="B10" s="80" t="s">
        <v>89</v>
      </c>
      <c r="C10" s="82">
        <v>4500</v>
      </c>
      <c r="D10" s="80" t="s">
        <v>90</v>
      </c>
    </row>
    <row r="11" spans="1:4" x14ac:dyDescent="0.3">
      <c r="A11" s="80" t="s">
        <v>88</v>
      </c>
      <c r="B11" s="80" t="s">
        <v>91</v>
      </c>
      <c r="C11" s="82">
        <v>1000</v>
      </c>
      <c r="D11" s="80" t="s">
        <v>92</v>
      </c>
    </row>
    <row r="12" spans="1:4" x14ac:dyDescent="0.3">
      <c r="A12" s="80" t="s">
        <v>88</v>
      </c>
      <c r="B12" s="80" t="s">
        <v>93</v>
      </c>
      <c r="C12" s="82">
        <f>Control!$B$32</f>
        <v>3700</v>
      </c>
      <c r="D12" s="80" t="s">
        <v>94</v>
      </c>
    </row>
    <row r="13" spans="1:4" x14ac:dyDescent="0.3">
      <c r="A13" s="80" t="s">
        <v>88</v>
      </c>
      <c r="B13" s="80" t="s">
        <v>95</v>
      </c>
      <c r="C13" s="82">
        <f>Control!$B$33</f>
        <v>750</v>
      </c>
      <c r="D13" s="80" t="s">
        <v>96</v>
      </c>
    </row>
    <row r="14" spans="1:4" x14ac:dyDescent="0.3">
      <c r="A14" s="80" t="s">
        <v>97</v>
      </c>
      <c r="B14" s="80" t="s">
        <v>98</v>
      </c>
      <c r="C14" s="85">
        <v>2071762.35625</v>
      </c>
      <c r="D14" s="80" t="s">
        <v>99</v>
      </c>
    </row>
    <row r="15" spans="1:4" x14ac:dyDescent="0.3">
      <c r="A15" s="80" t="s">
        <v>97</v>
      </c>
      <c r="B15" s="80" t="s">
        <v>100</v>
      </c>
      <c r="C15" s="85">
        <v>1512882.8242500001</v>
      </c>
      <c r="D15" s="80" t="s">
        <v>99</v>
      </c>
    </row>
    <row r="16" spans="1:4" x14ac:dyDescent="0.3">
      <c r="A16" s="80" t="s">
        <v>101</v>
      </c>
      <c r="B16" s="80" t="s">
        <v>102</v>
      </c>
      <c r="C16" s="85">
        <v>0</v>
      </c>
      <c r="D16" s="80" t="s">
        <v>103</v>
      </c>
    </row>
    <row r="17" spans="1:4" x14ac:dyDescent="0.3">
      <c r="A17" s="80" t="s">
        <v>101</v>
      </c>
      <c r="B17" s="80" t="s">
        <v>104</v>
      </c>
      <c r="C17" s="85">
        <v>0</v>
      </c>
      <c r="D17" s="80" t="s">
        <v>103</v>
      </c>
    </row>
    <row r="18" spans="1:4" x14ac:dyDescent="0.3">
      <c r="A18" s="80" t="s">
        <v>105</v>
      </c>
      <c r="B18" s="80" t="s">
        <v>106</v>
      </c>
      <c r="C18" s="82">
        <v>12800000</v>
      </c>
      <c r="D18" s="80" t="s">
        <v>107</v>
      </c>
    </row>
    <row r="19" spans="1:4" x14ac:dyDescent="0.3">
      <c r="A19" s="80" t="s">
        <v>105</v>
      </c>
      <c r="B19" s="80" t="s">
        <v>108</v>
      </c>
      <c r="C19" s="86">
        <v>6400000</v>
      </c>
      <c r="D19" s="80" t="s">
        <v>109</v>
      </c>
    </row>
    <row r="20" spans="1:4" x14ac:dyDescent="0.3">
      <c r="A20" s="80" t="s">
        <v>110</v>
      </c>
      <c r="B20" s="80" t="s">
        <v>111</v>
      </c>
      <c r="C20" s="87">
        <v>0.05</v>
      </c>
      <c r="D20" s="80" t="s">
        <v>112</v>
      </c>
    </row>
    <row r="21" spans="1:4" x14ac:dyDescent="0.3">
      <c r="A21" s="80" t="s">
        <v>113</v>
      </c>
      <c r="B21" s="80" t="s">
        <v>114</v>
      </c>
      <c r="C21" s="80" t="s">
        <v>115</v>
      </c>
      <c r="D21" s="80" t="s">
        <v>116</v>
      </c>
    </row>
    <row r="22" spans="1:4" x14ac:dyDescent="0.3">
      <c r="A22" s="79" t="s">
        <v>117</v>
      </c>
      <c r="B22" s="79" t="s">
        <v>118</v>
      </c>
      <c r="C22" s="168" t="s">
        <v>81</v>
      </c>
      <c r="D22" s="79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G88"/>
  <sheetViews>
    <sheetView tabSelected="1" zoomScale="85" zoomScaleNormal="85" workbookViewId="0">
      <selection activeCell="B9" sqref="B9"/>
    </sheetView>
  </sheetViews>
  <sheetFormatPr defaultRowHeight="14.4" x14ac:dyDescent="0.3"/>
  <cols>
    <col min="1" max="1" width="60.77734375" style="19" bestFit="1" customWidth="1"/>
    <col min="2" max="2" width="12.77734375" style="19" bestFit="1" customWidth="1"/>
    <col min="3" max="3" width="15" style="19" bestFit="1" customWidth="1"/>
    <col min="4" max="4" width="4" style="19" customWidth="1"/>
    <col min="5" max="5" width="43.88671875" style="19" customWidth="1"/>
    <col min="6" max="6" width="12" style="88" bestFit="1" customWidth="1"/>
    <col min="7" max="7" width="69.44140625" style="88" bestFit="1" customWidth="1"/>
    <col min="8" max="11" width="17.5546875" style="19" customWidth="1"/>
    <col min="12" max="15" width="8.88671875" style="19" customWidth="1"/>
    <col min="16" max="16384" width="8.88671875" style="19"/>
  </cols>
  <sheetData>
    <row r="1" spans="1:7" ht="18" customHeight="1" x14ac:dyDescent="0.3">
      <c r="A1" s="18" t="s">
        <v>120</v>
      </c>
    </row>
    <row r="2" spans="1:7" x14ac:dyDescent="0.3">
      <c r="A2" s="401" t="s">
        <v>121</v>
      </c>
      <c r="B2" s="402"/>
      <c r="C2" s="402"/>
    </row>
    <row r="4" spans="1:7" s="77" customFormat="1" ht="29.4" customHeight="1" thickBot="1" x14ac:dyDescent="0.35">
      <c r="A4" s="237" t="s">
        <v>122</v>
      </c>
      <c r="B4" s="241" t="s">
        <v>123</v>
      </c>
      <c r="C4" s="241" t="s">
        <v>124</v>
      </c>
      <c r="D4" s="238"/>
      <c r="E4" s="398" t="s">
        <v>125</v>
      </c>
      <c r="F4" s="399"/>
      <c r="G4" s="400"/>
    </row>
    <row r="5" spans="1:7" ht="15" customHeight="1" thickBot="1" x14ac:dyDescent="0.35">
      <c r="A5" s="239" t="s">
        <v>78</v>
      </c>
      <c r="B5" s="242">
        <v>0.5</v>
      </c>
      <c r="C5" s="242">
        <f>B5</f>
        <v>0.5</v>
      </c>
      <c r="D5" s="319"/>
      <c r="E5" s="366" t="s">
        <v>126</v>
      </c>
      <c r="F5" s="208" t="s">
        <v>75</v>
      </c>
      <c r="G5" s="208" t="s">
        <v>127</v>
      </c>
    </row>
    <row r="6" spans="1:7" s="190" customFormat="1" ht="15" customHeight="1" thickBot="1" x14ac:dyDescent="0.35">
      <c r="A6" s="240" t="s">
        <v>128</v>
      </c>
      <c r="B6" s="330" t="s">
        <v>81</v>
      </c>
      <c r="C6" s="242"/>
      <c r="D6" s="209"/>
      <c r="E6" s="367" t="str">
        <f>_xlfn.TEXTJOIN(", ",TRUE,IF($B$5&gt;0,"African Sky",""),IF(AND($B$5&gt;0,$B$6="Y"),"Winchester expansion",""),IF($B$7&gt;0,"Beachside",""),IF($B$8&gt;0,"Menlyn",""))</f>
        <v>African Sky, Beachside, Menlyn</v>
      </c>
      <c r="F6" s="196"/>
      <c r="G6" s="196" t="s">
        <v>129</v>
      </c>
    </row>
    <row r="7" spans="1:7" ht="15" customHeight="1" thickBot="1" x14ac:dyDescent="0.35">
      <c r="A7" s="239" t="s">
        <v>83</v>
      </c>
      <c r="B7" s="242">
        <v>0.5</v>
      </c>
      <c r="C7" s="242">
        <f>B7</f>
        <v>0.5</v>
      </c>
      <c r="D7" s="320"/>
      <c r="E7" s="368" t="s">
        <v>130</v>
      </c>
      <c r="F7" s="198">
        <f>Valuation!$F$9</f>
        <v>12900000</v>
      </c>
      <c r="G7" s="197" t="s">
        <v>131</v>
      </c>
    </row>
    <row r="8" spans="1:7" ht="15" customHeight="1" thickBot="1" x14ac:dyDescent="0.35">
      <c r="A8" s="239" t="s">
        <v>84</v>
      </c>
      <c r="B8" s="242">
        <v>0.5</v>
      </c>
      <c r="C8" s="242">
        <f>B8</f>
        <v>0.5</v>
      </c>
      <c r="D8" s="320"/>
      <c r="E8" s="368" t="s">
        <v>132</v>
      </c>
      <c r="F8" s="198">
        <f>Control!$B$15</f>
        <v>6400000</v>
      </c>
      <c r="G8" s="197" t="s">
        <v>133</v>
      </c>
    </row>
    <row r="9" spans="1:7" x14ac:dyDescent="0.3">
      <c r="A9" s="186"/>
      <c r="B9" s="187"/>
      <c r="D9" s="187"/>
      <c r="E9" s="368" t="s">
        <v>108</v>
      </c>
      <c r="F9" s="198">
        <f>Valuation!$F$10</f>
        <v>6450000</v>
      </c>
      <c r="G9" s="197" t="s">
        <v>134</v>
      </c>
    </row>
    <row r="10" spans="1:7" s="77" customFormat="1" x14ac:dyDescent="0.3">
      <c r="A10" s="359" t="s">
        <v>135</v>
      </c>
      <c r="B10" s="360"/>
      <c r="C10" s="58"/>
      <c r="D10" s="243"/>
      <c r="E10" s="367" t="s">
        <v>136</v>
      </c>
      <c r="F10" s="245">
        <f>IFERROR(Control!$B$15/Valuation!$F$10,"")</f>
        <v>0.99224806201550386</v>
      </c>
      <c r="G10" s="244" t="s">
        <v>137</v>
      </c>
    </row>
    <row r="11" spans="1:7" x14ac:dyDescent="0.3">
      <c r="A11" s="361" t="s">
        <v>138</v>
      </c>
      <c r="B11" s="362">
        <v>0.5</v>
      </c>
      <c r="C11" s="354"/>
      <c r="D11" s="214"/>
      <c r="E11" s="368" t="s">
        <v>139</v>
      </c>
      <c r="F11" s="198">
        <f>'Portfolio NewCo'!B16</f>
        <v>952520.39754989708</v>
      </c>
      <c r="G11" s="197" t="s">
        <v>140</v>
      </c>
    </row>
    <row r="12" spans="1:7" x14ac:dyDescent="0.3">
      <c r="A12" s="361" t="s">
        <v>141</v>
      </c>
      <c r="B12" s="363">
        <v>3000000</v>
      </c>
      <c r="C12" s="355"/>
      <c r="D12" s="215"/>
      <c r="E12" s="368" t="s">
        <v>142</v>
      </c>
      <c r="F12" s="200">
        <f>IFERROR('Portfolio NewCo'!B16/Control!$B$15,"")</f>
        <v>0.14883131211717143</v>
      </c>
      <c r="G12" s="197" t="s">
        <v>143</v>
      </c>
    </row>
    <row r="13" spans="1:7" x14ac:dyDescent="0.3">
      <c r="A13" s="361" t="s">
        <v>144</v>
      </c>
      <c r="B13" s="363">
        <v>2000000</v>
      </c>
      <c r="C13" s="355"/>
      <c r="D13" s="214"/>
      <c r="E13" s="368" t="s">
        <v>145</v>
      </c>
      <c r="F13" s="201">
        <f>'INV - Investor KPIs'!B25</f>
        <v>6</v>
      </c>
      <c r="G13" s="197" t="s">
        <v>146</v>
      </c>
    </row>
    <row r="14" spans="1:7" x14ac:dyDescent="0.3">
      <c r="A14" s="361" t="s">
        <v>147</v>
      </c>
      <c r="B14" s="363">
        <v>1400000</v>
      </c>
      <c r="C14" s="355"/>
      <c r="D14" s="214"/>
      <c r="E14" s="369" t="s">
        <v>148</v>
      </c>
      <c r="F14" s="203">
        <f>'INV - Investor KPIs'!G7</f>
        <v>5263276.4749641344</v>
      </c>
      <c r="G14" s="202" t="s">
        <v>149</v>
      </c>
    </row>
    <row r="15" spans="1:7" x14ac:dyDescent="0.3">
      <c r="A15" s="364" t="s">
        <v>150</v>
      </c>
      <c r="B15" s="365">
        <f>IF($B$5&gt;0,$B$12/$B$11*$B$5,0)+IF($B$7&gt;0,$B$13/$B$11*$B$7,0)+IF($B$8&gt;0,$B$14/$B$11*$B$8,0)</f>
        <v>6400000</v>
      </c>
      <c r="C15" s="356"/>
      <c r="D15" s="216"/>
      <c r="E15" s="370" t="s">
        <v>151</v>
      </c>
      <c r="F15" s="203">
        <f>'INV - Investor KPIs'!G12</f>
        <v>13001371.588401634</v>
      </c>
      <c r="G15" s="202" t="s">
        <v>152</v>
      </c>
    </row>
    <row r="16" spans="1:7" x14ac:dyDescent="0.3">
      <c r="A16" s="357" t="s">
        <v>153</v>
      </c>
      <c r="B16" s="358"/>
      <c r="C16" s="210"/>
      <c r="E16" s="368" t="s">
        <v>154</v>
      </c>
      <c r="F16" s="200">
        <f>'INV - Investor KPIs'!C18</f>
        <v>0.1903614437955532</v>
      </c>
      <c r="G16" s="197" t="s">
        <v>155</v>
      </c>
    </row>
    <row r="17" spans="1:7" x14ac:dyDescent="0.3">
      <c r="A17" s="192" t="s">
        <v>156</v>
      </c>
      <c r="B17" s="193">
        <v>0.05</v>
      </c>
      <c r="C17" s="188"/>
      <c r="D17" s="188"/>
      <c r="E17" s="368" t="s">
        <v>157</v>
      </c>
      <c r="F17" s="199">
        <f>'INV - Investor KPIs'!C20</f>
        <v>2.0314643106877552</v>
      </c>
      <c r="G17" s="197" t="s">
        <v>158</v>
      </c>
    </row>
    <row r="18" spans="1:7" x14ac:dyDescent="0.3">
      <c r="A18" s="192" t="s">
        <v>159</v>
      </c>
      <c r="B18" s="193">
        <v>0.05</v>
      </c>
      <c r="C18" s="188"/>
      <c r="D18" s="188"/>
      <c r="E18" s="369" t="s">
        <v>160</v>
      </c>
      <c r="F18" s="203">
        <f>'INV - Investor KPIs'!L7</f>
        <v>11980699.198300853</v>
      </c>
      <c r="G18" s="202" t="s">
        <v>161</v>
      </c>
    </row>
    <row r="19" spans="1:7" x14ac:dyDescent="0.3">
      <c r="A19" s="265" t="s">
        <v>162</v>
      </c>
      <c r="B19" s="266">
        <v>0.75</v>
      </c>
      <c r="C19" s="188"/>
      <c r="D19" s="188"/>
      <c r="E19" s="369" t="s">
        <v>163</v>
      </c>
      <c r="F19" s="203">
        <f>'INV - Investor KPIs'!L12</f>
        <v>21856687.320452482</v>
      </c>
      <c r="G19" s="202" t="s">
        <v>164</v>
      </c>
    </row>
    <row r="20" spans="1:7" x14ac:dyDescent="0.3">
      <c r="A20" s="192" t="s">
        <v>165</v>
      </c>
      <c r="B20" s="194">
        <v>365</v>
      </c>
      <c r="C20" s="209"/>
      <c r="D20" s="209"/>
      <c r="E20" s="368" t="s">
        <v>166</v>
      </c>
      <c r="F20" s="200">
        <f>'INV - Investor KPIs'!D18</f>
        <v>0.19595827526478482</v>
      </c>
      <c r="G20" s="197" t="s">
        <v>155</v>
      </c>
    </row>
    <row r="21" spans="1:7" x14ac:dyDescent="0.3">
      <c r="A21" s="267" t="s">
        <v>167</v>
      </c>
      <c r="B21" s="268">
        <v>20</v>
      </c>
      <c r="C21" s="209"/>
      <c r="D21" s="209"/>
      <c r="E21" s="368" t="s">
        <v>168</v>
      </c>
      <c r="F21" s="199">
        <f>'INV - Investor KPIs'!D20</f>
        <v>3.4151073938207004</v>
      </c>
      <c r="G21" s="197" t="s">
        <v>158</v>
      </c>
    </row>
    <row r="22" spans="1:7" x14ac:dyDescent="0.3">
      <c r="A22" s="195" t="s">
        <v>169</v>
      </c>
      <c r="B22" s="191"/>
      <c r="C22" s="210"/>
      <c r="E22" s="369" t="s">
        <v>170</v>
      </c>
      <c r="F22" s="203">
        <f>'INV - Investor KPIs'!Q7</f>
        <v>20554021.967614047</v>
      </c>
      <c r="G22" s="202" t="s">
        <v>171</v>
      </c>
    </row>
    <row r="23" spans="1:7" x14ac:dyDescent="0.3">
      <c r="A23" s="192" t="s">
        <v>172</v>
      </c>
      <c r="B23" s="193">
        <v>0.27</v>
      </c>
      <c r="C23" s="188"/>
      <c r="D23" s="188"/>
      <c r="E23" s="369" t="s">
        <v>173</v>
      </c>
      <c r="F23" s="203">
        <f>'INV - Investor KPIs'!Q12</f>
        <v>33158563.519385166</v>
      </c>
      <c r="G23" s="202" t="s">
        <v>174</v>
      </c>
    </row>
    <row r="24" spans="1:7" x14ac:dyDescent="0.3">
      <c r="A24" s="265" t="s">
        <v>175</v>
      </c>
      <c r="B24" s="269">
        <v>0</v>
      </c>
      <c r="C24" s="209"/>
      <c r="D24" s="209"/>
      <c r="E24" s="368" t="s">
        <v>176</v>
      </c>
      <c r="F24" s="200">
        <f>'INV - Investor KPIs'!E18</f>
        <v>0.19757585701617097</v>
      </c>
      <c r="G24" s="197" t="s">
        <v>155</v>
      </c>
    </row>
    <row r="25" spans="1:7" x14ac:dyDescent="0.3">
      <c r="A25" s="265" t="s">
        <v>177</v>
      </c>
      <c r="B25" s="266">
        <v>0.15</v>
      </c>
      <c r="C25" s="188"/>
      <c r="D25" s="188"/>
      <c r="E25" s="368" t="s">
        <v>178</v>
      </c>
      <c r="F25" s="199">
        <f>'INV - Investor KPIs'!E20</f>
        <v>5.1810255499039322</v>
      </c>
      <c r="G25" s="197" t="s">
        <v>158</v>
      </c>
    </row>
    <row r="26" spans="1:7" x14ac:dyDescent="0.3">
      <c r="A26" s="204" t="s">
        <v>179</v>
      </c>
      <c r="B26" s="206">
        <v>0.04</v>
      </c>
      <c r="C26" s="188"/>
      <c r="D26" s="188"/>
      <c r="E26" s="369" t="s">
        <v>180</v>
      </c>
      <c r="F26" s="203">
        <f>'INV - Investor KPIs'!V7</f>
        <v>31495995.747449916</v>
      </c>
      <c r="G26" s="202" t="s">
        <v>181</v>
      </c>
    </row>
    <row r="27" spans="1:7" x14ac:dyDescent="0.3">
      <c r="A27" s="195" t="s">
        <v>182</v>
      </c>
      <c r="B27" s="191"/>
      <c r="C27" s="210"/>
      <c r="E27" s="369" t="s">
        <v>183</v>
      </c>
      <c r="F27" s="203">
        <f>'INV - Investor KPIs'!V12</f>
        <v>47582939.733740538</v>
      </c>
      <c r="G27" s="202" t="s">
        <v>184</v>
      </c>
    </row>
    <row r="28" spans="1:7" x14ac:dyDescent="0.3">
      <c r="A28" s="263" t="s">
        <v>185</v>
      </c>
      <c r="B28" s="262">
        <v>4500</v>
      </c>
      <c r="C28" s="209"/>
      <c r="D28" s="209"/>
      <c r="E28" s="368" t="s">
        <v>186</v>
      </c>
      <c r="F28" s="200">
        <f>'INV - Investor KPIs'!F18</f>
        <v>0.19823224759730951</v>
      </c>
      <c r="G28" s="197" t="s">
        <v>155</v>
      </c>
    </row>
    <row r="29" spans="1:7" x14ac:dyDescent="0.3">
      <c r="A29" s="263" t="s">
        <v>187</v>
      </c>
      <c r="B29" s="262">
        <v>1000</v>
      </c>
      <c r="C29" s="209"/>
      <c r="D29" s="209"/>
      <c r="E29" s="368" t="s">
        <v>188</v>
      </c>
      <c r="F29" s="199">
        <f>'INV - Investor KPIs'!F20</f>
        <v>7.4348343333969593</v>
      </c>
      <c r="G29" s="197" t="s">
        <v>158</v>
      </c>
    </row>
    <row r="30" spans="1:7" x14ac:dyDescent="0.3">
      <c r="A30" s="331" t="s">
        <v>189</v>
      </c>
      <c r="B30" s="332">
        <f>'ASKY Bookings'!C390</f>
        <v>0.68175582990397809</v>
      </c>
      <c r="C30" s="209"/>
      <c r="D30" s="209"/>
      <c r="F30" s="79"/>
    </row>
    <row r="31" spans="1:7" x14ac:dyDescent="0.3">
      <c r="A31" s="331" t="s">
        <v>190</v>
      </c>
      <c r="B31" s="371">
        <f>'ASKY Bookings'!C409</f>
        <v>2.7505030181086521</v>
      </c>
      <c r="C31" s="209"/>
      <c r="D31" s="209"/>
    </row>
    <row r="32" spans="1:7" x14ac:dyDescent="0.3">
      <c r="A32" s="263" t="s">
        <v>191</v>
      </c>
      <c r="B32" s="262">
        <v>3700</v>
      </c>
      <c r="C32" s="209"/>
      <c r="D32" s="209"/>
    </row>
    <row r="33" spans="1:4" x14ac:dyDescent="0.3">
      <c r="A33" s="248" t="s">
        <v>192</v>
      </c>
      <c r="B33" s="262">
        <v>750</v>
      </c>
      <c r="C33" s="209"/>
      <c r="D33" s="209"/>
    </row>
    <row r="34" spans="1:4" x14ac:dyDescent="0.3">
      <c r="A34" s="333" t="s">
        <v>193</v>
      </c>
      <c r="B34" s="332">
        <f>'ASKY Bookings'!D390</f>
        <v>0.62328767123287676</v>
      </c>
      <c r="C34" s="209"/>
      <c r="D34" s="209"/>
    </row>
    <row r="35" spans="1:4" x14ac:dyDescent="0.3">
      <c r="A35" s="333" t="s">
        <v>194</v>
      </c>
      <c r="B35" s="371">
        <f>'ASKY Bookings'!D409</f>
        <v>2.6879120879120881</v>
      </c>
      <c r="C35" s="209"/>
      <c r="D35" s="209"/>
    </row>
    <row r="36" spans="1:4" x14ac:dyDescent="0.3">
      <c r="A36" s="264" t="s">
        <v>195</v>
      </c>
      <c r="B36" s="262">
        <v>3500</v>
      </c>
      <c r="C36" s="209"/>
      <c r="D36" s="209"/>
    </row>
    <row r="37" spans="1:4" x14ac:dyDescent="0.3">
      <c r="A37" s="264" t="s">
        <v>196</v>
      </c>
      <c r="B37" s="246">
        <v>0.52</v>
      </c>
      <c r="C37" s="209"/>
      <c r="D37" s="209"/>
    </row>
    <row r="38" spans="1:4" x14ac:dyDescent="0.3">
      <c r="A38" s="264" t="s">
        <v>197</v>
      </c>
      <c r="B38" s="247">
        <v>2</v>
      </c>
      <c r="C38" s="211"/>
      <c r="D38" s="211"/>
    </row>
    <row r="39" spans="1:4" x14ac:dyDescent="0.3">
      <c r="A39" s="264" t="s">
        <v>198</v>
      </c>
      <c r="B39" s="262">
        <v>2</v>
      </c>
      <c r="C39" s="209"/>
      <c r="D39" s="209"/>
    </row>
    <row r="40" spans="1:4" x14ac:dyDescent="0.3">
      <c r="A40" s="264" t="s">
        <v>199</v>
      </c>
      <c r="B40" s="262">
        <v>500000</v>
      </c>
      <c r="C40" s="209"/>
      <c r="D40" s="209"/>
    </row>
    <row r="41" spans="1:4" x14ac:dyDescent="0.3">
      <c r="A41" s="192" t="s">
        <v>200</v>
      </c>
      <c r="B41" s="193">
        <v>0.75</v>
      </c>
      <c r="C41" s="188"/>
      <c r="D41" s="188"/>
    </row>
    <row r="42" spans="1:4" x14ac:dyDescent="0.3">
      <c r="A42" s="192" t="s">
        <v>201</v>
      </c>
      <c r="B42" s="194">
        <v>150</v>
      </c>
      <c r="C42" s="209"/>
      <c r="D42" s="209"/>
    </row>
    <row r="43" spans="1:4" x14ac:dyDescent="0.3">
      <c r="A43" s="192" t="s">
        <v>202</v>
      </c>
      <c r="B43" s="194">
        <v>100</v>
      </c>
      <c r="C43" s="209"/>
      <c r="D43" s="209"/>
    </row>
    <row r="44" spans="1:4" x14ac:dyDescent="0.3">
      <c r="A44" s="192" t="s">
        <v>203</v>
      </c>
      <c r="B44" s="194">
        <v>375</v>
      </c>
      <c r="C44" s="209"/>
      <c r="D44" s="209"/>
    </row>
    <row r="45" spans="1:4" x14ac:dyDescent="0.3">
      <c r="A45" s="192" t="s">
        <v>204</v>
      </c>
      <c r="B45" s="194">
        <v>200</v>
      </c>
      <c r="C45" s="209"/>
      <c r="D45" s="209"/>
    </row>
    <row r="46" spans="1:4" x14ac:dyDescent="0.3">
      <c r="A46" s="192" t="s">
        <v>205</v>
      </c>
      <c r="B46" s="207">
        <f>'ASKY Tours Calcs'!O27</f>
        <v>2045556.4829818245</v>
      </c>
      <c r="C46" s="212"/>
      <c r="D46" s="212"/>
    </row>
    <row r="47" spans="1:4" x14ac:dyDescent="0.3">
      <c r="A47" s="192" t="s">
        <v>206</v>
      </c>
      <c r="B47" s="207">
        <f>'ASKY Tours Calcs'!P27</f>
        <v>1493746.258976338</v>
      </c>
      <c r="C47" s="212"/>
      <c r="D47" s="212"/>
    </row>
    <row r="48" spans="1:4" x14ac:dyDescent="0.3">
      <c r="A48" s="192" t="s">
        <v>207</v>
      </c>
      <c r="B48" s="194">
        <v>30000</v>
      </c>
      <c r="C48" s="209"/>
      <c r="D48" s="209"/>
    </row>
    <row r="49" spans="1:4" x14ac:dyDescent="0.3">
      <c r="A49" s="192" t="s">
        <v>208</v>
      </c>
      <c r="B49" s="194">
        <v>6800</v>
      </c>
      <c r="C49" s="209"/>
      <c r="D49" s="209"/>
    </row>
    <row r="50" spans="1:4" x14ac:dyDescent="0.3">
      <c r="A50" s="192" t="s">
        <v>209</v>
      </c>
      <c r="B50" s="194">
        <v>3500</v>
      </c>
      <c r="C50" s="209"/>
      <c r="D50" s="209"/>
    </row>
    <row r="51" spans="1:4" x14ac:dyDescent="0.3">
      <c r="A51" s="192" t="s">
        <v>210</v>
      </c>
      <c r="B51" s="194">
        <v>5000</v>
      </c>
      <c r="C51" s="209"/>
      <c r="D51" s="209"/>
    </row>
    <row r="52" spans="1:4" x14ac:dyDescent="0.3">
      <c r="A52" s="204" t="s">
        <v>211</v>
      </c>
      <c r="B52" s="206">
        <v>0.2</v>
      </c>
      <c r="C52" s="188"/>
      <c r="D52" s="188"/>
    </row>
    <row r="53" spans="1:4" x14ac:dyDescent="0.3">
      <c r="A53" s="195" t="s">
        <v>212</v>
      </c>
      <c r="B53" s="191"/>
      <c r="C53" s="210"/>
    </row>
    <row r="54" spans="1:4" x14ac:dyDescent="0.3">
      <c r="A54" s="192" t="s">
        <v>213</v>
      </c>
      <c r="B54" s="194">
        <v>30000</v>
      </c>
      <c r="C54" s="209"/>
      <c r="D54" s="209"/>
    </row>
    <row r="55" spans="1:4" x14ac:dyDescent="0.3">
      <c r="A55" s="192" t="s">
        <v>214</v>
      </c>
      <c r="B55" s="194">
        <v>10</v>
      </c>
      <c r="C55" s="209"/>
      <c r="D55" s="209"/>
    </row>
    <row r="56" spans="1:4" x14ac:dyDescent="0.3">
      <c r="A56" s="321" t="s">
        <v>215</v>
      </c>
      <c r="B56" s="322">
        <f>B54*B55</f>
        <v>300000</v>
      </c>
      <c r="C56" s="209"/>
      <c r="D56" s="209"/>
    </row>
    <row r="57" spans="1:4" x14ac:dyDescent="0.3">
      <c r="A57" s="192" t="s">
        <v>216</v>
      </c>
      <c r="B57" s="194">
        <v>4500</v>
      </c>
      <c r="C57" s="209"/>
      <c r="D57" s="209"/>
    </row>
    <row r="58" spans="1:4" x14ac:dyDescent="0.3">
      <c r="A58" s="192" t="s">
        <v>217</v>
      </c>
      <c r="B58" s="194">
        <v>2</v>
      </c>
      <c r="C58" s="209"/>
      <c r="D58" s="209"/>
    </row>
    <row r="59" spans="1:4" x14ac:dyDescent="0.3">
      <c r="A59" s="192" t="s">
        <v>218</v>
      </c>
      <c r="B59" s="194">
        <v>30</v>
      </c>
      <c r="C59" s="209"/>
      <c r="D59" s="209"/>
    </row>
    <row r="60" spans="1:4" x14ac:dyDescent="0.3">
      <c r="A60" s="192" t="s">
        <v>219</v>
      </c>
      <c r="B60" s="193">
        <v>0.9</v>
      </c>
      <c r="C60" s="188"/>
      <c r="D60" s="188"/>
    </row>
    <row r="61" spans="1:4" x14ac:dyDescent="0.3">
      <c r="A61" s="321" t="s">
        <v>220</v>
      </c>
      <c r="B61" s="323">
        <f>B57*B58*B59*B60</f>
        <v>243000</v>
      </c>
      <c r="C61" s="188"/>
      <c r="D61" s="188"/>
    </row>
    <row r="62" spans="1:4" x14ac:dyDescent="0.3">
      <c r="A62" s="321" t="s">
        <v>221</v>
      </c>
      <c r="B62" s="324">
        <f>B56+B61</f>
        <v>543000</v>
      </c>
      <c r="C62" s="188"/>
      <c r="D62" s="188"/>
    </row>
    <row r="63" spans="1:4" x14ac:dyDescent="0.3">
      <c r="A63" s="192" t="s">
        <v>222</v>
      </c>
      <c r="B63" s="193">
        <v>0.2</v>
      </c>
      <c r="C63" s="188"/>
      <c r="D63" s="188"/>
    </row>
    <row r="64" spans="1:4" x14ac:dyDescent="0.3">
      <c r="A64" s="192" t="s">
        <v>223</v>
      </c>
      <c r="B64" s="194">
        <v>1000</v>
      </c>
      <c r="C64" s="209"/>
      <c r="D64" s="209"/>
    </row>
    <row r="65" spans="1:4" x14ac:dyDescent="0.3">
      <c r="A65" s="192" t="s">
        <v>224</v>
      </c>
      <c r="B65" s="194">
        <v>1000</v>
      </c>
      <c r="C65" s="209"/>
      <c r="D65" s="209"/>
    </row>
    <row r="66" spans="1:4" x14ac:dyDescent="0.3">
      <c r="A66" s="204" t="s">
        <v>225</v>
      </c>
      <c r="B66" s="205">
        <v>3800</v>
      </c>
      <c r="C66" s="209"/>
      <c r="D66" s="209"/>
    </row>
    <row r="67" spans="1:4" x14ac:dyDescent="0.3">
      <c r="A67" s="195" t="s">
        <v>226</v>
      </c>
      <c r="B67" s="191"/>
      <c r="C67" s="210"/>
    </row>
    <row r="68" spans="1:4" x14ac:dyDescent="0.3">
      <c r="A68" s="192" t="s">
        <v>227</v>
      </c>
      <c r="B68" s="194">
        <v>28000</v>
      </c>
      <c r="C68" s="209"/>
      <c r="D68" s="209"/>
    </row>
    <row r="69" spans="1:4" x14ac:dyDescent="0.3">
      <c r="A69" s="321" t="s">
        <v>228</v>
      </c>
      <c r="B69" s="324">
        <f>B68*12</f>
        <v>336000</v>
      </c>
      <c r="C69" s="209"/>
      <c r="D69" s="209"/>
    </row>
    <row r="70" spans="1:4" x14ac:dyDescent="0.3">
      <c r="A70" s="192" t="s">
        <v>223</v>
      </c>
      <c r="B70" s="194">
        <v>900</v>
      </c>
      <c r="C70" s="209"/>
      <c r="D70" s="209"/>
    </row>
    <row r="71" spans="1:4" x14ac:dyDescent="0.3">
      <c r="A71" s="192" t="s">
        <v>224</v>
      </c>
      <c r="B71" s="194">
        <v>1000</v>
      </c>
      <c r="C71" s="209"/>
      <c r="D71" s="209"/>
    </row>
    <row r="72" spans="1:4" x14ac:dyDescent="0.3">
      <c r="A72" s="204" t="s">
        <v>229</v>
      </c>
      <c r="B72" s="205">
        <v>3500</v>
      </c>
      <c r="C72" s="209"/>
      <c r="D72" s="209"/>
    </row>
    <row r="73" spans="1:4" x14ac:dyDescent="0.3">
      <c r="A73" s="195" t="s">
        <v>230</v>
      </c>
      <c r="B73" s="191"/>
      <c r="C73" s="210"/>
    </row>
    <row r="74" spans="1:4" x14ac:dyDescent="0.3">
      <c r="A74" s="192" t="s">
        <v>231</v>
      </c>
      <c r="B74" s="193">
        <v>0.1</v>
      </c>
      <c r="C74" s="188"/>
      <c r="D74" s="188"/>
    </row>
    <row r="75" spans="1:4" x14ac:dyDescent="0.3">
      <c r="A75" s="192" t="s">
        <v>232</v>
      </c>
      <c r="B75" s="193">
        <v>7.4999999999999997E-2</v>
      </c>
      <c r="C75" s="188"/>
      <c r="D75" s="188"/>
    </row>
    <row r="76" spans="1:4" x14ac:dyDescent="0.3">
      <c r="A76" s="192" t="s">
        <v>233</v>
      </c>
      <c r="B76" s="193">
        <v>8.5000000000000006E-2</v>
      </c>
      <c r="C76" s="188"/>
      <c r="D76" s="188"/>
    </row>
    <row r="77" spans="1:4" x14ac:dyDescent="0.3">
      <c r="A77" s="192" t="s">
        <v>234</v>
      </c>
      <c r="B77" s="194">
        <v>6000000</v>
      </c>
      <c r="C77" s="209"/>
      <c r="D77" s="209"/>
    </row>
    <row r="78" spans="1:4" x14ac:dyDescent="0.3">
      <c r="A78" s="192" t="s">
        <v>235</v>
      </c>
      <c r="B78" s="193">
        <f>B84</f>
        <v>0.05</v>
      </c>
      <c r="C78" s="188"/>
      <c r="D78" s="188"/>
    </row>
    <row r="79" spans="1:4" x14ac:dyDescent="0.3">
      <c r="A79" s="204" t="s">
        <v>236</v>
      </c>
      <c r="B79" s="206">
        <v>0.06</v>
      </c>
      <c r="C79" s="188"/>
      <c r="D79" s="188"/>
    </row>
    <row r="80" spans="1:4" x14ac:dyDescent="0.3">
      <c r="A80" s="195" t="s">
        <v>237</v>
      </c>
      <c r="B80" s="191"/>
      <c r="C80" s="210"/>
    </row>
    <row r="81" spans="1:4" x14ac:dyDescent="0.3">
      <c r="A81" s="192" t="s">
        <v>238</v>
      </c>
      <c r="B81" s="193">
        <v>0.6</v>
      </c>
      <c r="C81" s="188"/>
      <c r="D81" s="188"/>
    </row>
    <row r="82" spans="1:4" x14ac:dyDescent="0.3">
      <c r="A82" s="192" t="s">
        <v>239</v>
      </c>
      <c r="B82" s="193">
        <v>0.115</v>
      </c>
      <c r="C82" s="188"/>
      <c r="D82" s="188"/>
    </row>
    <row r="83" spans="1:4" x14ac:dyDescent="0.3">
      <c r="A83" s="192" t="s">
        <v>240</v>
      </c>
      <c r="B83" s="193">
        <v>0.09</v>
      </c>
      <c r="C83" s="188"/>
      <c r="D83" s="188"/>
    </row>
    <row r="84" spans="1:4" x14ac:dyDescent="0.3">
      <c r="A84" s="192" t="s">
        <v>241</v>
      </c>
      <c r="B84" s="193">
        <v>0.05</v>
      </c>
      <c r="C84" s="188"/>
      <c r="D84" s="188"/>
    </row>
    <row r="85" spans="1:4" x14ac:dyDescent="0.3">
      <c r="A85" s="192" t="s">
        <v>242</v>
      </c>
      <c r="B85" s="193">
        <v>1</v>
      </c>
      <c r="C85" s="188"/>
      <c r="D85" s="188"/>
    </row>
    <row r="86" spans="1:4" x14ac:dyDescent="0.3">
      <c r="B86" s="188"/>
      <c r="C86" s="188"/>
      <c r="D86" s="188"/>
    </row>
    <row r="87" spans="1:4" x14ac:dyDescent="0.3">
      <c r="A87" s="191" t="s">
        <v>243</v>
      </c>
      <c r="B87" s="191"/>
      <c r="C87" s="210"/>
      <c r="D87" s="217"/>
    </row>
    <row r="88" spans="1:4" x14ac:dyDescent="0.3">
      <c r="A88" s="403" t="s">
        <v>244</v>
      </c>
      <c r="B88" s="400"/>
      <c r="C88" s="213"/>
      <c r="D88" s="213"/>
    </row>
  </sheetData>
  <mergeCells count="3">
    <mergeCell ref="E4:G4"/>
    <mergeCell ref="A2:C2"/>
    <mergeCell ref="A88:B88"/>
  </mergeCells>
  <conditionalFormatting sqref="B12 B28:D52">
    <cfRule type="expression" dxfId="5" priority="5">
      <formula>$B$5=0</formula>
    </cfRule>
  </conditionalFormatting>
  <conditionalFormatting sqref="B13 B54:D66">
    <cfRule type="expression" dxfId="4" priority="7">
      <formula>$B$7=0</formula>
    </cfRule>
  </conditionalFormatting>
  <conditionalFormatting sqref="B14 B68:D68 C69:D69 B70:D72">
    <cfRule type="expression" dxfId="3" priority="9">
      <formula>$B$8=0</formula>
    </cfRule>
  </conditionalFormatting>
  <conditionalFormatting sqref="B69">
    <cfRule type="expression" dxfId="2" priority="1">
      <formula>$B$7=0</formula>
    </cfRule>
  </conditionalFormatting>
  <conditionalFormatting sqref="B36:D40">
    <cfRule type="expression" dxfId="1" priority="10">
      <formula>OR($B$5=0,$B$6="N")</formula>
    </cfRule>
  </conditionalFormatting>
  <conditionalFormatting sqref="D4:D6">
    <cfRule type="expression" dxfId="0" priority="2">
      <formula>$B$5=0</formula>
    </cfRule>
  </conditionalFormatting>
  <dataValidations count="2">
    <dataValidation type="list" allowBlank="1" showInputMessage="1" showErrorMessage="1" sqref="B6 B9 D9" xr:uid="{00000000-0002-0000-0200-000000000000}">
      <formula1>"Y,N"</formula1>
    </dataValidation>
    <dataValidation type="decimal" allowBlank="1" showInputMessage="1" showErrorMessage="1" sqref="B5:C5 B7:C8" xr:uid="{00000000-0002-0000-0200-000001000000}">
      <formula1>0</formula1>
      <formula2>1</formula2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C2E6"/>
  </sheetPr>
  <dimension ref="A1:V28"/>
  <sheetViews>
    <sheetView topLeftCell="A9" workbookViewId="0">
      <selection activeCell="A29" sqref="A29:XFD29"/>
    </sheetView>
  </sheetViews>
  <sheetFormatPr defaultRowHeight="14.4" x14ac:dyDescent="0.3"/>
  <cols>
    <col min="1" max="1" width="45.5546875" customWidth="1"/>
    <col min="3" max="12" width="8.88671875" bestFit="1" customWidth="1"/>
    <col min="13" max="14" width="9.5546875" bestFit="1" customWidth="1"/>
    <col min="15" max="22" width="9.88671875" bestFit="1" customWidth="1"/>
  </cols>
  <sheetData>
    <row r="1" spans="1:22" ht="18" customHeight="1" x14ac:dyDescent="0.35">
      <c r="A1" s="1" t="s">
        <v>245</v>
      </c>
    </row>
    <row r="2" spans="1:22" x14ac:dyDescent="0.3">
      <c r="A2" s="19" t="s">
        <v>246</v>
      </c>
    </row>
    <row r="4" spans="1:22" x14ac:dyDescent="0.3">
      <c r="A4" s="2" t="s">
        <v>247</v>
      </c>
      <c r="C4" s="6">
        <v>1</v>
      </c>
      <c r="D4" s="6">
        <v>2</v>
      </c>
      <c r="E4" s="6">
        <v>3</v>
      </c>
      <c r="F4" s="6">
        <v>4</v>
      </c>
      <c r="G4" s="6">
        <v>5</v>
      </c>
      <c r="H4" s="6">
        <v>6</v>
      </c>
      <c r="I4" s="6">
        <v>7</v>
      </c>
      <c r="J4" s="6">
        <v>8</v>
      </c>
      <c r="K4" s="6">
        <v>9</v>
      </c>
      <c r="L4" s="6">
        <v>10</v>
      </c>
      <c r="M4" s="6">
        <v>11</v>
      </c>
      <c r="N4" s="6">
        <v>12</v>
      </c>
      <c r="O4" s="6">
        <v>13</v>
      </c>
      <c r="P4" s="6">
        <v>14</v>
      </c>
      <c r="Q4" s="6">
        <v>15</v>
      </c>
      <c r="R4" s="6">
        <v>16</v>
      </c>
      <c r="S4" s="6">
        <v>17</v>
      </c>
      <c r="T4" s="6">
        <v>18</v>
      </c>
      <c r="U4" s="6">
        <v>19</v>
      </c>
      <c r="V4" s="6">
        <v>20</v>
      </c>
    </row>
    <row r="6" spans="1:22" x14ac:dyDescent="0.3">
      <c r="A6" t="s">
        <v>248</v>
      </c>
      <c r="C6" s="7">
        <f>IF(Control!$B$5&gt;0,Control!$B$20*(Control!$B$30+Control!$B$34+IF(Control!$B$6="Y",Control!$B$37,0))/(2+IF(Control!$B$6="Y",1,0)),0)</f>
        <v>238.17043895747602</v>
      </c>
      <c r="D6" s="7">
        <f>IF(Control!$B$5&gt;0,Control!$B$20*(Control!$B$30+Control!$B$34+IF(Control!$B$6="Y",Control!$B$37,0))/(2+IF(Control!$B$6="Y",1,0)),0)</f>
        <v>238.17043895747602</v>
      </c>
      <c r="E6" s="7">
        <f>IF(Control!$B$5&gt;0,Control!$B$20*(Control!$B$30+Control!$B$34+IF(Control!$B$6="Y",Control!$B$37,0))/(2+IF(Control!$B$6="Y",1,0)),0)</f>
        <v>238.17043895747602</v>
      </c>
      <c r="F6" s="7">
        <f>IF(Control!$B$5&gt;0,Control!$B$20*(Control!$B$30+Control!$B$34+IF(Control!$B$6="Y",Control!$B$37,0))/(2+IF(Control!$B$6="Y",1,0)),0)</f>
        <v>238.17043895747602</v>
      </c>
      <c r="G6" s="7">
        <f>IF(Control!$B$5&gt;0,Control!$B$20*(Control!$B$30+Control!$B$34+IF(Control!$B$6="Y",Control!$B$37,0))/(2+IF(Control!$B$6="Y",1,0)),0)</f>
        <v>238.17043895747602</v>
      </c>
      <c r="H6" s="7">
        <f>IF(Control!$B$5&gt;0,Control!$B$20*(Control!$B$30+Control!$B$34+IF(Control!$B$6="Y",Control!$B$37,0))/(2+IF(Control!$B$6="Y",1,0)),0)</f>
        <v>238.17043895747602</v>
      </c>
      <c r="I6" s="7">
        <f>IF(Control!$B$5&gt;0,Control!$B$20*(Control!$B$30+Control!$B$34+IF(Control!$B$6="Y",Control!$B$37,0))/(2+IF(Control!$B$6="Y",1,0)),0)</f>
        <v>238.17043895747602</v>
      </c>
      <c r="J6" s="7">
        <f>IF(Control!$B$5&gt;0,Control!$B$20*(Control!$B$30+Control!$B$34+IF(Control!$B$6="Y",Control!$B$37,0))/(2+IF(Control!$B$6="Y",1,0)),0)</f>
        <v>238.17043895747602</v>
      </c>
      <c r="K6" s="7">
        <f>IF(Control!$B$5&gt;0,Control!$B$20*(Control!$B$30+Control!$B$34+IF(Control!$B$6="Y",Control!$B$37,0))/(2+IF(Control!$B$6="Y",1,0)),0)</f>
        <v>238.17043895747602</v>
      </c>
      <c r="L6" s="7">
        <f>IF(Control!$B$5&gt;0,Control!$B$20*(Control!$B$30+Control!$B$34+IF(Control!$B$6="Y",Control!$B$37,0))/(2+IF(Control!$B$6="Y",1,0)),0)</f>
        <v>238.17043895747602</v>
      </c>
      <c r="M6" s="7">
        <f>IF(Control!$B$5&gt;0,Control!$B$20*(Control!$B$30+Control!$B$34+IF(Control!$B$6="Y",Control!$B$37,0))/(2+IF(Control!$B$6="Y",1,0)),0)</f>
        <v>238.17043895747602</v>
      </c>
      <c r="N6" s="7">
        <f>IF(Control!$B$5&gt;0,Control!$B$20*(Control!$B$30+Control!$B$34+IF(Control!$B$6="Y",Control!$B$37,0))/(2+IF(Control!$B$6="Y",1,0)),0)</f>
        <v>238.17043895747602</v>
      </c>
      <c r="O6" s="7">
        <f>IF(Control!$B$5&gt;0,Control!$B$20*(Control!$B$30+Control!$B$34+IF(Control!$B$6="Y",Control!$B$37,0))/(2+IF(Control!$B$6="Y",1,0)),0)</f>
        <v>238.17043895747602</v>
      </c>
      <c r="P6" s="7">
        <f>IF(Control!$B$5&gt;0,Control!$B$20*(Control!$B$30+Control!$B$34+IF(Control!$B$6="Y",Control!$B$37,0))/(2+IF(Control!$B$6="Y",1,0)),0)</f>
        <v>238.17043895747602</v>
      </c>
      <c r="Q6" s="7">
        <f>IF(Control!$B$5&gt;0,Control!$B$20*(Control!$B$30+Control!$B$34+IF(Control!$B$6="Y",Control!$B$37,0))/(2+IF(Control!$B$6="Y",1,0)),0)</f>
        <v>238.17043895747602</v>
      </c>
      <c r="R6" s="7">
        <f>IF(Control!$B$5&gt;0,Control!$B$20*(Control!$B$30+Control!$B$34+IF(Control!$B$6="Y",Control!$B$37,0))/(2+IF(Control!$B$6="Y",1,0)),0)</f>
        <v>238.17043895747602</v>
      </c>
      <c r="S6" s="7">
        <f>IF(Control!$B$5&gt;0,Control!$B$20*(Control!$B$30+Control!$B$34+IF(Control!$B$6="Y",Control!$B$37,0))/(2+IF(Control!$B$6="Y",1,0)),0)</f>
        <v>238.17043895747602</v>
      </c>
      <c r="T6" s="7">
        <f>IF(Control!$B$5&gt;0,Control!$B$20*(Control!$B$30+Control!$B$34+IF(Control!$B$6="Y",Control!$B$37,0))/(2+IF(Control!$B$6="Y",1,0)),0)</f>
        <v>238.17043895747602</v>
      </c>
      <c r="U6" s="7">
        <f>IF(Control!$B$5&gt;0,Control!$B$20*(Control!$B$30+Control!$B$34+IF(Control!$B$6="Y",Control!$B$37,0))/(2+IF(Control!$B$6="Y",1,0)),0)</f>
        <v>238.17043895747602</v>
      </c>
      <c r="V6" s="7">
        <f>IF(Control!$B$5&gt;0,Control!$B$20*(Control!$B$30+Control!$B$34+IF(Control!$B$6="Y",Control!$B$37,0))/(2+IF(Control!$B$6="Y",1,0)),0)</f>
        <v>238.17043895747602</v>
      </c>
    </row>
    <row r="7" spans="1:22" x14ac:dyDescent="0.3">
      <c r="A7" t="s">
        <v>249</v>
      </c>
      <c r="C7" s="8">
        <f>IF(Control!$B$5&gt;0,(Control!$B$20*Control!$B$30)*(Control!$B$28+Control!$B$29*MAX(0,Control!$B$31-2))*POWER(1+Control!$B$17,C$4-1),0)</f>
        <v>1306539.7805212622</v>
      </c>
      <c r="D7" s="8">
        <f>IF(Control!$B$5&gt;0,(Control!$B$20*Control!$B$30)*(Control!$B$28+Control!$B$29*MAX(0,Control!$B$31-2))*POWER(1+Control!$B$17,D$4-1),0)</f>
        <v>1371866.7695473253</v>
      </c>
      <c r="E7" s="8">
        <f>IF(Control!$B$5&gt;0,(Control!$B$20*Control!$B$30)*(Control!$B$28+Control!$B$29*MAX(0,Control!$B$31-2))*POWER(1+Control!$B$17,E$4-1),0)</f>
        <v>1440460.1080246917</v>
      </c>
      <c r="F7" s="8">
        <f>IF(Control!$B$5&gt;0,(Control!$B$20*Control!$B$30)*(Control!$B$28+Control!$B$29*MAX(0,Control!$B$31-2))*POWER(1+Control!$B$17,F$4-1),0)</f>
        <v>1512483.1134259263</v>
      </c>
      <c r="G7" s="8">
        <f>IF(Control!$B$5&gt;0,(Control!$B$20*Control!$B$30)*(Control!$B$28+Control!$B$29*MAX(0,Control!$B$31-2))*POWER(1+Control!$B$17,G$4-1),0)</f>
        <v>1588107.2690972225</v>
      </c>
      <c r="H7" s="8">
        <f>IF(Control!$B$5&gt;0,(Control!$B$20*Control!$B$30)*(Control!$B$28+Control!$B$29*MAX(0,Control!$B$31-2))*POWER(1+Control!$B$17,H$4-1),0)</f>
        <v>1667512.6325520838</v>
      </c>
      <c r="I7" s="8">
        <f>IF(Control!$B$5&gt;0,(Control!$B$20*Control!$B$30)*(Control!$B$28+Control!$B$29*MAX(0,Control!$B$31-2))*POWER(1+Control!$B$17,I$4-1),0)</f>
        <v>1750888.2641796877</v>
      </c>
      <c r="J7" s="8">
        <f>IF(Control!$B$5&gt;0,(Control!$B$20*Control!$B$30)*(Control!$B$28+Control!$B$29*MAX(0,Control!$B$31-2))*POWER(1+Control!$B$17,J$4-1),0)</f>
        <v>1838432.6773886725</v>
      </c>
      <c r="K7" s="8">
        <f>IF(Control!$B$5&gt;0,(Control!$B$20*Control!$B$30)*(Control!$B$28+Control!$B$29*MAX(0,Control!$B$31-2))*POWER(1+Control!$B$17,K$4-1),0)</f>
        <v>1930354.3112581058</v>
      </c>
      <c r="L7" s="8">
        <f>IF(Control!$B$5&gt;0,(Control!$B$20*Control!$B$30)*(Control!$B$28+Control!$B$29*MAX(0,Control!$B$31-2))*POWER(1+Control!$B$17,L$4-1),0)</f>
        <v>2026872.0268210112</v>
      </c>
      <c r="M7" s="8">
        <f>IF(Control!$B$5&gt;0,(Control!$B$20*Control!$B$30)*(Control!$B$28+Control!$B$29*MAX(0,Control!$B$31-2))*POWER(1+Control!$B$17,M$4-1),0)</f>
        <v>2128215.6281620618</v>
      </c>
      <c r="N7" s="8">
        <f>IF(Control!$B$5&gt;0,(Control!$B$20*Control!$B$30)*(Control!$B$28+Control!$B$29*MAX(0,Control!$B$31-2))*POWER(1+Control!$B$17,N$4-1),0)</f>
        <v>2234626.409570165</v>
      </c>
      <c r="O7" s="8">
        <f>IF(Control!$B$5&gt;0,(Control!$B$20*Control!$B$30)*(Control!$B$28+Control!$B$29*MAX(0,Control!$B$31-2))*POWER(1+Control!$B$17,O$4-1),0)</f>
        <v>2346357.7300486728</v>
      </c>
      <c r="P7" s="8">
        <f>IF(Control!$B$5&gt;0,(Control!$B$20*Control!$B$30)*(Control!$B$28+Control!$B$29*MAX(0,Control!$B$31-2))*POWER(1+Control!$B$17,P$4-1),0)</f>
        <v>2463675.6165511073</v>
      </c>
      <c r="Q7" s="8">
        <f>IF(Control!$B$5&gt;0,(Control!$B$20*Control!$B$30)*(Control!$B$28+Control!$B$29*MAX(0,Control!$B$31-2))*POWER(1+Control!$B$17,Q$4-1),0)</f>
        <v>2586859.3973786617</v>
      </c>
      <c r="R7" s="8">
        <f>IF(Control!$B$5&gt;0,(Control!$B$20*Control!$B$30)*(Control!$B$28+Control!$B$29*MAX(0,Control!$B$31-2))*POWER(1+Control!$B$17,R$4-1),0)</f>
        <v>2716202.3672475959</v>
      </c>
      <c r="S7" s="8">
        <f>IF(Control!$B$5&gt;0,(Control!$B$20*Control!$B$30)*(Control!$B$28+Control!$B$29*MAX(0,Control!$B$31-2))*POWER(1+Control!$B$17,S$4-1),0)</f>
        <v>2852012.4856099752</v>
      </c>
      <c r="T7" s="8">
        <f>IF(Control!$B$5&gt;0,(Control!$B$20*Control!$B$30)*(Control!$B$28+Control!$B$29*MAX(0,Control!$B$31-2))*POWER(1+Control!$B$17,T$4-1),0)</f>
        <v>2994613.1098904745</v>
      </c>
      <c r="U7" s="8">
        <f>IF(Control!$B$5&gt;0,(Control!$B$20*Control!$B$30)*(Control!$B$28+Control!$B$29*MAX(0,Control!$B$31-2))*POWER(1+Control!$B$17,U$4-1),0)</f>
        <v>3144343.7653849982</v>
      </c>
      <c r="V7" s="8">
        <f>IF(Control!$B$5&gt;0,(Control!$B$20*Control!$B$30)*(Control!$B$28+Control!$B$29*MAX(0,Control!$B$31-2))*POWER(1+Control!$B$17,V$4-1),0)</f>
        <v>3301560.9536542483</v>
      </c>
    </row>
    <row r="8" spans="1:22" x14ac:dyDescent="0.3">
      <c r="A8" t="s">
        <v>250</v>
      </c>
      <c r="C8" s="8">
        <f>IF(Control!$B$5&gt;0,(Control!$B$20*Control!$B$34)*(Control!$B$32+Control!$B$33*MAX(0,Control!$B$35-2))*POWER(1+Control!$B$17,C$4-1),0)</f>
        <v>959125.00000000012</v>
      </c>
      <c r="D8" s="8">
        <f>IF(Control!$B$5&gt;0,(Control!$B$20*Control!$B$34)*(Control!$B$32+Control!$B$33*MAX(0,Control!$B$35-2))*POWER(1+Control!$B$17,D$4-1),0)</f>
        <v>1007081.2500000001</v>
      </c>
      <c r="E8" s="8">
        <f>IF(Control!$B$5&gt;0,(Control!$B$20*Control!$B$34)*(Control!$B$32+Control!$B$33*MAX(0,Control!$B$35-2))*POWER(1+Control!$B$17,E$4-1),0)</f>
        <v>1057435.3125000002</v>
      </c>
      <c r="F8" s="8">
        <f>IF(Control!$B$5&gt;0,(Control!$B$20*Control!$B$34)*(Control!$B$32+Control!$B$33*MAX(0,Control!$B$35-2))*POWER(1+Control!$B$17,F$4-1),0)</f>
        <v>1110307.0781250002</v>
      </c>
      <c r="G8" s="8">
        <f>IF(Control!$B$5&gt;0,(Control!$B$20*Control!$B$34)*(Control!$B$32+Control!$B$33*MAX(0,Control!$B$35-2))*POWER(1+Control!$B$17,G$4-1),0)</f>
        <v>1165822.4320312501</v>
      </c>
      <c r="H8" s="8">
        <f>IF(Control!$B$5&gt;0,(Control!$B$20*Control!$B$34)*(Control!$B$32+Control!$B$33*MAX(0,Control!$B$35-2))*POWER(1+Control!$B$17,H$4-1),0)</f>
        <v>1224113.5536328128</v>
      </c>
      <c r="I8" s="8">
        <f>IF(Control!$B$5&gt;0,(Control!$B$20*Control!$B$34)*(Control!$B$32+Control!$B$33*MAX(0,Control!$B$35-2))*POWER(1+Control!$B$17,I$4-1),0)</f>
        <v>1285319.2313144533</v>
      </c>
      <c r="J8" s="8">
        <f>IF(Control!$B$5&gt;0,(Control!$B$20*Control!$B$34)*(Control!$B$32+Control!$B$33*MAX(0,Control!$B$35-2))*POWER(1+Control!$B$17,J$4-1),0)</f>
        <v>1349585.1928801762</v>
      </c>
      <c r="K8" s="8">
        <f>IF(Control!$B$5&gt;0,(Control!$B$20*Control!$B$34)*(Control!$B$32+Control!$B$33*MAX(0,Control!$B$35-2))*POWER(1+Control!$B$17,K$4-1),0)</f>
        <v>1417064.4525241847</v>
      </c>
      <c r="L8" s="8">
        <f>IF(Control!$B$5&gt;0,(Control!$B$20*Control!$B$34)*(Control!$B$32+Control!$B$33*MAX(0,Control!$B$35-2))*POWER(1+Control!$B$17,L$4-1),0)</f>
        <v>1487917.6751503942</v>
      </c>
      <c r="M8" s="8">
        <f>IF(Control!$B$5&gt;0,(Control!$B$20*Control!$B$34)*(Control!$B$32+Control!$B$33*MAX(0,Control!$B$35-2))*POWER(1+Control!$B$17,M$4-1),0)</f>
        <v>1562313.5589079137</v>
      </c>
      <c r="N8" s="8">
        <f>IF(Control!$B$5&gt;0,(Control!$B$20*Control!$B$34)*(Control!$B$32+Control!$B$33*MAX(0,Control!$B$35-2))*POWER(1+Control!$B$17,N$4-1),0)</f>
        <v>1640429.2368533097</v>
      </c>
      <c r="O8" s="8">
        <f>IF(Control!$B$5&gt;0,(Control!$B$20*Control!$B$34)*(Control!$B$32+Control!$B$33*MAX(0,Control!$B$35-2))*POWER(1+Control!$B$17,O$4-1),0)</f>
        <v>1722450.6986959749</v>
      </c>
      <c r="P8" s="8">
        <f>IF(Control!$B$5&gt;0,(Control!$B$20*Control!$B$34)*(Control!$B$32+Control!$B$33*MAX(0,Control!$B$35-2))*POWER(1+Control!$B$17,P$4-1),0)</f>
        <v>1808573.2336307738</v>
      </c>
      <c r="Q8" s="8">
        <f>IF(Control!$B$5&gt;0,(Control!$B$20*Control!$B$34)*(Control!$B$32+Control!$B$33*MAX(0,Control!$B$35-2))*POWER(1+Control!$B$17,Q$4-1),0)</f>
        <v>1899001.8953123123</v>
      </c>
      <c r="R8" s="8">
        <f>IF(Control!$B$5&gt;0,(Control!$B$20*Control!$B$34)*(Control!$B$32+Control!$B$33*MAX(0,Control!$B$35-2))*POWER(1+Control!$B$17,R$4-1),0)</f>
        <v>1993951.9900779284</v>
      </c>
      <c r="S8" s="8">
        <f>IF(Control!$B$5&gt;0,(Control!$B$20*Control!$B$34)*(Control!$B$32+Control!$B$33*MAX(0,Control!$B$35-2))*POWER(1+Control!$B$17,S$4-1),0)</f>
        <v>2093649.5895818246</v>
      </c>
      <c r="T8" s="8">
        <f>IF(Control!$B$5&gt;0,(Control!$B$20*Control!$B$34)*(Control!$B$32+Control!$B$33*MAX(0,Control!$B$35-2))*POWER(1+Control!$B$17,T$4-1),0)</f>
        <v>2198332.0690609161</v>
      </c>
      <c r="U8" s="8">
        <f>IF(Control!$B$5&gt;0,(Control!$B$20*Control!$B$34)*(Control!$B$32+Control!$B$33*MAX(0,Control!$B$35-2))*POWER(1+Control!$B$17,U$4-1),0)</f>
        <v>2308248.6725139618</v>
      </c>
      <c r="V8" s="8">
        <f>IF(Control!$B$5&gt;0,(Control!$B$20*Control!$B$34)*(Control!$B$32+Control!$B$33*MAX(0,Control!$B$35-2))*POWER(1+Control!$B$17,V$4-1),0)</f>
        <v>2423661.1061396599</v>
      </c>
    </row>
    <row r="9" spans="1:22" x14ac:dyDescent="0.3">
      <c r="A9" t="s">
        <v>251</v>
      </c>
      <c r="C9" s="8">
        <f>IF(AND(Control!$B$5&gt;0,Control!$B$6="Y",C$4&gt;=Control!$B$39),(Control!$B$20*Control!$B$37)*Control!$B$36*POWER(1+Control!$B$17,C$4-1),0)</f>
        <v>0</v>
      </c>
      <c r="D9" s="8">
        <f>IF(AND(Control!$B$5&gt;0,Control!$B$6="Y",D$4&gt;=Control!$B$39),(Control!$B$20*Control!$B$37)*Control!$B$36*POWER(1+Control!$B$17,D$4-1),0)</f>
        <v>0</v>
      </c>
      <c r="E9" s="8">
        <f>IF(AND(Control!$B$5&gt;0,Control!$B$6="Y",E$4&gt;=Control!$B$39),(Control!$B$20*Control!$B$37)*Control!$B$36*POWER(1+Control!$B$17,E$4-1),0)</f>
        <v>0</v>
      </c>
      <c r="F9" s="8">
        <f>IF(AND(Control!$B$5&gt;0,Control!$B$6="Y",F$4&gt;=Control!$B$39),(Control!$B$20*Control!$B$37)*Control!$B$36*POWER(1+Control!$B$17,F$4-1),0)</f>
        <v>0</v>
      </c>
      <c r="G9" s="8">
        <f>IF(AND(Control!$B$5&gt;0,Control!$B$6="Y",G$4&gt;=Control!$B$39),(Control!$B$20*Control!$B$37)*Control!$B$36*POWER(1+Control!$B$17,G$4-1),0)</f>
        <v>0</v>
      </c>
      <c r="H9" s="8">
        <f>IF(AND(Control!$B$5&gt;0,Control!$B$6="Y",H$4&gt;=Control!$B$39),(Control!$B$20*Control!$B$37)*Control!$B$36*POWER(1+Control!$B$17,H$4-1),0)</f>
        <v>0</v>
      </c>
      <c r="I9" s="8">
        <f>IF(AND(Control!$B$5&gt;0,Control!$B$6="Y",I$4&gt;=Control!$B$39),(Control!$B$20*Control!$B$37)*Control!$B$36*POWER(1+Control!$B$17,I$4-1),0)</f>
        <v>0</v>
      </c>
      <c r="J9" s="8">
        <f>IF(AND(Control!$B$5&gt;0,Control!$B$6="Y",J$4&gt;=Control!$B$39),(Control!$B$20*Control!$B$37)*Control!$B$36*POWER(1+Control!$B$17,J$4-1),0)</f>
        <v>0</v>
      </c>
      <c r="K9" s="8">
        <f>IF(AND(Control!$B$5&gt;0,Control!$B$6="Y",K$4&gt;=Control!$B$39),(Control!$B$20*Control!$B$37)*Control!$B$36*POWER(1+Control!$B$17,K$4-1),0)</f>
        <v>0</v>
      </c>
      <c r="L9" s="8">
        <f>IF(AND(Control!$B$5&gt;0,Control!$B$6="Y",L$4&gt;=Control!$B$39),(Control!$B$20*Control!$B$37)*Control!$B$36*POWER(1+Control!$B$17,L$4-1),0)</f>
        <v>0</v>
      </c>
      <c r="M9" s="8">
        <f>IF(AND(Control!$B$5&gt;0,Control!$B$6="Y",M$4&gt;=Control!$B$39),(Control!$B$20*Control!$B$37)*Control!$B$36*POWER(1+Control!$B$17,M$4-1),0)</f>
        <v>0</v>
      </c>
      <c r="N9" s="8">
        <f>IF(AND(Control!$B$5&gt;0,Control!$B$6="Y",N$4&gt;=Control!$B$39),(Control!$B$20*Control!$B$37)*Control!$B$36*POWER(1+Control!$B$17,N$4-1),0)</f>
        <v>0</v>
      </c>
      <c r="O9" s="8">
        <f>IF(AND(Control!$B$5&gt;0,Control!$B$6="Y",O$4&gt;=Control!$B$39),(Control!$B$20*Control!$B$37)*Control!$B$36*POWER(1+Control!$B$17,O$4-1),0)</f>
        <v>0</v>
      </c>
      <c r="P9" s="8">
        <f>IF(AND(Control!$B$5&gt;0,Control!$B$6="Y",P$4&gt;=Control!$B$39),(Control!$B$20*Control!$B$37)*Control!$B$36*POWER(1+Control!$B$17,P$4-1),0)</f>
        <v>0</v>
      </c>
      <c r="Q9" s="8">
        <f>IF(AND(Control!$B$5&gt;0,Control!$B$6="Y",Q$4&gt;=Control!$B$39),(Control!$B$20*Control!$B$37)*Control!$B$36*POWER(1+Control!$B$17,Q$4-1),0)</f>
        <v>0</v>
      </c>
      <c r="R9" s="8">
        <f>IF(AND(Control!$B$5&gt;0,Control!$B$6="Y",R$4&gt;=Control!$B$39),(Control!$B$20*Control!$B$37)*Control!$B$36*POWER(1+Control!$B$17,R$4-1),0)</f>
        <v>0</v>
      </c>
      <c r="S9" s="8">
        <f>IF(AND(Control!$B$5&gt;0,Control!$B$6="Y",S$4&gt;=Control!$B$39),(Control!$B$20*Control!$B$37)*Control!$B$36*POWER(1+Control!$B$17,S$4-1),0)</f>
        <v>0</v>
      </c>
      <c r="T9" s="8">
        <f>IF(AND(Control!$B$5&gt;0,Control!$B$6="Y",T$4&gt;=Control!$B$39),(Control!$B$20*Control!$B$37)*Control!$B$36*POWER(1+Control!$B$17,T$4-1),0)</f>
        <v>0</v>
      </c>
      <c r="U9" s="8">
        <f>IF(AND(Control!$B$5&gt;0,Control!$B$6="Y",U$4&gt;=Control!$B$39),(Control!$B$20*Control!$B$37)*Control!$B$36*POWER(1+Control!$B$17,U$4-1),0)</f>
        <v>0</v>
      </c>
      <c r="V9" s="8">
        <f>IF(AND(Control!$B$5&gt;0,Control!$B$6="Y",V$4&gt;=Control!$B$39),(Control!$B$20*Control!$B$37)*Control!$B$36*POWER(1+Control!$B$17,V$4-1),0)</f>
        <v>0</v>
      </c>
    </row>
    <row r="10" spans="1:22" x14ac:dyDescent="0.3">
      <c r="A10" s="2" t="s">
        <v>252</v>
      </c>
      <c r="C10" s="5">
        <f t="shared" ref="C10:V10" si="0">SUM(C7:C9)</f>
        <v>2265664.7805212624</v>
      </c>
      <c r="D10" s="5">
        <f t="shared" si="0"/>
        <v>2378948.0195473256</v>
      </c>
      <c r="E10" s="5">
        <f t="shared" si="0"/>
        <v>2497895.4205246922</v>
      </c>
      <c r="F10" s="5">
        <f t="shared" si="0"/>
        <v>2622790.1915509263</v>
      </c>
      <c r="G10" s="5">
        <f t="shared" si="0"/>
        <v>2753929.7011284726</v>
      </c>
      <c r="H10" s="5">
        <f t="shared" si="0"/>
        <v>2891626.1861848966</v>
      </c>
      <c r="I10" s="5">
        <f t="shared" si="0"/>
        <v>3036207.4954941412</v>
      </c>
      <c r="J10" s="5">
        <f t="shared" si="0"/>
        <v>3188017.8702688487</v>
      </c>
      <c r="K10" s="5">
        <f t="shared" si="0"/>
        <v>3347418.7637822907</v>
      </c>
      <c r="L10" s="5">
        <f t="shared" si="0"/>
        <v>3514789.7019714052</v>
      </c>
      <c r="M10" s="5">
        <f t="shared" si="0"/>
        <v>3690529.1870699758</v>
      </c>
      <c r="N10" s="5">
        <f t="shared" si="0"/>
        <v>3875055.6464234749</v>
      </c>
      <c r="O10" s="5">
        <f t="shared" si="0"/>
        <v>4068808.4287446477</v>
      </c>
      <c r="P10" s="5">
        <f t="shared" si="0"/>
        <v>4272248.8501818813</v>
      </c>
      <c r="Q10" s="5">
        <f t="shared" si="0"/>
        <v>4485861.2926909737</v>
      </c>
      <c r="R10" s="5">
        <f t="shared" si="0"/>
        <v>4710154.3573255241</v>
      </c>
      <c r="S10" s="5">
        <f t="shared" si="0"/>
        <v>4945662.0751917996</v>
      </c>
      <c r="T10" s="5">
        <f t="shared" si="0"/>
        <v>5192945.1789513901</v>
      </c>
      <c r="U10" s="5">
        <f t="shared" si="0"/>
        <v>5452592.43789896</v>
      </c>
      <c r="V10" s="5">
        <f t="shared" si="0"/>
        <v>5725222.0597939081</v>
      </c>
    </row>
    <row r="11" spans="1:22" x14ac:dyDescent="0.3">
      <c r="A11" t="s">
        <v>253</v>
      </c>
      <c r="C11" s="7">
        <f>IF(Control!$B$5&gt;0,Control!$B$20*(Control!$B$30*Control!$B$31+Control!$B$34*Control!$B$35+IF(AND(Control!$B$6="Y",C$4&gt;=Control!$B$39),Control!$B$37*Control!$B$38,0)),0)</f>
        <v>1295.9375857338821</v>
      </c>
      <c r="D11" s="7">
        <f>IF(Control!$B$5&gt;0,Control!$B$20*(Control!$B$30*Control!$B$31+Control!$B$34*Control!$B$35+IF(AND(Control!$B$6="Y",D$4&gt;=Control!$B$39),Control!$B$37*Control!$B$38,0)),0)</f>
        <v>1295.9375857338821</v>
      </c>
      <c r="E11" s="7">
        <f>IF(Control!$B$5&gt;0,Control!$B$20*(Control!$B$30*Control!$B$31+Control!$B$34*Control!$B$35+IF(AND(Control!$B$6="Y",E$4&gt;=Control!$B$39),Control!$B$37*Control!$B$38,0)),0)</f>
        <v>1295.9375857338821</v>
      </c>
      <c r="F11" s="7">
        <f>IF(Control!$B$5&gt;0,Control!$B$20*(Control!$B$30*Control!$B$31+Control!$B$34*Control!$B$35+IF(AND(Control!$B$6="Y",F$4&gt;=Control!$B$39),Control!$B$37*Control!$B$38,0)),0)</f>
        <v>1295.9375857338821</v>
      </c>
      <c r="G11" s="7">
        <f>IF(Control!$B$5&gt;0,Control!$B$20*(Control!$B$30*Control!$B$31+Control!$B$34*Control!$B$35+IF(AND(Control!$B$6="Y",G$4&gt;=Control!$B$39),Control!$B$37*Control!$B$38,0)),0)</f>
        <v>1295.9375857338821</v>
      </c>
      <c r="H11" s="7">
        <f>IF(Control!$B$5&gt;0,Control!$B$20*(Control!$B$30*Control!$B$31+Control!$B$34*Control!$B$35+IF(AND(Control!$B$6="Y",H$4&gt;=Control!$B$39),Control!$B$37*Control!$B$38,0)),0)</f>
        <v>1295.9375857338821</v>
      </c>
      <c r="I11" s="7">
        <f>IF(Control!$B$5&gt;0,Control!$B$20*(Control!$B$30*Control!$B$31+Control!$B$34*Control!$B$35+IF(AND(Control!$B$6="Y",I$4&gt;=Control!$B$39),Control!$B$37*Control!$B$38,0)),0)</f>
        <v>1295.9375857338821</v>
      </c>
      <c r="J11" s="7">
        <f>IF(Control!$B$5&gt;0,Control!$B$20*(Control!$B$30*Control!$B$31+Control!$B$34*Control!$B$35+IF(AND(Control!$B$6="Y",J$4&gt;=Control!$B$39),Control!$B$37*Control!$B$38,0)),0)</f>
        <v>1295.9375857338821</v>
      </c>
      <c r="K11" s="7">
        <f>IF(Control!$B$5&gt;0,Control!$B$20*(Control!$B$30*Control!$B$31+Control!$B$34*Control!$B$35+IF(AND(Control!$B$6="Y",K$4&gt;=Control!$B$39),Control!$B$37*Control!$B$38,0)),0)</f>
        <v>1295.9375857338821</v>
      </c>
      <c r="L11" s="7">
        <f>IF(Control!$B$5&gt;0,Control!$B$20*(Control!$B$30*Control!$B$31+Control!$B$34*Control!$B$35+IF(AND(Control!$B$6="Y",L$4&gt;=Control!$B$39),Control!$B$37*Control!$B$38,0)),0)</f>
        <v>1295.9375857338821</v>
      </c>
      <c r="M11" s="7">
        <f>IF(Control!$B$5&gt;0,Control!$B$20*(Control!$B$30*Control!$B$31+Control!$B$34*Control!$B$35+IF(AND(Control!$B$6="Y",M$4&gt;=Control!$B$39),Control!$B$37*Control!$B$38,0)),0)</f>
        <v>1295.9375857338821</v>
      </c>
      <c r="N11" s="7">
        <f>IF(Control!$B$5&gt;0,Control!$B$20*(Control!$B$30*Control!$B$31+Control!$B$34*Control!$B$35+IF(AND(Control!$B$6="Y",N$4&gt;=Control!$B$39),Control!$B$37*Control!$B$38,0)),0)</f>
        <v>1295.9375857338821</v>
      </c>
      <c r="O11" s="7">
        <f>IF(Control!$B$5&gt;0,Control!$B$20*(Control!$B$30*Control!$B$31+Control!$B$34*Control!$B$35+IF(AND(Control!$B$6="Y",O$4&gt;=Control!$B$39),Control!$B$37*Control!$B$38,0)),0)</f>
        <v>1295.9375857338821</v>
      </c>
      <c r="P11" s="7">
        <f>IF(Control!$B$5&gt;0,Control!$B$20*(Control!$B$30*Control!$B$31+Control!$B$34*Control!$B$35+IF(AND(Control!$B$6="Y",P$4&gt;=Control!$B$39),Control!$B$37*Control!$B$38,0)),0)</f>
        <v>1295.9375857338821</v>
      </c>
      <c r="Q11" s="7">
        <f>IF(Control!$B$5&gt;0,Control!$B$20*(Control!$B$30*Control!$B$31+Control!$B$34*Control!$B$35+IF(AND(Control!$B$6="Y",Q$4&gt;=Control!$B$39),Control!$B$37*Control!$B$38,0)),0)</f>
        <v>1295.9375857338821</v>
      </c>
      <c r="R11" s="7">
        <f>IF(Control!$B$5&gt;0,Control!$B$20*(Control!$B$30*Control!$B$31+Control!$B$34*Control!$B$35+IF(AND(Control!$B$6="Y",R$4&gt;=Control!$B$39),Control!$B$37*Control!$B$38,0)),0)</f>
        <v>1295.9375857338821</v>
      </c>
      <c r="S11" s="7">
        <f>IF(Control!$B$5&gt;0,Control!$B$20*(Control!$B$30*Control!$B$31+Control!$B$34*Control!$B$35+IF(AND(Control!$B$6="Y",S$4&gt;=Control!$B$39),Control!$B$37*Control!$B$38,0)),0)</f>
        <v>1295.9375857338821</v>
      </c>
      <c r="T11" s="7">
        <f>IF(Control!$B$5&gt;0,Control!$B$20*(Control!$B$30*Control!$B$31+Control!$B$34*Control!$B$35+IF(AND(Control!$B$6="Y",T$4&gt;=Control!$B$39),Control!$B$37*Control!$B$38,0)),0)</f>
        <v>1295.9375857338821</v>
      </c>
      <c r="U11" s="7">
        <f>IF(Control!$B$5&gt;0,Control!$B$20*(Control!$B$30*Control!$B$31+Control!$B$34*Control!$B$35+IF(AND(Control!$B$6="Y",U$4&gt;=Control!$B$39),Control!$B$37*Control!$B$38,0)),0)</f>
        <v>1295.9375857338821</v>
      </c>
      <c r="V11" s="7">
        <f>IF(Control!$B$5&gt;0,Control!$B$20*(Control!$B$30*Control!$B$31+Control!$B$34*Control!$B$35+IF(AND(Control!$B$6="Y",V$4&gt;=Control!$B$39),Control!$B$37*Control!$B$38,0)),0)</f>
        <v>1295.9375857338821</v>
      </c>
    </row>
    <row r="12" spans="1:22" x14ac:dyDescent="0.3">
      <c r="A12" t="s">
        <v>254</v>
      </c>
      <c r="C12" s="7">
        <f>C11*Control!$B$41</f>
        <v>971.95318930041162</v>
      </c>
      <c r="D12" s="7">
        <f>D11*Control!$B$41</f>
        <v>971.95318930041162</v>
      </c>
      <c r="E12" s="7">
        <f>E11*Control!$B$41</f>
        <v>971.95318930041162</v>
      </c>
      <c r="F12" s="7">
        <f>F11*Control!$B$41</f>
        <v>971.95318930041162</v>
      </c>
      <c r="G12" s="7">
        <f>G11*Control!$B$41</f>
        <v>971.95318930041162</v>
      </c>
      <c r="H12" s="7">
        <f>H11*Control!$B$41</f>
        <v>971.95318930041162</v>
      </c>
      <c r="I12" s="7">
        <f>I11*Control!$B$41</f>
        <v>971.95318930041162</v>
      </c>
      <c r="J12" s="7">
        <f>J11*Control!$B$41</f>
        <v>971.95318930041162</v>
      </c>
      <c r="K12" s="7">
        <f>K11*Control!$B$41</f>
        <v>971.95318930041162</v>
      </c>
      <c r="L12" s="7">
        <f>L11*Control!$B$41</f>
        <v>971.95318930041162</v>
      </c>
      <c r="M12" s="7">
        <f>M11*Control!$B$41</f>
        <v>971.95318930041162</v>
      </c>
      <c r="N12" s="7">
        <f>N11*Control!$B$41</f>
        <v>971.95318930041162</v>
      </c>
      <c r="O12" s="7">
        <f>O11*Control!$B$41</f>
        <v>971.95318930041162</v>
      </c>
      <c r="P12" s="7">
        <f>P11*Control!$B$41</f>
        <v>971.95318930041162</v>
      </c>
      <c r="Q12" s="7">
        <f>Q11*Control!$B$41</f>
        <v>971.95318930041162</v>
      </c>
      <c r="R12" s="7">
        <f>R11*Control!$B$41</f>
        <v>971.95318930041162</v>
      </c>
      <c r="S12" s="7">
        <f>S11*Control!$B$41</f>
        <v>971.95318930041162</v>
      </c>
      <c r="T12" s="7">
        <f>T11*Control!$B$41</f>
        <v>971.95318930041162</v>
      </c>
      <c r="U12" s="7">
        <f>U11*Control!$B$41</f>
        <v>971.95318930041162</v>
      </c>
      <c r="V12" s="7">
        <f>V11*Control!$B$41</f>
        <v>971.95318930041162</v>
      </c>
    </row>
    <row r="13" spans="1:22" x14ac:dyDescent="0.3">
      <c r="A13" t="s">
        <v>255</v>
      </c>
      <c r="C13" s="8">
        <f>C12*(Control!$B$42+Control!$B$44)*POWER(1+Control!$B$17,C$4-1)</f>
        <v>510275.42438271613</v>
      </c>
      <c r="D13" s="8">
        <f>D12*(Control!$B$42+Control!$B$44)*POWER(1+Control!$B$17,D$4-1)</f>
        <v>535789.19560185191</v>
      </c>
      <c r="E13" s="8">
        <f>E12*(Control!$B$42+Control!$B$44)*POWER(1+Control!$B$17,E$4-1)</f>
        <v>562578.6553819445</v>
      </c>
      <c r="F13" s="8">
        <f>F12*(Control!$B$42+Control!$B$44)*POWER(1+Control!$B$17,F$4-1)</f>
        <v>590707.58815104177</v>
      </c>
      <c r="G13" s="8">
        <f>G12*(Control!$B$42+Control!$B$44)*POWER(1+Control!$B$17,G$4-1)</f>
        <v>620242.96755859384</v>
      </c>
      <c r="H13" s="8">
        <f>H12*(Control!$B$42+Control!$B$44)*POWER(1+Control!$B$17,H$4-1)</f>
        <v>651255.11593652365</v>
      </c>
      <c r="I13" s="8">
        <f>I12*(Control!$B$42+Control!$B$44)*POWER(1+Control!$B$17,I$4-1)</f>
        <v>683817.87173334975</v>
      </c>
      <c r="J13" s="8">
        <f>J12*(Control!$B$42+Control!$B$44)*POWER(1+Control!$B$17,J$4-1)</f>
        <v>718008.76532001735</v>
      </c>
      <c r="K13" s="8">
        <f>K12*(Control!$B$42+Control!$B$44)*POWER(1+Control!$B$17,K$4-1)</f>
        <v>753909.20358601806</v>
      </c>
      <c r="L13" s="8">
        <f>L12*(Control!$B$42+Control!$B$44)*POWER(1+Control!$B$17,L$4-1)</f>
        <v>791604.66376531904</v>
      </c>
      <c r="M13" s="8">
        <f>M12*(Control!$B$42+Control!$B$44)*POWER(1+Control!$B$17,M$4-1)</f>
        <v>831184.89695358498</v>
      </c>
      <c r="N13" s="8">
        <f>N12*(Control!$B$42+Control!$B$44)*POWER(1+Control!$B$17,N$4-1)</f>
        <v>872744.14180126425</v>
      </c>
      <c r="O13" s="8">
        <f>O12*(Control!$B$42+Control!$B$44)*POWER(1+Control!$B$17,O$4-1)</f>
        <v>916381.34889132739</v>
      </c>
      <c r="P13" s="8">
        <f>P12*(Control!$B$42+Control!$B$44)*POWER(1+Control!$B$17,P$4-1)</f>
        <v>962200.41633589391</v>
      </c>
      <c r="Q13" s="8">
        <f>Q12*(Control!$B$42+Control!$B$44)*POWER(1+Control!$B$17,Q$4-1)</f>
        <v>1010310.4371526884</v>
      </c>
      <c r="R13" s="8">
        <f>R12*(Control!$B$42+Control!$B$44)*POWER(1+Control!$B$17,R$4-1)</f>
        <v>1060825.959010323</v>
      </c>
      <c r="S13" s="8">
        <f>S12*(Control!$B$42+Control!$B$44)*POWER(1+Control!$B$17,S$4-1)</f>
        <v>1113867.2569608393</v>
      </c>
      <c r="T13" s="8">
        <f>T12*(Control!$B$42+Control!$B$44)*POWER(1+Control!$B$17,T$4-1)</f>
        <v>1169560.6198088813</v>
      </c>
      <c r="U13" s="8">
        <f>U12*(Control!$B$42+Control!$B$44)*POWER(1+Control!$B$17,U$4-1)</f>
        <v>1228038.6507993254</v>
      </c>
      <c r="V13" s="8">
        <f>V12*(Control!$B$42+Control!$B$44)*POWER(1+Control!$B$17,V$4-1)</f>
        <v>1289440.5833392916</v>
      </c>
    </row>
    <row r="14" spans="1:22" x14ac:dyDescent="0.3">
      <c r="A14" t="s">
        <v>256</v>
      </c>
      <c r="C14" s="8">
        <f>IF(Control!$B$5&gt;0,Control!$B$46*((Control!$B$20*(Control!$B$30*Control!$B$31+Control!$B$34*Control!$B$35+IF(AND(Control!$B$6="Y",C$4&gt;=Control!$B$39),Control!$B$37*Control!$B$38,0)))/(Control!$B$20*(Control!$B$30*Control!$B$31+Control!$B$34*Control!$B$35+IF(AND(Control!$B$5&gt;0,Control!$B$6="Y",1&gt;=Control!$B$39),Control!$B$37*Control!$B$38,0))))*POWER(1+Control!$B$17,C$4-1),0)</f>
        <v>2045556.4829818245</v>
      </c>
      <c r="D14" s="8">
        <f>IF(Control!$B$5&gt;0,Control!$B$46*((Control!$B$20*(Control!$B$30*Control!$B$31+Control!$B$34*Control!$B$35+IF(AND(Control!$B$6="Y",D$4&gt;=Control!$B$39),Control!$B$37*Control!$B$38,0)))/(Control!$B$20*(Control!$B$30*Control!$B$31+Control!$B$34*Control!$B$35+IF(AND(Control!$B$5&gt;0,Control!$B$6="Y",1&gt;=Control!$B$39),Control!$B$37*Control!$B$38,0))))*POWER(1+Control!$B$17,D$4-1),0)</f>
        <v>2147834.307130916</v>
      </c>
      <c r="E14" s="8">
        <f>IF(Control!$B$5&gt;0,Control!$B$46*((Control!$B$20*(Control!$B$30*Control!$B$31+Control!$B$34*Control!$B$35+IF(AND(Control!$B$6="Y",E$4&gt;=Control!$B$39),Control!$B$37*Control!$B$38,0)))/(Control!$B$20*(Control!$B$30*Control!$B$31+Control!$B$34*Control!$B$35+IF(AND(Control!$B$5&gt;0,Control!$B$6="Y",1&gt;=Control!$B$39),Control!$B$37*Control!$B$38,0))))*POWER(1+Control!$B$17,E$4-1),0)</f>
        <v>2255226.0224874616</v>
      </c>
      <c r="F14" s="8">
        <f>IF(Control!$B$5&gt;0,Control!$B$46*((Control!$B$20*(Control!$B$30*Control!$B$31+Control!$B$34*Control!$B$35+IF(AND(Control!$B$6="Y",F$4&gt;=Control!$B$39),Control!$B$37*Control!$B$38,0)))/(Control!$B$20*(Control!$B$30*Control!$B$31+Control!$B$34*Control!$B$35+IF(AND(Control!$B$5&gt;0,Control!$B$6="Y",1&gt;=Control!$B$39),Control!$B$37*Control!$B$38,0))))*POWER(1+Control!$B$17,F$4-1),0)</f>
        <v>2367987.323611835</v>
      </c>
      <c r="G14" s="8">
        <f>IF(Control!$B$5&gt;0,Control!$B$46*((Control!$B$20*(Control!$B$30*Control!$B$31+Control!$B$34*Control!$B$35+IF(AND(Control!$B$6="Y",G$4&gt;=Control!$B$39),Control!$B$37*Control!$B$38,0)))/(Control!$B$20*(Control!$B$30*Control!$B$31+Control!$B$34*Control!$B$35+IF(AND(Control!$B$5&gt;0,Control!$B$6="Y",1&gt;=Control!$B$39),Control!$B$37*Control!$B$38,0))))*POWER(1+Control!$B$17,G$4-1),0)</f>
        <v>2486386.6897924263</v>
      </c>
      <c r="H14" s="8">
        <f>IF(Control!$B$5&gt;0,Control!$B$46*((Control!$B$20*(Control!$B$30*Control!$B$31+Control!$B$34*Control!$B$35+IF(AND(Control!$B$6="Y",H$4&gt;=Control!$B$39),Control!$B$37*Control!$B$38,0)))/(Control!$B$20*(Control!$B$30*Control!$B$31+Control!$B$34*Control!$B$35+IF(AND(Control!$B$5&gt;0,Control!$B$6="Y",1&gt;=Control!$B$39),Control!$B$37*Control!$B$38,0))))*POWER(1+Control!$B$17,H$4-1),0)</f>
        <v>2610706.024282048</v>
      </c>
      <c r="I14" s="8">
        <f>IF(Control!$B$5&gt;0,Control!$B$46*((Control!$B$20*(Control!$B$30*Control!$B$31+Control!$B$34*Control!$B$35+IF(AND(Control!$B$6="Y",I$4&gt;=Control!$B$39),Control!$B$37*Control!$B$38,0)))/(Control!$B$20*(Control!$B$30*Control!$B$31+Control!$B$34*Control!$B$35+IF(AND(Control!$B$5&gt;0,Control!$B$6="Y",1&gt;=Control!$B$39),Control!$B$37*Control!$B$38,0))))*POWER(1+Control!$B$17,I$4-1),0)</f>
        <v>2741241.3254961502</v>
      </c>
      <c r="J14" s="8">
        <f>IF(Control!$B$5&gt;0,Control!$B$46*((Control!$B$20*(Control!$B$30*Control!$B$31+Control!$B$34*Control!$B$35+IF(AND(Control!$B$6="Y",J$4&gt;=Control!$B$39),Control!$B$37*Control!$B$38,0)))/(Control!$B$20*(Control!$B$30*Control!$B$31+Control!$B$34*Control!$B$35+IF(AND(Control!$B$5&gt;0,Control!$B$6="Y",1&gt;=Control!$B$39),Control!$B$37*Control!$B$38,0))))*POWER(1+Control!$B$17,J$4-1),0)</f>
        <v>2878303.391770958</v>
      </c>
      <c r="K14" s="8">
        <f>IF(Control!$B$5&gt;0,Control!$B$46*((Control!$B$20*(Control!$B$30*Control!$B$31+Control!$B$34*Control!$B$35+IF(AND(Control!$B$6="Y",K$4&gt;=Control!$B$39),Control!$B$37*Control!$B$38,0)))/(Control!$B$20*(Control!$B$30*Control!$B$31+Control!$B$34*Control!$B$35+IF(AND(Control!$B$5&gt;0,Control!$B$6="Y",1&gt;=Control!$B$39),Control!$B$37*Control!$B$38,0))))*POWER(1+Control!$B$17,K$4-1),0)</f>
        <v>3022218.5613595056</v>
      </c>
      <c r="L14" s="8">
        <f>IF(Control!$B$5&gt;0,Control!$B$46*((Control!$B$20*(Control!$B$30*Control!$B$31+Control!$B$34*Control!$B$35+IF(AND(Control!$B$6="Y",L$4&gt;=Control!$B$39),Control!$B$37*Control!$B$38,0)))/(Control!$B$20*(Control!$B$30*Control!$B$31+Control!$B$34*Control!$B$35+IF(AND(Control!$B$5&gt;0,Control!$B$6="Y",1&gt;=Control!$B$39),Control!$B$37*Control!$B$38,0))))*POWER(1+Control!$B$17,L$4-1),0)</f>
        <v>3173329.4894274808</v>
      </c>
      <c r="M14" s="8">
        <f>IF(Control!$B$5&gt;0,Control!$B$46*((Control!$B$20*(Control!$B$30*Control!$B$31+Control!$B$34*Control!$B$35+IF(AND(Control!$B$6="Y",M$4&gt;=Control!$B$39),Control!$B$37*Control!$B$38,0)))/(Control!$B$20*(Control!$B$30*Control!$B$31+Control!$B$34*Control!$B$35+IF(AND(Control!$B$5&gt;0,Control!$B$6="Y",1&gt;=Control!$B$39),Control!$B$37*Control!$B$38,0))))*POWER(1+Control!$B$17,M$4-1),0)</f>
        <v>3331995.9638988553</v>
      </c>
      <c r="N14" s="8">
        <f>IF(Control!$B$5&gt;0,Control!$B$46*((Control!$B$20*(Control!$B$30*Control!$B$31+Control!$B$34*Control!$B$35+IF(AND(Control!$B$6="Y",N$4&gt;=Control!$B$39),Control!$B$37*Control!$B$38,0)))/(Control!$B$20*(Control!$B$30*Control!$B$31+Control!$B$34*Control!$B$35+IF(AND(Control!$B$5&gt;0,Control!$B$6="Y",1&gt;=Control!$B$39),Control!$B$37*Control!$B$38,0))))*POWER(1+Control!$B$17,N$4-1),0)</f>
        <v>3498595.7620937983</v>
      </c>
      <c r="O14" s="8">
        <f>IF(Control!$B$5&gt;0,Control!$B$46*((Control!$B$20*(Control!$B$30*Control!$B$31+Control!$B$34*Control!$B$35+IF(AND(Control!$B$6="Y",O$4&gt;=Control!$B$39),Control!$B$37*Control!$B$38,0)))/(Control!$B$20*(Control!$B$30*Control!$B$31+Control!$B$34*Control!$B$35+IF(AND(Control!$B$5&gt;0,Control!$B$6="Y",1&gt;=Control!$B$39),Control!$B$37*Control!$B$38,0))))*POWER(1+Control!$B$17,O$4-1),0)</f>
        <v>3673525.5501984875</v>
      </c>
      <c r="P14" s="8">
        <f>IF(Control!$B$5&gt;0,Control!$B$46*((Control!$B$20*(Control!$B$30*Control!$B$31+Control!$B$34*Control!$B$35+IF(AND(Control!$B$6="Y",P$4&gt;=Control!$B$39),Control!$B$37*Control!$B$38,0)))/(Control!$B$20*(Control!$B$30*Control!$B$31+Control!$B$34*Control!$B$35+IF(AND(Control!$B$5&gt;0,Control!$B$6="Y",1&gt;=Control!$B$39),Control!$B$37*Control!$B$38,0))))*POWER(1+Control!$B$17,P$4-1),0)</f>
        <v>3857201.8277084124</v>
      </c>
      <c r="Q14" s="8">
        <f>IF(Control!$B$5&gt;0,Control!$B$46*((Control!$B$20*(Control!$B$30*Control!$B$31+Control!$B$34*Control!$B$35+IF(AND(Control!$B$6="Y",Q$4&gt;=Control!$B$39),Control!$B$37*Control!$B$38,0)))/(Control!$B$20*(Control!$B$30*Control!$B$31+Control!$B$34*Control!$B$35+IF(AND(Control!$B$5&gt;0,Control!$B$6="Y",1&gt;=Control!$B$39),Control!$B$37*Control!$B$38,0))))*POWER(1+Control!$B$17,Q$4-1),0)</f>
        <v>4050061.9190938324</v>
      </c>
      <c r="R14" s="8">
        <f>IF(Control!$B$5&gt;0,Control!$B$46*((Control!$B$20*(Control!$B$30*Control!$B$31+Control!$B$34*Control!$B$35+IF(AND(Control!$B$6="Y",R$4&gt;=Control!$B$39),Control!$B$37*Control!$B$38,0)))/(Control!$B$20*(Control!$B$30*Control!$B$31+Control!$B$34*Control!$B$35+IF(AND(Control!$B$5&gt;0,Control!$B$6="Y",1&gt;=Control!$B$39),Control!$B$37*Control!$B$38,0))))*POWER(1+Control!$B$17,R$4-1),0)</f>
        <v>4252565.0150485253</v>
      </c>
      <c r="S14" s="8">
        <f>IF(Control!$B$5&gt;0,Control!$B$46*((Control!$B$20*(Control!$B$30*Control!$B$31+Control!$B$34*Control!$B$35+IF(AND(Control!$B$6="Y",S$4&gt;=Control!$B$39),Control!$B$37*Control!$B$38,0)))/(Control!$B$20*(Control!$B$30*Control!$B$31+Control!$B$34*Control!$B$35+IF(AND(Control!$B$5&gt;0,Control!$B$6="Y",1&gt;=Control!$B$39),Control!$B$37*Control!$B$38,0))))*POWER(1+Control!$B$17,S$4-1),0)</f>
        <v>4465193.265800951</v>
      </c>
      <c r="T14" s="8">
        <f>IF(Control!$B$5&gt;0,Control!$B$46*((Control!$B$20*(Control!$B$30*Control!$B$31+Control!$B$34*Control!$B$35+IF(AND(Control!$B$6="Y",T$4&gt;=Control!$B$39),Control!$B$37*Control!$B$38,0)))/(Control!$B$20*(Control!$B$30*Control!$B$31+Control!$B$34*Control!$B$35+IF(AND(Control!$B$5&gt;0,Control!$B$6="Y",1&gt;=Control!$B$39),Control!$B$37*Control!$B$38,0))))*POWER(1+Control!$B$17,T$4-1),0)</f>
        <v>4688452.9290909991</v>
      </c>
      <c r="U14" s="8">
        <f>IF(Control!$B$5&gt;0,Control!$B$46*((Control!$B$20*(Control!$B$30*Control!$B$31+Control!$B$34*Control!$B$35+IF(AND(Control!$B$6="Y",U$4&gt;=Control!$B$39),Control!$B$37*Control!$B$38,0)))/(Control!$B$20*(Control!$B$30*Control!$B$31+Control!$B$34*Control!$B$35+IF(AND(Control!$B$5&gt;0,Control!$B$6="Y",1&gt;=Control!$B$39),Control!$B$37*Control!$B$38,0))))*POWER(1+Control!$B$17,U$4-1),0)</f>
        <v>4922875.5755455494</v>
      </c>
      <c r="V14" s="8">
        <f>IF(Control!$B$5&gt;0,Control!$B$46*((Control!$B$20*(Control!$B$30*Control!$B$31+Control!$B$34*Control!$B$35+IF(AND(Control!$B$6="Y",V$4&gt;=Control!$B$39),Control!$B$37*Control!$B$38,0)))/(Control!$B$20*(Control!$B$30*Control!$B$31+Control!$B$34*Control!$B$35+IF(AND(Control!$B$5&gt;0,Control!$B$6="Y",1&gt;=Control!$B$39),Control!$B$37*Control!$B$38,0))))*POWER(1+Control!$B$17,V$4-1),0)</f>
        <v>5169019.3543228265</v>
      </c>
    </row>
    <row r="15" spans="1:22" x14ac:dyDescent="0.3">
      <c r="A15" s="9" t="s">
        <v>257</v>
      </c>
      <c r="C15" s="10">
        <f t="shared" ref="C15:V15" si="1">C10+C13+C14</f>
        <v>4821496.6878858032</v>
      </c>
      <c r="D15" s="10">
        <f t="shared" si="1"/>
        <v>5062571.5222800933</v>
      </c>
      <c r="E15" s="10">
        <f t="shared" si="1"/>
        <v>5315700.0983940978</v>
      </c>
      <c r="F15" s="10">
        <f t="shared" si="1"/>
        <v>5581485.1033138037</v>
      </c>
      <c r="G15" s="10">
        <f t="shared" si="1"/>
        <v>5860559.3584794924</v>
      </c>
      <c r="H15" s="10">
        <f t="shared" si="1"/>
        <v>6153587.3264034688</v>
      </c>
      <c r="I15" s="10">
        <f t="shared" si="1"/>
        <v>6461266.6927236412</v>
      </c>
      <c r="J15" s="10">
        <f t="shared" si="1"/>
        <v>6784330.0273598246</v>
      </c>
      <c r="K15" s="10">
        <f t="shared" si="1"/>
        <v>7123546.5287278146</v>
      </c>
      <c r="L15" s="10">
        <f t="shared" si="1"/>
        <v>7479723.8551642047</v>
      </c>
      <c r="M15" s="10">
        <f t="shared" si="1"/>
        <v>7853710.0479224157</v>
      </c>
      <c r="N15" s="10">
        <f t="shared" si="1"/>
        <v>8246395.5503185373</v>
      </c>
      <c r="O15" s="10">
        <f t="shared" si="1"/>
        <v>8658715.3278344627</v>
      </c>
      <c r="P15" s="10">
        <f t="shared" si="1"/>
        <v>9091651.0942261871</v>
      </c>
      <c r="Q15" s="10">
        <f t="shared" si="1"/>
        <v>9546233.6489374936</v>
      </c>
      <c r="R15" s="10">
        <f t="shared" si="1"/>
        <v>10023545.331384372</v>
      </c>
      <c r="S15" s="10">
        <f t="shared" si="1"/>
        <v>10524722.59795359</v>
      </c>
      <c r="T15" s="10">
        <f t="shared" si="1"/>
        <v>11050958.727851272</v>
      </c>
      <c r="U15" s="10">
        <f t="shared" si="1"/>
        <v>11603506.664243836</v>
      </c>
      <c r="V15" s="10">
        <f t="shared" si="1"/>
        <v>12183681.997456025</v>
      </c>
    </row>
    <row r="16" spans="1:22" x14ac:dyDescent="0.3">
      <c r="A16" s="2" t="s">
        <v>258</v>
      </c>
    </row>
    <row r="17" spans="1:22" x14ac:dyDescent="0.3">
      <c r="A17" t="s">
        <v>259</v>
      </c>
      <c r="C17" s="8">
        <f>C10*Control!$B$52</f>
        <v>453132.95610425249</v>
      </c>
      <c r="D17" s="8">
        <f>D10*Control!$B$52</f>
        <v>475789.60390946514</v>
      </c>
      <c r="E17" s="8">
        <f>E10*Control!$B$52</f>
        <v>499579.08410493843</v>
      </c>
      <c r="F17" s="8">
        <f>F10*Control!$B$52</f>
        <v>524558.03831018531</v>
      </c>
      <c r="G17" s="8">
        <f>G10*Control!$B$52</f>
        <v>550785.94022569456</v>
      </c>
      <c r="H17" s="8">
        <f>H10*Control!$B$52</f>
        <v>578325.2372369793</v>
      </c>
      <c r="I17" s="8">
        <f>I10*Control!$B$52</f>
        <v>607241.4990988283</v>
      </c>
      <c r="J17" s="8">
        <f>J10*Control!$B$52</f>
        <v>637603.57405376981</v>
      </c>
      <c r="K17" s="8">
        <f>K10*Control!$B$52</f>
        <v>669483.75275645824</v>
      </c>
      <c r="L17" s="8">
        <f>L10*Control!$B$52</f>
        <v>702957.94039428106</v>
      </c>
      <c r="M17" s="8">
        <f>M10*Control!$B$52</f>
        <v>738105.83741399518</v>
      </c>
      <c r="N17" s="8">
        <f>N10*Control!$B$52</f>
        <v>775011.12928469502</v>
      </c>
      <c r="O17" s="8">
        <f>O10*Control!$B$52</f>
        <v>813761.68574892962</v>
      </c>
      <c r="P17" s="8">
        <f>P10*Control!$B$52</f>
        <v>854449.77003637631</v>
      </c>
      <c r="Q17" s="8">
        <f>Q10*Control!$B$52</f>
        <v>897172.25853819482</v>
      </c>
      <c r="R17" s="8">
        <f>R10*Control!$B$52</f>
        <v>942030.87146510486</v>
      </c>
      <c r="S17" s="8">
        <f>S10*Control!$B$52</f>
        <v>989132.41503835993</v>
      </c>
      <c r="T17" s="8">
        <f>T10*Control!$B$52</f>
        <v>1038589.0357902781</v>
      </c>
      <c r="U17" s="8">
        <f>U10*Control!$B$52</f>
        <v>1090518.487579792</v>
      </c>
      <c r="V17" s="8">
        <f>V10*Control!$B$52</f>
        <v>1145044.4119587818</v>
      </c>
    </row>
    <row r="18" spans="1:22" x14ac:dyDescent="0.3">
      <c r="A18" t="s">
        <v>260</v>
      </c>
      <c r="C18" s="8">
        <f>IF(Control!$B$5&gt;0,C12*(Control!$B$43+Control!$B$45)*POWER(1+Control!$B$18,C$4-1),0)</f>
        <v>291585.95679012348</v>
      </c>
      <c r="D18" s="8">
        <f>IF(Control!$B$5&gt;0,D12*(Control!$B$43+Control!$B$45)*POWER(1+Control!$B$18,D$4-1),0)</f>
        <v>306165.25462962966</v>
      </c>
      <c r="E18" s="8">
        <f>IF(Control!$B$5&gt;0,E12*(Control!$B$43+Control!$B$45)*POWER(1+Control!$B$18,E$4-1),0)</f>
        <v>321473.51736111112</v>
      </c>
      <c r="F18" s="8">
        <f>IF(Control!$B$5&gt;0,F12*(Control!$B$43+Control!$B$45)*POWER(1+Control!$B$18,F$4-1),0)</f>
        <v>337547.19322916673</v>
      </c>
      <c r="G18" s="8">
        <f>IF(Control!$B$5&gt;0,G12*(Control!$B$43+Control!$B$45)*POWER(1+Control!$B$18,G$4-1),0)</f>
        <v>354424.55289062503</v>
      </c>
      <c r="H18" s="8">
        <f>IF(Control!$B$5&gt;0,H12*(Control!$B$43+Control!$B$45)*POWER(1+Control!$B$18,H$4-1),0)</f>
        <v>372145.78053515631</v>
      </c>
      <c r="I18" s="8">
        <f>IF(Control!$B$5&gt;0,I12*(Control!$B$43+Control!$B$45)*POWER(1+Control!$B$18,I$4-1),0)</f>
        <v>390753.06956191408</v>
      </c>
      <c r="J18" s="8">
        <f>IF(Control!$B$5&gt;0,J12*(Control!$B$43+Control!$B$45)*POWER(1+Control!$B$18,J$4-1),0)</f>
        <v>410290.72304000985</v>
      </c>
      <c r="K18" s="8">
        <f>IF(Control!$B$5&gt;0,K12*(Control!$B$43+Control!$B$45)*POWER(1+Control!$B$18,K$4-1),0)</f>
        <v>430805.25919201033</v>
      </c>
      <c r="L18" s="8">
        <f>IF(Control!$B$5&gt;0,L12*(Control!$B$43+Control!$B$45)*POWER(1+Control!$B$18,L$4-1),0)</f>
        <v>452345.52215161087</v>
      </c>
      <c r="M18" s="8">
        <f>IF(Control!$B$5&gt;0,M12*(Control!$B$43+Control!$B$45)*POWER(1+Control!$B$18,M$4-1),0)</f>
        <v>474962.79825919139</v>
      </c>
      <c r="N18" s="8">
        <f>IF(Control!$B$5&gt;0,N12*(Control!$B$43+Control!$B$45)*POWER(1+Control!$B$18,N$4-1),0)</f>
        <v>498710.93817215099</v>
      </c>
      <c r="O18" s="8">
        <f>IF(Control!$B$5&gt;0,O12*(Control!$B$43+Control!$B$45)*POWER(1+Control!$B$18,O$4-1),0)</f>
        <v>523646.48508075846</v>
      </c>
      <c r="P18" s="8">
        <f>IF(Control!$B$5&gt;0,P12*(Control!$B$43+Control!$B$45)*POWER(1+Control!$B$18,P$4-1),0)</f>
        <v>549828.8093347965</v>
      </c>
      <c r="Q18" s="8">
        <f>IF(Control!$B$5&gt;0,Q12*(Control!$B$43+Control!$B$45)*POWER(1+Control!$B$18,Q$4-1),0)</f>
        <v>577320.24980153621</v>
      </c>
      <c r="R18" s="8">
        <f>IF(Control!$B$5&gt;0,R12*(Control!$B$43+Control!$B$45)*POWER(1+Control!$B$18,R$4-1),0)</f>
        <v>606186.26229161315</v>
      </c>
      <c r="S18" s="8">
        <f>IF(Control!$B$5&gt;0,S12*(Control!$B$43+Control!$B$45)*POWER(1+Control!$B$18,S$4-1),0)</f>
        <v>636495.57540619373</v>
      </c>
      <c r="T18" s="8">
        <f>IF(Control!$B$5&gt;0,T12*(Control!$B$43+Control!$B$45)*POWER(1+Control!$B$18,T$4-1),0)</f>
        <v>668320.35417650361</v>
      </c>
      <c r="U18" s="8">
        <f>IF(Control!$B$5&gt;0,U12*(Control!$B$43+Control!$B$45)*POWER(1+Control!$B$18,U$4-1),0)</f>
        <v>701736.37188532879</v>
      </c>
      <c r="V18" s="8">
        <f>IF(Control!$B$5&gt;0,V12*(Control!$B$43+Control!$B$45)*POWER(1+Control!$B$18,V$4-1),0)</f>
        <v>736823.19047959521</v>
      </c>
    </row>
    <row r="19" spans="1:22" x14ac:dyDescent="0.3">
      <c r="A19" t="s">
        <v>261</v>
      </c>
      <c r="C19" s="8">
        <f>IF(Control!$B$5&gt;0,Control!$B$47*((Control!$B$20*(Control!$B$30*Control!$B$31+Control!$B$34*Control!$B$35+IF(AND(Control!$B$6="Y",C$4&gt;=Control!$B$39),Control!$B$37*Control!$B$38,0)))/(Control!$B$20*(Control!$B$30*Control!$B$31+Control!$B$34*Control!$B$35+IF(AND(Control!$B$5&gt;0,Control!$B$6="Y",1&gt;=Control!$B$39),Control!$B$37*Control!$B$38,0))))*POWER(1+Control!$B$18,C$4-1),0)</f>
        <v>1493746.258976338</v>
      </c>
      <c r="D19" s="8">
        <f>IF(Control!$B$5&gt;0,Control!$B$47*((Control!$B$20*(Control!$B$30*Control!$B$31+Control!$B$34*Control!$B$35+IF(AND(Control!$B$6="Y",D$4&gt;=Control!$B$39),Control!$B$37*Control!$B$38,0)))/(Control!$B$20*(Control!$B$30*Control!$B$31+Control!$B$34*Control!$B$35+IF(AND(Control!$B$5&gt;0,Control!$B$6="Y",1&gt;=Control!$B$39),Control!$B$37*Control!$B$38,0))))*POWER(1+Control!$B$18,D$4-1),0)</f>
        <v>1568433.5719251549</v>
      </c>
      <c r="E19" s="8">
        <f>IF(Control!$B$5&gt;0,Control!$B$47*((Control!$B$20*(Control!$B$30*Control!$B$31+Control!$B$34*Control!$B$35+IF(AND(Control!$B$6="Y",E$4&gt;=Control!$B$39),Control!$B$37*Control!$B$38,0)))/(Control!$B$20*(Control!$B$30*Control!$B$31+Control!$B$34*Control!$B$35+IF(AND(Control!$B$5&gt;0,Control!$B$6="Y",1&gt;=Control!$B$39),Control!$B$37*Control!$B$38,0))))*POWER(1+Control!$B$18,E$4-1),0)</f>
        <v>1646855.2505214126</v>
      </c>
      <c r="F19" s="8">
        <f>IF(Control!$B$5&gt;0,Control!$B$47*((Control!$B$20*(Control!$B$30*Control!$B$31+Control!$B$34*Control!$B$35+IF(AND(Control!$B$6="Y",F$4&gt;=Control!$B$39),Control!$B$37*Control!$B$38,0)))/(Control!$B$20*(Control!$B$30*Control!$B$31+Control!$B$34*Control!$B$35+IF(AND(Control!$B$5&gt;0,Control!$B$6="Y",1&gt;=Control!$B$39),Control!$B$37*Control!$B$38,0))))*POWER(1+Control!$B$18,F$4-1),0)</f>
        <v>1729198.0130474835</v>
      </c>
      <c r="G19" s="8">
        <f>IF(Control!$B$5&gt;0,Control!$B$47*((Control!$B$20*(Control!$B$30*Control!$B$31+Control!$B$34*Control!$B$35+IF(AND(Control!$B$6="Y",G$4&gt;=Control!$B$39),Control!$B$37*Control!$B$38,0)))/(Control!$B$20*(Control!$B$30*Control!$B$31+Control!$B$34*Control!$B$35+IF(AND(Control!$B$5&gt;0,Control!$B$6="Y",1&gt;=Control!$B$39),Control!$B$37*Control!$B$38,0))))*POWER(1+Control!$B$18,G$4-1),0)</f>
        <v>1815657.9136998574</v>
      </c>
      <c r="H19" s="8">
        <f>IF(Control!$B$5&gt;0,Control!$B$47*((Control!$B$20*(Control!$B$30*Control!$B$31+Control!$B$34*Control!$B$35+IF(AND(Control!$B$6="Y",H$4&gt;=Control!$B$39),Control!$B$37*Control!$B$38,0)))/(Control!$B$20*(Control!$B$30*Control!$B$31+Control!$B$34*Control!$B$35+IF(AND(Control!$B$5&gt;0,Control!$B$6="Y",1&gt;=Control!$B$39),Control!$B$37*Control!$B$38,0))))*POWER(1+Control!$B$18,H$4-1),0)</f>
        <v>1906440.8093848506</v>
      </c>
      <c r="I19" s="8">
        <f>IF(Control!$B$5&gt;0,Control!$B$47*((Control!$B$20*(Control!$B$30*Control!$B$31+Control!$B$34*Control!$B$35+IF(AND(Control!$B$6="Y",I$4&gt;=Control!$B$39),Control!$B$37*Control!$B$38,0)))/(Control!$B$20*(Control!$B$30*Control!$B$31+Control!$B$34*Control!$B$35+IF(AND(Control!$B$5&gt;0,Control!$B$6="Y",1&gt;=Control!$B$39),Control!$B$37*Control!$B$38,0))))*POWER(1+Control!$B$18,I$4-1),0)</f>
        <v>2001762.8498540928</v>
      </c>
      <c r="J19" s="8">
        <f>IF(Control!$B$5&gt;0,Control!$B$47*((Control!$B$20*(Control!$B$30*Control!$B$31+Control!$B$34*Control!$B$35+IF(AND(Control!$B$6="Y",J$4&gt;=Control!$B$39),Control!$B$37*Control!$B$38,0)))/(Control!$B$20*(Control!$B$30*Control!$B$31+Control!$B$34*Control!$B$35+IF(AND(Control!$B$5&gt;0,Control!$B$6="Y",1&gt;=Control!$B$39),Control!$B$37*Control!$B$38,0))))*POWER(1+Control!$B$18,J$4-1),0)</f>
        <v>2101850.9923467976</v>
      </c>
      <c r="K19" s="8">
        <f>IF(Control!$B$5&gt;0,Control!$B$47*((Control!$B$20*(Control!$B$30*Control!$B$31+Control!$B$34*Control!$B$35+IF(AND(Control!$B$6="Y",K$4&gt;=Control!$B$39),Control!$B$37*Control!$B$38,0)))/(Control!$B$20*(Control!$B$30*Control!$B$31+Control!$B$34*Control!$B$35+IF(AND(Control!$B$5&gt;0,Control!$B$6="Y",1&gt;=Control!$B$39),Control!$B$37*Control!$B$38,0))))*POWER(1+Control!$B$18,K$4-1),0)</f>
        <v>2206943.5419641375</v>
      </c>
      <c r="L19" s="8">
        <f>IF(Control!$B$5&gt;0,Control!$B$47*((Control!$B$20*(Control!$B$30*Control!$B$31+Control!$B$34*Control!$B$35+IF(AND(Control!$B$6="Y",L$4&gt;=Control!$B$39),Control!$B$37*Control!$B$38,0)))/(Control!$B$20*(Control!$B$30*Control!$B$31+Control!$B$34*Control!$B$35+IF(AND(Control!$B$5&gt;0,Control!$B$6="Y",1&gt;=Control!$B$39),Control!$B$37*Control!$B$38,0))))*POWER(1+Control!$B$18,L$4-1),0)</f>
        <v>2317290.7190623442</v>
      </c>
      <c r="M19" s="8">
        <f>IF(Control!$B$5&gt;0,Control!$B$47*((Control!$B$20*(Control!$B$30*Control!$B$31+Control!$B$34*Control!$B$35+IF(AND(Control!$B$6="Y",M$4&gt;=Control!$B$39),Control!$B$37*Control!$B$38,0)))/(Control!$B$20*(Control!$B$30*Control!$B$31+Control!$B$34*Control!$B$35+IF(AND(Control!$B$5&gt;0,Control!$B$6="Y",1&gt;=Control!$B$39),Control!$B$37*Control!$B$38,0))))*POWER(1+Control!$B$18,M$4-1),0)</f>
        <v>2433155.2550154617</v>
      </c>
      <c r="N19" s="8">
        <f>IF(Control!$B$5&gt;0,Control!$B$47*((Control!$B$20*(Control!$B$30*Control!$B$31+Control!$B$34*Control!$B$35+IF(AND(Control!$B$6="Y",N$4&gt;=Control!$B$39),Control!$B$37*Control!$B$38,0)))/(Control!$B$20*(Control!$B$30*Control!$B$31+Control!$B$34*Control!$B$35+IF(AND(Control!$B$5&gt;0,Control!$B$6="Y",1&gt;=Control!$B$39),Control!$B$37*Control!$B$38,0))))*POWER(1+Control!$B$18,N$4-1),0)</f>
        <v>2554813.0177662349</v>
      </c>
      <c r="O19" s="8">
        <f>IF(Control!$B$5&gt;0,Control!$B$47*((Control!$B$20*(Control!$B$30*Control!$B$31+Control!$B$34*Control!$B$35+IF(AND(Control!$B$6="Y",O$4&gt;=Control!$B$39),Control!$B$37*Control!$B$38,0)))/(Control!$B$20*(Control!$B$30*Control!$B$31+Control!$B$34*Control!$B$35+IF(AND(Control!$B$5&gt;0,Control!$B$6="Y",1&gt;=Control!$B$39),Control!$B$37*Control!$B$38,0))))*POWER(1+Control!$B$18,O$4-1),0)</f>
        <v>2682553.6686545461</v>
      </c>
      <c r="P19" s="8">
        <f>IF(Control!$B$5&gt;0,Control!$B$47*((Control!$B$20*(Control!$B$30*Control!$B$31+Control!$B$34*Control!$B$35+IF(AND(Control!$B$6="Y",P$4&gt;=Control!$B$39),Control!$B$37*Control!$B$38,0)))/(Control!$B$20*(Control!$B$30*Control!$B$31+Control!$B$34*Control!$B$35+IF(AND(Control!$B$5&gt;0,Control!$B$6="Y",1&gt;=Control!$B$39),Control!$B$37*Control!$B$38,0))))*POWER(1+Control!$B$18,P$4-1),0)</f>
        <v>2816681.3520872742</v>
      </c>
      <c r="Q19" s="8">
        <f>IF(Control!$B$5&gt;0,Control!$B$47*((Control!$B$20*(Control!$B$30*Control!$B$31+Control!$B$34*Control!$B$35+IF(AND(Control!$B$6="Y",Q$4&gt;=Control!$B$39),Control!$B$37*Control!$B$38,0)))/(Control!$B$20*(Control!$B$30*Control!$B$31+Control!$B$34*Control!$B$35+IF(AND(Control!$B$5&gt;0,Control!$B$6="Y",1&gt;=Control!$B$39),Control!$B$37*Control!$B$38,0))))*POWER(1+Control!$B$18,Q$4-1),0)</f>
        <v>2957515.4196916372</v>
      </c>
      <c r="R19" s="8">
        <f>IF(Control!$B$5&gt;0,Control!$B$47*((Control!$B$20*(Control!$B$30*Control!$B$31+Control!$B$34*Control!$B$35+IF(AND(Control!$B$6="Y",R$4&gt;=Control!$B$39),Control!$B$37*Control!$B$38,0)))/(Control!$B$20*(Control!$B$30*Control!$B$31+Control!$B$34*Control!$B$35+IF(AND(Control!$B$5&gt;0,Control!$B$6="Y",1&gt;=Control!$B$39),Control!$B$37*Control!$B$38,0))))*POWER(1+Control!$B$18,R$4-1),0)</f>
        <v>3105391.1906762198</v>
      </c>
      <c r="S19" s="8">
        <f>IF(Control!$B$5&gt;0,Control!$B$47*((Control!$B$20*(Control!$B$30*Control!$B$31+Control!$B$34*Control!$B$35+IF(AND(Control!$B$6="Y",S$4&gt;=Control!$B$39),Control!$B$37*Control!$B$38,0)))/(Control!$B$20*(Control!$B$30*Control!$B$31+Control!$B$34*Control!$B$35+IF(AND(Control!$B$5&gt;0,Control!$B$6="Y",1&gt;=Control!$B$39),Control!$B$37*Control!$B$38,0))))*POWER(1+Control!$B$18,S$4-1),0)</f>
        <v>3260660.7502100305</v>
      </c>
      <c r="T19" s="8">
        <f>IF(Control!$B$5&gt;0,Control!$B$47*((Control!$B$20*(Control!$B$30*Control!$B$31+Control!$B$34*Control!$B$35+IF(AND(Control!$B$6="Y",T$4&gt;=Control!$B$39),Control!$B$37*Control!$B$38,0)))/(Control!$B$20*(Control!$B$30*Control!$B$31+Control!$B$34*Control!$B$35+IF(AND(Control!$B$5&gt;0,Control!$B$6="Y",1&gt;=Control!$B$39),Control!$B$37*Control!$B$38,0))))*POWER(1+Control!$B$18,T$4-1),0)</f>
        <v>3423693.7877205326</v>
      </c>
      <c r="U19" s="8">
        <f>IF(Control!$B$5&gt;0,Control!$B$47*((Control!$B$20*(Control!$B$30*Control!$B$31+Control!$B$34*Control!$B$35+IF(AND(Control!$B$6="Y",U$4&gt;=Control!$B$39),Control!$B$37*Control!$B$38,0)))/(Control!$B$20*(Control!$B$30*Control!$B$31+Control!$B$34*Control!$B$35+IF(AND(Control!$B$5&gt;0,Control!$B$6="Y",1&gt;=Control!$B$39),Control!$B$37*Control!$B$38,0))))*POWER(1+Control!$B$18,U$4-1),0)</f>
        <v>3594878.4771065591</v>
      </c>
      <c r="V19" s="8">
        <f>IF(Control!$B$5&gt;0,Control!$B$47*((Control!$B$20*(Control!$B$30*Control!$B$31+Control!$B$34*Control!$B$35+IF(AND(Control!$B$6="Y",V$4&gt;=Control!$B$39),Control!$B$37*Control!$B$38,0)))/(Control!$B$20*(Control!$B$30*Control!$B$31+Control!$B$34*Control!$B$35+IF(AND(Control!$B$5&gt;0,Control!$B$6="Y",1&gt;=Control!$B$39),Control!$B$37*Control!$B$38,0))))*POWER(1+Control!$B$18,V$4-1),0)</f>
        <v>3774622.4009618871</v>
      </c>
    </row>
    <row r="20" spans="1:22" x14ac:dyDescent="0.3">
      <c r="A20" t="s">
        <v>262</v>
      </c>
      <c r="C20" s="8">
        <f>IF(Control!$B$5&gt;0,Control!$B$48*12*POWER(1+Control!$B$18,C$4-1),0)</f>
        <v>360000</v>
      </c>
      <c r="D20" s="8">
        <f>IF(Control!$B$5&gt;0,Control!$B$48*12*POWER(1+Control!$B$18,D$4-1),0)</f>
        <v>378000</v>
      </c>
      <c r="E20" s="8">
        <f>IF(Control!$B$5&gt;0,Control!$B$48*12*POWER(1+Control!$B$18,E$4-1),0)</f>
        <v>396900</v>
      </c>
      <c r="F20" s="8">
        <f>IF(Control!$B$5&gt;0,Control!$B$48*12*POWER(1+Control!$B$18,F$4-1),0)</f>
        <v>416745.00000000006</v>
      </c>
      <c r="G20" s="8">
        <f>IF(Control!$B$5&gt;0,Control!$B$48*12*POWER(1+Control!$B$18,G$4-1),0)</f>
        <v>437582.25</v>
      </c>
      <c r="H20" s="8">
        <f>IF(Control!$B$5&gt;0,Control!$B$48*12*POWER(1+Control!$B$18,H$4-1),0)</f>
        <v>459461.36250000005</v>
      </c>
      <c r="I20" s="8">
        <f>IF(Control!$B$5&gt;0,Control!$B$48*12*POWER(1+Control!$B$18,I$4-1),0)</f>
        <v>482434.43062499998</v>
      </c>
      <c r="J20" s="8">
        <f>IF(Control!$B$5&gt;0,Control!$B$48*12*POWER(1+Control!$B$18,J$4-1),0)</f>
        <v>506556.15215625009</v>
      </c>
      <c r="K20" s="8">
        <f>IF(Control!$B$5&gt;0,Control!$B$48*12*POWER(1+Control!$B$18,K$4-1),0)</f>
        <v>531883.95976406254</v>
      </c>
      <c r="L20" s="8">
        <f>IF(Control!$B$5&gt;0,Control!$B$48*12*POWER(1+Control!$B$18,L$4-1),0)</f>
        <v>558478.15775226569</v>
      </c>
      <c r="M20" s="8">
        <f>IF(Control!$B$5&gt;0,Control!$B$48*12*POWER(1+Control!$B$18,M$4-1),0)</f>
        <v>586402.06563987897</v>
      </c>
      <c r="N20" s="8">
        <f>IF(Control!$B$5&gt;0,Control!$B$48*12*POWER(1+Control!$B$18,N$4-1),0)</f>
        <v>615722.16892187297</v>
      </c>
      <c r="O20" s="8">
        <f>IF(Control!$B$5&gt;0,Control!$B$48*12*POWER(1+Control!$B$18,O$4-1),0)</f>
        <v>646508.27736796648</v>
      </c>
      <c r="P20" s="8">
        <f>IF(Control!$B$5&gt;0,Control!$B$48*12*POWER(1+Control!$B$18,P$4-1),0)</f>
        <v>678833.691236365</v>
      </c>
      <c r="Q20" s="8">
        <f>IF(Control!$B$5&gt;0,Control!$B$48*12*POWER(1+Control!$B$18,Q$4-1),0)</f>
        <v>712775.37579818303</v>
      </c>
      <c r="R20" s="8">
        <f>IF(Control!$B$5&gt;0,Control!$B$48*12*POWER(1+Control!$B$18,R$4-1),0)</f>
        <v>748414.14458809246</v>
      </c>
      <c r="S20" s="8">
        <f>IF(Control!$B$5&gt;0,Control!$B$48*12*POWER(1+Control!$B$18,S$4-1),0)</f>
        <v>785834.85181749694</v>
      </c>
      <c r="T20" s="8">
        <f>IF(Control!$B$5&gt;0,Control!$B$48*12*POWER(1+Control!$B$18,T$4-1),0)</f>
        <v>825126.59440837195</v>
      </c>
      <c r="U20" s="8">
        <f>IF(Control!$B$5&gt;0,Control!$B$48*12*POWER(1+Control!$B$18,U$4-1),0)</f>
        <v>866382.9241287905</v>
      </c>
      <c r="V20" s="8">
        <f>IF(Control!$B$5&gt;0,Control!$B$48*12*POWER(1+Control!$B$18,V$4-1),0)</f>
        <v>909702.07033523009</v>
      </c>
    </row>
    <row r="21" spans="1:22" x14ac:dyDescent="0.3">
      <c r="A21" t="s">
        <v>263</v>
      </c>
      <c r="C21" s="8">
        <f>IF(Control!$B$5&gt;0,Control!$B$49*12*POWER(1+Control!$B$18,C$4-1),0)</f>
        <v>81600</v>
      </c>
      <c r="D21" s="8">
        <f>IF(Control!$B$5&gt;0,Control!$B$49*12*POWER(1+Control!$B$18,D$4-1),0)</f>
        <v>85680</v>
      </c>
      <c r="E21" s="8">
        <f>IF(Control!$B$5&gt;0,Control!$B$49*12*POWER(1+Control!$B$18,E$4-1),0)</f>
        <v>89964</v>
      </c>
      <c r="F21" s="8">
        <f>IF(Control!$B$5&gt;0,Control!$B$49*12*POWER(1+Control!$B$18,F$4-1),0)</f>
        <v>94462.200000000012</v>
      </c>
      <c r="G21" s="8">
        <f>IF(Control!$B$5&gt;0,Control!$B$49*12*POWER(1+Control!$B$18,G$4-1),0)</f>
        <v>99185.31</v>
      </c>
      <c r="H21" s="8">
        <f>IF(Control!$B$5&gt;0,Control!$B$49*12*POWER(1+Control!$B$18,H$4-1),0)</f>
        <v>104144.57550000001</v>
      </c>
      <c r="I21" s="8">
        <f>IF(Control!$B$5&gt;0,Control!$B$49*12*POWER(1+Control!$B$18,I$4-1),0)</f>
        <v>109351.804275</v>
      </c>
      <c r="J21" s="8">
        <f>IF(Control!$B$5&gt;0,Control!$B$49*12*POWER(1+Control!$B$18,J$4-1),0)</f>
        <v>114819.39448875003</v>
      </c>
      <c r="K21" s="8">
        <f>IF(Control!$B$5&gt;0,Control!$B$49*12*POWER(1+Control!$B$18,K$4-1),0)</f>
        <v>120560.36421318751</v>
      </c>
      <c r="L21" s="8">
        <f>IF(Control!$B$5&gt;0,Control!$B$49*12*POWER(1+Control!$B$18,L$4-1),0)</f>
        <v>126588.38242384688</v>
      </c>
      <c r="M21" s="8">
        <f>IF(Control!$B$5&gt;0,Control!$B$49*12*POWER(1+Control!$B$18,M$4-1),0)</f>
        <v>132917.80154503923</v>
      </c>
      <c r="N21" s="8">
        <f>IF(Control!$B$5&gt;0,Control!$B$49*12*POWER(1+Control!$B$18,N$4-1),0)</f>
        <v>139563.6916222912</v>
      </c>
      <c r="O21" s="8">
        <f>IF(Control!$B$5&gt;0,Control!$B$49*12*POWER(1+Control!$B$18,O$4-1),0)</f>
        <v>146541.87620340573</v>
      </c>
      <c r="P21" s="8">
        <f>IF(Control!$B$5&gt;0,Control!$B$49*12*POWER(1+Control!$B$18,P$4-1),0)</f>
        <v>153868.97001357606</v>
      </c>
      <c r="Q21" s="8">
        <f>IF(Control!$B$5&gt;0,Control!$B$49*12*POWER(1+Control!$B$18,Q$4-1),0)</f>
        <v>161562.41851425482</v>
      </c>
      <c r="R21" s="8">
        <f>IF(Control!$B$5&gt;0,Control!$B$49*12*POWER(1+Control!$B$18,R$4-1),0)</f>
        <v>169640.53943996763</v>
      </c>
      <c r="S21" s="8">
        <f>IF(Control!$B$5&gt;0,Control!$B$49*12*POWER(1+Control!$B$18,S$4-1),0)</f>
        <v>178122.56641196599</v>
      </c>
      <c r="T21" s="8">
        <f>IF(Control!$B$5&gt;0,Control!$B$49*12*POWER(1+Control!$B$18,T$4-1),0)</f>
        <v>187028.6947325643</v>
      </c>
      <c r="U21" s="8">
        <f>IF(Control!$B$5&gt;0,Control!$B$49*12*POWER(1+Control!$B$18,U$4-1),0)</f>
        <v>196380.12946919253</v>
      </c>
      <c r="V21" s="8">
        <f>IF(Control!$B$5&gt;0,Control!$B$49*12*POWER(1+Control!$B$18,V$4-1),0)</f>
        <v>206199.13594265215</v>
      </c>
    </row>
    <row r="22" spans="1:22" x14ac:dyDescent="0.3">
      <c r="A22" t="s">
        <v>264</v>
      </c>
      <c r="C22" s="8">
        <f>IF(Control!$B$5&gt;0,Control!$B$50*12*POWER(1+Control!$B$18,C$4-1),0)</f>
        <v>42000</v>
      </c>
      <c r="D22" s="8">
        <f>IF(Control!$B$5&gt;0,Control!$B$50*12*POWER(1+Control!$B$18,D$4-1),0)</f>
        <v>44100</v>
      </c>
      <c r="E22" s="8">
        <f>IF(Control!$B$5&gt;0,Control!$B$50*12*POWER(1+Control!$B$18,E$4-1),0)</f>
        <v>46305</v>
      </c>
      <c r="F22" s="8">
        <f>IF(Control!$B$5&gt;0,Control!$B$50*12*POWER(1+Control!$B$18,F$4-1),0)</f>
        <v>48620.250000000007</v>
      </c>
      <c r="G22" s="8">
        <f>IF(Control!$B$5&gt;0,Control!$B$50*12*POWER(1+Control!$B$18,G$4-1),0)</f>
        <v>51051.262499999997</v>
      </c>
      <c r="H22" s="8">
        <f>IF(Control!$B$5&gt;0,Control!$B$50*12*POWER(1+Control!$B$18,H$4-1),0)</f>
        <v>53603.825625000005</v>
      </c>
      <c r="I22" s="8">
        <f>IF(Control!$B$5&gt;0,Control!$B$50*12*POWER(1+Control!$B$18,I$4-1),0)</f>
        <v>56284.016906249999</v>
      </c>
      <c r="J22" s="8">
        <f>IF(Control!$B$5&gt;0,Control!$B$50*12*POWER(1+Control!$B$18,J$4-1),0)</f>
        <v>59098.217751562508</v>
      </c>
      <c r="K22" s="8">
        <f>IF(Control!$B$5&gt;0,Control!$B$50*12*POWER(1+Control!$B$18,K$4-1),0)</f>
        <v>62053.128639140625</v>
      </c>
      <c r="L22" s="8">
        <f>IF(Control!$B$5&gt;0,Control!$B$50*12*POWER(1+Control!$B$18,L$4-1),0)</f>
        <v>65155.785071097664</v>
      </c>
      <c r="M22" s="8">
        <f>IF(Control!$B$5&gt;0,Control!$B$50*12*POWER(1+Control!$B$18,M$4-1),0)</f>
        <v>68413.574324652553</v>
      </c>
      <c r="N22" s="8">
        <f>IF(Control!$B$5&gt;0,Control!$B$50*12*POWER(1+Control!$B$18,N$4-1),0)</f>
        <v>71834.253040885174</v>
      </c>
      <c r="O22" s="8">
        <f>IF(Control!$B$5&gt;0,Control!$B$50*12*POWER(1+Control!$B$18,O$4-1),0)</f>
        <v>75425.965692929429</v>
      </c>
      <c r="P22" s="8">
        <f>IF(Control!$B$5&gt;0,Control!$B$50*12*POWER(1+Control!$B$18,P$4-1),0)</f>
        <v>79197.263977575916</v>
      </c>
      <c r="Q22" s="8">
        <f>IF(Control!$B$5&gt;0,Control!$B$50*12*POWER(1+Control!$B$18,Q$4-1),0)</f>
        <v>83157.127176454684</v>
      </c>
      <c r="R22" s="8">
        <f>IF(Control!$B$5&gt;0,Control!$B$50*12*POWER(1+Control!$B$18,R$4-1),0)</f>
        <v>87314.983535277453</v>
      </c>
      <c r="S22" s="8">
        <f>IF(Control!$B$5&gt;0,Control!$B$50*12*POWER(1+Control!$B$18,S$4-1),0)</f>
        <v>91680.73271204131</v>
      </c>
      <c r="T22" s="8">
        <f>IF(Control!$B$5&gt;0,Control!$B$50*12*POWER(1+Control!$B$18,T$4-1),0)</f>
        <v>96264.769347643392</v>
      </c>
      <c r="U22" s="8">
        <f>IF(Control!$B$5&gt;0,Control!$B$50*12*POWER(1+Control!$B$18,U$4-1),0)</f>
        <v>101078.00781502556</v>
      </c>
      <c r="V22" s="8">
        <f>IF(Control!$B$5&gt;0,Control!$B$50*12*POWER(1+Control!$B$18,V$4-1),0)</f>
        <v>106131.90820577684</v>
      </c>
    </row>
    <row r="23" spans="1:22" x14ac:dyDescent="0.3">
      <c r="A23" t="s">
        <v>265</v>
      </c>
      <c r="C23" s="8">
        <f>IF(Control!$B$5&gt;0,Control!$B$51*12*POWER(1+Control!$B$18,C$4-1),0)</f>
        <v>60000</v>
      </c>
      <c r="D23" s="8">
        <f>IF(Control!$B$5&gt;0,Control!$B$51*12*POWER(1+Control!$B$18,D$4-1),0)</f>
        <v>63000</v>
      </c>
      <c r="E23" s="8">
        <f>IF(Control!$B$5&gt;0,Control!$B$51*12*POWER(1+Control!$B$18,E$4-1),0)</f>
        <v>66150</v>
      </c>
      <c r="F23" s="8">
        <f>IF(Control!$B$5&gt;0,Control!$B$51*12*POWER(1+Control!$B$18,F$4-1),0)</f>
        <v>69457.500000000015</v>
      </c>
      <c r="G23" s="8">
        <f>IF(Control!$B$5&gt;0,Control!$B$51*12*POWER(1+Control!$B$18,G$4-1),0)</f>
        <v>72930.375</v>
      </c>
      <c r="H23" s="8">
        <f>IF(Control!$B$5&gt;0,Control!$B$51*12*POWER(1+Control!$B$18,H$4-1),0)</f>
        <v>76576.893750000003</v>
      </c>
      <c r="I23" s="8">
        <f>IF(Control!$B$5&gt;0,Control!$B$51*12*POWER(1+Control!$B$18,I$4-1),0)</f>
        <v>80405.738437499997</v>
      </c>
      <c r="J23" s="8">
        <f>IF(Control!$B$5&gt;0,Control!$B$51*12*POWER(1+Control!$B$18,J$4-1),0)</f>
        <v>84426.025359375009</v>
      </c>
      <c r="K23" s="8">
        <f>IF(Control!$B$5&gt;0,Control!$B$51*12*POWER(1+Control!$B$18,K$4-1),0)</f>
        <v>88647.326627343748</v>
      </c>
      <c r="L23" s="8">
        <f>IF(Control!$B$5&gt;0,Control!$B$51*12*POWER(1+Control!$B$18,L$4-1),0)</f>
        <v>93079.692958710948</v>
      </c>
      <c r="M23" s="8">
        <f>IF(Control!$B$5&gt;0,Control!$B$51*12*POWER(1+Control!$B$18,M$4-1),0)</f>
        <v>97733.677606646495</v>
      </c>
      <c r="N23" s="8">
        <f>IF(Control!$B$5&gt;0,Control!$B$51*12*POWER(1+Control!$B$18,N$4-1),0)</f>
        <v>102620.36148697883</v>
      </c>
      <c r="O23" s="8">
        <f>IF(Control!$B$5&gt;0,Control!$B$51*12*POWER(1+Control!$B$18,O$4-1),0)</f>
        <v>107751.37956132775</v>
      </c>
      <c r="P23" s="8">
        <f>IF(Control!$B$5&gt;0,Control!$B$51*12*POWER(1+Control!$B$18,P$4-1),0)</f>
        <v>113138.94853939416</v>
      </c>
      <c r="Q23" s="8">
        <f>IF(Control!$B$5&gt;0,Control!$B$51*12*POWER(1+Control!$B$18,Q$4-1),0)</f>
        <v>118795.89596636384</v>
      </c>
      <c r="R23" s="8">
        <f>IF(Control!$B$5&gt;0,Control!$B$51*12*POWER(1+Control!$B$18,R$4-1),0)</f>
        <v>124735.69076468208</v>
      </c>
      <c r="S23" s="8">
        <f>IF(Control!$B$5&gt;0,Control!$B$51*12*POWER(1+Control!$B$18,S$4-1),0)</f>
        <v>130972.47530291617</v>
      </c>
      <c r="T23" s="8">
        <f>IF(Control!$B$5&gt;0,Control!$B$51*12*POWER(1+Control!$B$18,T$4-1),0)</f>
        <v>137521.099068062</v>
      </c>
      <c r="U23" s="8">
        <f>IF(Control!$B$5&gt;0,Control!$B$51*12*POWER(1+Control!$B$18,U$4-1),0)</f>
        <v>144397.15402146507</v>
      </c>
      <c r="V23" s="8">
        <f>IF(Control!$B$5&gt;0,Control!$B$51*12*POWER(1+Control!$B$18,V$4-1),0)</f>
        <v>151617.01172253833</v>
      </c>
    </row>
    <row r="24" spans="1:22" x14ac:dyDescent="0.3">
      <c r="A24" t="s">
        <v>266</v>
      </c>
      <c r="C24" s="8">
        <f>C10*Control!$B$26</f>
        <v>90626.591220850503</v>
      </c>
      <c r="D24" s="8">
        <f>D10*Control!$B$26</f>
        <v>95157.92078189303</v>
      </c>
      <c r="E24" s="8">
        <f>E10*Control!$B$26</f>
        <v>99915.816820987689</v>
      </c>
      <c r="F24" s="8">
        <f>F10*Control!$B$26</f>
        <v>104911.60766203706</v>
      </c>
      <c r="G24" s="8">
        <f>G10*Control!$B$26</f>
        <v>110157.1880451389</v>
      </c>
      <c r="H24" s="8">
        <f>H10*Control!$B$26</f>
        <v>115665.04744739586</v>
      </c>
      <c r="I24" s="8">
        <f>I10*Control!$B$26</f>
        <v>121448.29981976566</v>
      </c>
      <c r="J24" s="8">
        <f>J10*Control!$B$26</f>
        <v>127520.71481075395</v>
      </c>
      <c r="K24" s="8">
        <f>K10*Control!$B$26</f>
        <v>133896.75055129163</v>
      </c>
      <c r="L24" s="8">
        <f>L10*Control!$B$26</f>
        <v>140591.58807885621</v>
      </c>
      <c r="M24" s="8">
        <f>M10*Control!$B$26</f>
        <v>147621.16748279904</v>
      </c>
      <c r="N24" s="8">
        <f>N10*Control!$B$26</f>
        <v>155002.22585693901</v>
      </c>
      <c r="O24" s="8">
        <f>O10*Control!$B$26</f>
        <v>162752.33714978592</v>
      </c>
      <c r="P24" s="8">
        <f>P10*Control!$B$26</f>
        <v>170889.95400727526</v>
      </c>
      <c r="Q24" s="8">
        <f>Q10*Control!$B$26</f>
        <v>179434.45170763895</v>
      </c>
      <c r="R24" s="8">
        <f>R10*Control!$B$26</f>
        <v>188406.17429302097</v>
      </c>
      <c r="S24" s="8">
        <f>S10*Control!$B$26</f>
        <v>197826.48300767198</v>
      </c>
      <c r="T24" s="8">
        <f>T10*Control!$B$26</f>
        <v>207717.8071580556</v>
      </c>
      <c r="U24" s="8">
        <f>U10*Control!$B$26</f>
        <v>218103.6975159584</v>
      </c>
      <c r="V24" s="8">
        <f>V10*Control!$B$26</f>
        <v>229008.88239175634</v>
      </c>
    </row>
    <row r="25" spans="1:22" x14ac:dyDescent="0.3">
      <c r="A25" s="2" t="s">
        <v>267</v>
      </c>
      <c r="C25" s="5">
        <f t="shared" ref="C25:V25" si="2">SUM(C17:C24)</f>
        <v>2872691.7630915646</v>
      </c>
      <c r="D25" s="5">
        <f t="shared" si="2"/>
        <v>3016326.3512461428</v>
      </c>
      <c r="E25" s="5">
        <f t="shared" si="2"/>
        <v>3167142.6688084495</v>
      </c>
      <c r="F25" s="5">
        <f t="shared" si="2"/>
        <v>3325499.8022488728</v>
      </c>
      <c r="G25" s="5">
        <f t="shared" si="2"/>
        <v>3491774.7923613163</v>
      </c>
      <c r="H25" s="5">
        <f t="shared" si="2"/>
        <v>3666363.5319793816</v>
      </c>
      <c r="I25" s="5">
        <f t="shared" si="2"/>
        <v>3849681.7085783505</v>
      </c>
      <c r="J25" s="5">
        <f t="shared" si="2"/>
        <v>4042165.7940072692</v>
      </c>
      <c r="K25" s="5">
        <f t="shared" si="2"/>
        <v>4244274.0837076325</v>
      </c>
      <c r="L25" s="5">
        <f t="shared" si="2"/>
        <v>4456487.787893014</v>
      </c>
      <c r="M25" s="5">
        <f t="shared" si="2"/>
        <v>4679312.1772876643</v>
      </c>
      <c r="N25" s="5">
        <f t="shared" si="2"/>
        <v>4913277.786152048</v>
      </c>
      <c r="O25" s="5">
        <f t="shared" si="2"/>
        <v>5158941.6754596485</v>
      </c>
      <c r="P25" s="5">
        <f t="shared" si="2"/>
        <v>5416888.7592326328</v>
      </c>
      <c r="Q25" s="5">
        <f t="shared" si="2"/>
        <v>5687733.1971942624</v>
      </c>
      <c r="R25" s="5">
        <f t="shared" si="2"/>
        <v>5972119.8570539784</v>
      </c>
      <c r="S25" s="5">
        <f t="shared" si="2"/>
        <v>6270725.8499066764</v>
      </c>
      <c r="T25" s="5">
        <f t="shared" si="2"/>
        <v>6584262.1424020119</v>
      </c>
      <c r="U25" s="5">
        <f t="shared" si="2"/>
        <v>6913475.2495221123</v>
      </c>
      <c r="V25" s="5">
        <f t="shared" si="2"/>
        <v>7259149.0119982176</v>
      </c>
    </row>
    <row r="26" spans="1:22" x14ac:dyDescent="0.3">
      <c r="A26" s="11" t="s">
        <v>268</v>
      </c>
      <c r="C26" s="12">
        <f t="shared" ref="C26:V26" si="3">C15-C25</f>
        <v>1948804.9247942385</v>
      </c>
      <c r="D26" s="12">
        <f t="shared" si="3"/>
        <v>2046245.1710339505</v>
      </c>
      <c r="E26" s="12">
        <f t="shared" si="3"/>
        <v>2148557.4295856482</v>
      </c>
      <c r="F26" s="12">
        <f t="shared" si="3"/>
        <v>2255985.3010649309</v>
      </c>
      <c r="G26" s="12">
        <f t="shared" si="3"/>
        <v>2368784.5661181761</v>
      </c>
      <c r="H26" s="12">
        <f t="shared" si="3"/>
        <v>2487223.7944240873</v>
      </c>
      <c r="I26" s="12">
        <f t="shared" si="3"/>
        <v>2611584.9841452907</v>
      </c>
      <c r="J26" s="12">
        <f t="shared" si="3"/>
        <v>2742164.2333525554</v>
      </c>
      <c r="K26" s="12">
        <f t="shared" si="3"/>
        <v>2879272.4450201821</v>
      </c>
      <c r="L26" s="12">
        <f t="shared" si="3"/>
        <v>3023236.0672711907</v>
      </c>
      <c r="M26" s="12">
        <f t="shared" si="3"/>
        <v>3174397.8706347514</v>
      </c>
      <c r="N26" s="12">
        <f t="shared" si="3"/>
        <v>3333117.7641664892</v>
      </c>
      <c r="O26" s="12">
        <f t="shared" si="3"/>
        <v>3499773.6523748143</v>
      </c>
      <c r="P26" s="12">
        <f t="shared" si="3"/>
        <v>3674762.3349935543</v>
      </c>
      <c r="Q26" s="12">
        <f t="shared" si="3"/>
        <v>3858500.4517432312</v>
      </c>
      <c r="R26" s="12">
        <f t="shared" si="3"/>
        <v>4051425.4743303936</v>
      </c>
      <c r="S26" s="12">
        <f t="shared" si="3"/>
        <v>4253996.7480469132</v>
      </c>
      <c r="T26" s="12">
        <f t="shared" si="3"/>
        <v>4466696.5854492597</v>
      </c>
      <c r="U26" s="12">
        <f t="shared" si="3"/>
        <v>4690031.4147217236</v>
      </c>
      <c r="V26" s="12">
        <f t="shared" si="3"/>
        <v>4924532.9854578078</v>
      </c>
    </row>
    <row r="27" spans="1:22" x14ac:dyDescent="0.3">
      <c r="A27" t="s">
        <v>269</v>
      </c>
      <c r="C27" s="8">
        <f>-C26*Control!$B$23</f>
        <v>-526177.32969444443</v>
      </c>
      <c r="D27" s="8">
        <f>-D26*Control!$B$23</f>
        <v>-552486.19617916667</v>
      </c>
      <c r="E27" s="8">
        <f>-E26*Control!$B$23</f>
        <v>-580110.50598812511</v>
      </c>
      <c r="F27" s="8">
        <f>-F26*Control!$B$23</f>
        <v>-609116.03128753137</v>
      </c>
      <c r="G27" s="8">
        <f>-G26*Control!$B$23</f>
        <v>-639571.83285190759</v>
      </c>
      <c r="H27" s="8">
        <f>-H26*Control!$B$23</f>
        <v>-671550.42449450365</v>
      </c>
      <c r="I27" s="8">
        <f>-I26*Control!$B$23</f>
        <v>-705127.94571922848</v>
      </c>
      <c r="J27" s="8">
        <f>-J26*Control!$B$23</f>
        <v>-740384.34300519002</v>
      </c>
      <c r="K27" s="8">
        <f>-K26*Control!$B$23</f>
        <v>-777403.5601554492</v>
      </c>
      <c r="L27" s="8">
        <f>-L26*Control!$B$23</f>
        <v>-816273.73816322151</v>
      </c>
      <c r="M27" s="8">
        <f>-M26*Control!$B$23</f>
        <v>-857087.4250713829</v>
      </c>
      <c r="N27" s="8">
        <f>-N26*Control!$B$23</f>
        <v>-899941.79632495216</v>
      </c>
      <c r="O27" s="8">
        <f>-O26*Control!$B$23</f>
        <v>-944938.88614119997</v>
      </c>
      <c r="P27" s="8">
        <f>-P26*Control!$B$23</f>
        <v>-992185.83044825972</v>
      </c>
      <c r="Q27" s="8">
        <f>-Q26*Control!$B$23</f>
        <v>-1041795.1219706725</v>
      </c>
      <c r="R27" s="8">
        <f>-R26*Control!$B$23</f>
        <v>-1093884.8780692064</v>
      </c>
      <c r="S27" s="8">
        <f>-S26*Control!$B$23</f>
        <v>-1148579.1219726666</v>
      </c>
      <c r="T27" s="8">
        <f>-T26*Control!$B$23</f>
        <v>-1206008.0780713002</v>
      </c>
      <c r="U27" s="8">
        <f>-U26*Control!$B$23</f>
        <v>-1266308.4819748655</v>
      </c>
      <c r="V27" s="8">
        <f>-V26*Control!$B$23</f>
        <v>-1329623.9060736082</v>
      </c>
    </row>
    <row r="28" spans="1:22" x14ac:dyDescent="0.3">
      <c r="A28" s="11" t="s">
        <v>270</v>
      </c>
      <c r="C28" s="12">
        <f t="shared" ref="C28:V28" si="4">C26+C27</f>
        <v>1422627.5950997942</v>
      </c>
      <c r="D28" s="12">
        <f t="shared" si="4"/>
        <v>1493758.9748547839</v>
      </c>
      <c r="E28" s="12">
        <f t="shared" si="4"/>
        <v>1568446.923597523</v>
      </c>
      <c r="F28" s="12">
        <f t="shared" si="4"/>
        <v>1646869.2697773995</v>
      </c>
      <c r="G28" s="12">
        <f t="shared" si="4"/>
        <v>1729212.7332662684</v>
      </c>
      <c r="H28" s="12">
        <f t="shared" si="4"/>
        <v>1815673.3699295837</v>
      </c>
      <c r="I28" s="12">
        <f t="shared" si="4"/>
        <v>1906457.0384260621</v>
      </c>
      <c r="J28" s="12">
        <f t="shared" si="4"/>
        <v>2001779.8903473653</v>
      </c>
      <c r="K28" s="12">
        <f t="shared" si="4"/>
        <v>2101868.8848647326</v>
      </c>
      <c r="L28" s="12">
        <f t="shared" si="4"/>
        <v>2206962.3291079691</v>
      </c>
      <c r="M28" s="12">
        <f t="shared" si="4"/>
        <v>2317310.4455633685</v>
      </c>
      <c r="N28" s="12">
        <f t="shared" si="4"/>
        <v>2433175.9678415372</v>
      </c>
      <c r="O28" s="12">
        <f t="shared" si="4"/>
        <v>2554834.7662336142</v>
      </c>
      <c r="P28" s="12">
        <f t="shared" si="4"/>
        <v>2682576.5045452947</v>
      </c>
      <c r="Q28" s="12">
        <f t="shared" si="4"/>
        <v>2816705.3297725585</v>
      </c>
      <c r="R28" s="12">
        <f t="shared" si="4"/>
        <v>2957540.5962611875</v>
      </c>
      <c r="S28" s="12">
        <f t="shared" si="4"/>
        <v>3105417.6260742466</v>
      </c>
      <c r="T28" s="12">
        <f t="shared" si="4"/>
        <v>3260688.5073779598</v>
      </c>
      <c r="U28" s="12">
        <f t="shared" si="4"/>
        <v>3423722.9327468583</v>
      </c>
      <c r="V28" s="12">
        <f t="shared" si="4"/>
        <v>3594909.0793841993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C2E6"/>
  </sheetPr>
  <dimension ref="A1:V18"/>
  <sheetViews>
    <sheetView workbookViewId="0">
      <selection activeCell="A19" sqref="A19:XFD19"/>
    </sheetView>
  </sheetViews>
  <sheetFormatPr defaultRowHeight="14.4" x14ac:dyDescent="0.3"/>
  <cols>
    <col min="1" max="1" width="79.44140625" bestFit="1" customWidth="1"/>
    <col min="3" max="15" width="8.109375" bestFit="1" customWidth="1"/>
    <col min="16" max="22" width="8.88671875" bestFit="1" customWidth="1"/>
  </cols>
  <sheetData>
    <row r="1" spans="1:22" ht="18" customHeight="1" x14ac:dyDescent="0.35">
      <c r="A1" s="1" t="s">
        <v>271</v>
      </c>
    </row>
    <row r="2" spans="1:22" x14ac:dyDescent="0.3">
      <c r="A2" s="19" t="s">
        <v>272</v>
      </c>
    </row>
    <row r="4" spans="1:22" x14ac:dyDescent="0.3">
      <c r="A4" s="2" t="s">
        <v>247</v>
      </c>
      <c r="C4" s="6">
        <v>1</v>
      </c>
      <c r="D4" s="6">
        <v>2</v>
      </c>
      <c r="E4" s="6">
        <v>3</v>
      </c>
      <c r="F4" s="6">
        <v>4</v>
      </c>
      <c r="G4" s="6">
        <v>5</v>
      </c>
      <c r="H4" s="6">
        <v>6</v>
      </c>
      <c r="I4" s="6">
        <v>7</v>
      </c>
      <c r="J4" s="6">
        <v>8</v>
      </c>
      <c r="K4" s="6">
        <v>9</v>
      </c>
      <c r="L4" s="6">
        <v>10</v>
      </c>
      <c r="M4" s="6">
        <v>11</v>
      </c>
      <c r="N4" s="6">
        <v>12</v>
      </c>
      <c r="O4" s="6">
        <v>13</v>
      </c>
      <c r="P4" s="6">
        <v>14</v>
      </c>
      <c r="Q4" s="6">
        <v>15</v>
      </c>
      <c r="R4" s="6">
        <v>16</v>
      </c>
      <c r="S4" s="6">
        <v>17</v>
      </c>
      <c r="T4" s="6">
        <v>18</v>
      </c>
      <c r="U4" s="6">
        <v>19</v>
      </c>
      <c r="V4" s="6">
        <v>20</v>
      </c>
    </row>
    <row r="6" spans="1:22" x14ac:dyDescent="0.3">
      <c r="A6" t="s">
        <v>273</v>
      </c>
      <c r="C6" s="8">
        <f>IF(Control!$B$7&gt;0,Control!$B$54*Control!$B$55*POWER(1+Control!$B$17,C$4-1),0)</f>
        <v>300000</v>
      </c>
      <c r="D6" s="8">
        <f>IF(Control!$B$7&gt;0,Control!$B$54*Control!$B$55*POWER(1+Control!$B$17,D$4-1),0)</f>
        <v>315000</v>
      </c>
      <c r="E6" s="8">
        <f>IF(Control!$B$7&gt;0,Control!$B$54*Control!$B$55*POWER(1+Control!$B$17,E$4-1),0)</f>
        <v>330750</v>
      </c>
      <c r="F6" s="8">
        <f>IF(Control!$B$7&gt;0,Control!$B$54*Control!$B$55*POWER(1+Control!$B$17,F$4-1),0)</f>
        <v>347287.50000000006</v>
      </c>
      <c r="G6" s="8">
        <f>IF(Control!$B$7&gt;0,Control!$B$54*Control!$B$55*POWER(1+Control!$B$17,G$4-1),0)</f>
        <v>364651.875</v>
      </c>
      <c r="H6" s="8">
        <f>IF(Control!$B$7&gt;0,Control!$B$54*Control!$B$55*POWER(1+Control!$B$17,H$4-1),0)</f>
        <v>382884.46875000006</v>
      </c>
      <c r="I6" s="8">
        <f>IF(Control!$B$7&gt;0,Control!$B$54*Control!$B$55*POWER(1+Control!$B$17,I$4-1),0)</f>
        <v>402028.69218750001</v>
      </c>
      <c r="J6" s="8">
        <f>IF(Control!$B$7&gt;0,Control!$B$54*Control!$B$55*POWER(1+Control!$B$17,J$4-1),0)</f>
        <v>422130.12679687509</v>
      </c>
      <c r="K6" s="8">
        <f>IF(Control!$B$7&gt;0,Control!$B$54*Control!$B$55*POWER(1+Control!$B$17,K$4-1),0)</f>
        <v>443236.63313671877</v>
      </c>
      <c r="L6" s="8">
        <f>IF(Control!$B$7&gt;0,Control!$B$54*Control!$B$55*POWER(1+Control!$B$17,L$4-1),0)</f>
        <v>465398.46479355474</v>
      </c>
      <c r="M6" s="8">
        <f>IF(Control!$B$7&gt;0,Control!$B$54*Control!$B$55*POWER(1+Control!$B$17,M$4-1),0)</f>
        <v>488668.38803323248</v>
      </c>
      <c r="N6" s="8">
        <f>IF(Control!$B$7&gt;0,Control!$B$54*Control!$B$55*POWER(1+Control!$B$17,N$4-1),0)</f>
        <v>513101.80743489414</v>
      </c>
      <c r="O6" s="8">
        <f>IF(Control!$B$7&gt;0,Control!$B$54*Control!$B$55*POWER(1+Control!$B$17,O$4-1),0)</f>
        <v>538756.89780663874</v>
      </c>
      <c r="P6" s="8">
        <f>IF(Control!$B$7&gt;0,Control!$B$54*Control!$B$55*POWER(1+Control!$B$17,P$4-1),0)</f>
        <v>565694.74269697082</v>
      </c>
      <c r="Q6" s="8">
        <f>IF(Control!$B$7&gt;0,Control!$B$54*Control!$B$55*POWER(1+Control!$B$17,Q$4-1),0)</f>
        <v>593979.47983181919</v>
      </c>
      <c r="R6" s="8">
        <f>IF(Control!$B$7&gt;0,Control!$B$54*Control!$B$55*POWER(1+Control!$B$17,R$4-1),0)</f>
        <v>623678.45382341032</v>
      </c>
      <c r="S6" s="8">
        <f>IF(Control!$B$7&gt;0,Control!$B$54*Control!$B$55*POWER(1+Control!$B$17,S$4-1),0)</f>
        <v>654862.3765145808</v>
      </c>
      <c r="T6" s="8">
        <f>IF(Control!$B$7&gt;0,Control!$B$54*Control!$B$55*POWER(1+Control!$B$17,T$4-1),0)</f>
        <v>687605.49534030992</v>
      </c>
      <c r="U6" s="8">
        <f>IF(Control!$B$7&gt;0,Control!$B$54*Control!$B$55*POWER(1+Control!$B$17,U$4-1),0)</f>
        <v>721985.7701073254</v>
      </c>
      <c r="V6" s="8">
        <f>IF(Control!$B$7&gt;0,Control!$B$54*Control!$B$55*POWER(1+Control!$B$17,V$4-1),0)</f>
        <v>758085.0586126917</v>
      </c>
    </row>
    <row r="7" spans="1:22" x14ac:dyDescent="0.3">
      <c r="A7" t="s">
        <v>274</v>
      </c>
      <c r="C7" s="8">
        <f>IF(Control!$B$7&gt;0,Control!$B$57*Control!$B$58*Control!$B$59*Control!$B$60*POWER(1+Control!$B$17,C$4-1),0)</f>
        <v>243000</v>
      </c>
      <c r="D7" s="8">
        <f>IF(Control!$B$7&gt;0,Control!$B$57*Control!$B$58*Control!$B$59*Control!$B$60*POWER(1+Control!$B$17,D$4-1),0)</f>
        <v>255150</v>
      </c>
      <c r="E7" s="8">
        <f>IF(Control!$B$7&gt;0,Control!$B$57*Control!$B$58*Control!$B$59*Control!$B$60*POWER(1+Control!$B$17,E$4-1),0)</f>
        <v>267907.5</v>
      </c>
      <c r="F7" s="8">
        <f>IF(Control!$B$7&gt;0,Control!$B$57*Control!$B$58*Control!$B$59*Control!$B$60*POWER(1+Control!$B$17,F$4-1),0)</f>
        <v>281302.87500000006</v>
      </c>
      <c r="G7" s="8">
        <f>IF(Control!$B$7&gt;0,Control!$B$57*Control!$B$58*Control!$B$59*Control!$B$60*POWER(1+Control!$B$17,G$4-1),0)</f>
        <v>295368.01874999999</v>
      </c>
      <c r="H7" s="8">
        <f>IF(Control!$B$7&gt;0,Control!$B$57*Control!$B$58*Control!$B$59*Control!$B$60*POWER(1+Control!$B$17,H$4-1),0)</f>
        <v>310136.41968750005</v>
      </c>
      <c r="I7" s="8">
        <f>IF(Control!$B$7&gt;0,Control!$B$57*Control!$B$58*Control!$B$59*Control!$B$60*POWER(1+Control!$B$17,I$4-1),0)</f>
        <v>325643.24067187501</v>
      </c>
      <c r="J7" s="8">
        <f>IF(Control!$B$7&gt;0,Control!$B$57*Control!$B$58*Control!$B$59*Control!$B$60*POWER(1+Control!$B$17,J$4-1),0)</f>
        <v>341925.40270546882</v>
      </c>
      <c r="K7" s="8">
        <f>IF(Control!$B$7&gt;0,Control!$B$57*Control!$B$58*Control!$B$59*Control!$B$60*POWER(1+Control!$B$17,K$4-1),0)</f>
        <v>359021.67284074222</v>
      </c>
      <c r="L7" s="8">
        <f>IF(Control!$B$7&gt;0,Control!$B$57*Control!$B$58*Control!$B$59*Control!$B$60*POWER(1+Control!$B$17,L$4-1),0)</f>
        <v>376972.75648277934</v>
      </c>
      <c r="M7" s="8">
        <f>IF(Control!$B$7&gt;0,Control!$B$57*Control!$B$58*Control!$B$59*Control!$B$60*POWER(1+Control!$B$17,M$4-1),0)</f>
        <v>395821.39430691832</v>
      </c>
      <c r="N7" s="8">
        <f>IF(Control!$B$7&gt;0,Control!$B$57*Control!$B$58*Control!$B$59*Control!$B$60*POWER(1+Control!$B$17,N$4-1),0)</f>
        <v>415612.46402226423</v>
      </c>
      <c r="O7" s="8">
        <f>IF(Control!$B$7&gt;0,Control!$B$57*Control!$B$58*Control!$B$59*Control!$B$60*POWER(1+Control!$B$17,O$4-1),0)</f>
        <v>436393.08722337737</v>
      </c>
      <c r="P7" s="8">
        <f>IF(Control!$B$7&gt;0,Control!$B$57*Control!$B$58*Control!$B$59*Control!$B$60*POWER(1+Control!$B$17,P$4-1),0)</f>
        <v>458212.74158454634</v>
      </c>
      <c r="Q7" s="8">
        <f>IF(Control!$B$7&gt;0,Control!$B$57*Control!$B$58*Control!$B$59*Control!$B$60*POWER(1+Control!$B$17,Q$4-1),0)</f>
        <v>481123.37866377353</v>
      </c>
      <c r="R7" s="8">
        <f>IF(Control!$B$7&gt;0,Control!$B$57*Control!$B$58*Control!$B$59*Control!$B$60*POWER(1+Control!$B$17,R$4-1),0)</f>
        <v>505179.54759696237</v>
      </c>
      <c r="S7" s="8">
        <f>IF(Control!$B$7&gt;0,Control!$B$57*Control!$B$58*Control!$B$59*Control!$B$60*POWER(1+Control!$B$17,S$4-1),0)</f>
        <v>530438.52497681044</v>
      </c>
      <c r="T7" s="8">
        <f>IF(Control!$B$7&gt;0,Control!$B$57*Control!$B$58*Control!$B$59*Control!$B$60*POWER(1+Control!$B$17,T$4-1),0)</f>
        <v>556960.45122565108</v>
      </c>
      <c r="U7" s="8">
        <f>IF(Control!$B$7&gt;0,Control!$B$57*Control!$B$58*Control!$B$59*Control!$B$60*POWER(1+Control!$B$17,U$4-1),0)</f>
        <v>584808.47378693358</v>
      </c>
      <c r="V7" s="8">
        <f>IF(Control!$B$7&gt;0,Control!$B$57*Control!$B$58*Control!$B$59*Control!$B$60*POWER(1+Control!$B$17,V$4-1),0)</f>
        <v>614048.89747628034</v>
      </c>
    </row>
    <row r="8" spans="1:22" x14ac:dyDescent="0.3">
      <c r="A8" s="9" t="s">
        <v>257</v>
      </c>
      <c r="C8" s="10">
        <f t="shared" ref="C8:V8" si="0">SUM(C6:C7)</f>
        <v>543000</v>
      </c>
      <c r="D8" s="10">
        <f t="shared" si="0"/>
        <v>570150</v>
      </c>
      <c r="E8" s="10">
        <f t="shared" si="0"/>
        <v>598657.5</v>
      </c>
      <c r="F8" s="10">
        <f t="shared" si="0"/>
        <v>628590.37500000012</v>
      </c>
      <c r="G8" s="10">
        <f t="shared" si="0"/>
        <v>660019.89375000005</v>
      </c>
      <c r="H8" s="10">
        <f t="shared" si="0"/>
        <v>693020.88843750011</v>
      </c>
      <c r="I8" s="10">
        <f t="shared" si="0"/>
        <v>727671.93285937503</v>
      </c>
      <c r="J8" s="10">
        <f t="shared" si="0"/>
        <v>764055.52950234385</v>
      </c>
      <c r="K8" s="10">
        <f t="shared" si="0"/>
        <v>802258.30597746093</v>
      </c>
      <c r="L8" s="10">
        <f t="shared" si="0"/>
        <v>842371.22127633402</v>
      </c>
      <c r="M8" s="10">
        <f t="shared" si="0"/>
        <v>884489.78234015079</v>
      </c>
      <c r="N8" s="10">
        <f t="shared" si="0"/>
        <v>928714.27145715838</v>
      </c>
      <c r="O8" s="10">
        <f t="shared" si="0"/>
        <v>975149.98503001616</v>
      </c>
      <c r="P8" s="10">
        <f t="shared" si="0"/>
        <v>1023907.4842815171</v>
      </c>
      <c r="Q8" s="10">
        <f t="shared" si="0"/>
        <v>1075102.8584955926</v>
      </c>
      <c r="R8" s="10">
        <f t="shared" si="0"/>
        <v>1128858.0014203726</v>
      </c>
      <c r="S8" s="10">
        <f t="shared" si="0"/>
        <v>1185300.9014913912</v>
      </c>
      <c r="T8" s="10">
        <f t="shared" si="0"/>
        <v>1244565.946565961</v>
      </c>
      <c r="U8" s="10">
        <f t="shared" si="0"/>
        <v>1306794.243894259</v>
      </c>
      <c r="V8" s="10">
        <f t="shared" si="0"/>
        <v>1372133.956088972</v>
      </c>
    </row>
    <row r="9" spans="1:22" x14ac:dyDescent="0.3">
      <c r="A9" s="2" t="s">
        <v>258</v>
      </c>
    </row>
    <row r="10" spans="1:22" x14ac:dyDescent="0.3">
      <c r="A10" t="s">
        <v>275</v>
      </c>
      <c r="C10" s="8">
        <f>C7*Control!$B$63</f>
        <v>48600</v>
      </c>
      <c r="D10" s="8">
        <f>D7*Control!$B$63</f>
        <v>51030</v>
      </c>
      <c r="E10" s="8">
        <f>E7*Control!$B$63</f>
        <v>53581.5</v>
      </c>
      <c r="F10" s="8">
        <f>F7*Control!$B$63</f>
        <v>56260.575000000012</v>
      </c>
      <c r="G10" s="8">
        <f>G7*Control!$B$63</f>
        <v>59073.603750000002</v>
      </c>
      <c r="H10" s="8">
        <f>H7*Control!$B$63</f>
        <v>62027.283937500011</v>
      </c>
      <c r="I10" s="8">
        <f>I7*Control!$B$63</f>
        <v>65128.648134375006</v>
      </c>
      <c r="J10" s="8">
        <f>J7*Control!$B$63</f>
        <v>68385.080541093761</v>
      </c>
      <c r="K10" s="8">
        <f>K7*Control!$B$63</f>
        <v>71804.33456814845</v>
      </c>
      <c r="L10" s="8">
        <f>L7*Control!$B$63</f>
        <v>75394.551296555874</v>
      </c>
      <c r="M10" s="8">
        <f>M7*Control!$B$63</f>
        <v>79164.278861383675</v>
      </c>
      <c r="N10" s="8">
        <f>N7*Control!$B$63</f>
        <v>83122.49280445285</v>
      </c>
      <c r="O10" s="8">
        <f>O7*Control!$B$63</f>
        <v>87278.617444675474</v>
      </c>
      <c r="P10" s="8">
        <f>P7*Control!$B$63</f>
        <v>91642.548316909277</v>
      </c>
      <c r="Q10" s="8">
        <f>Q7*Control!$B$63</f>
        <v>96224.675732754709</v>
      </c>
      <c r="R10" s="8">
        <f>R7*Control!$B$63</f>
        <v>101035.90951939247</v>
      </c>
      <c r="S10" s="8">
        <f>S7*Control!$B$63</f>
        <v>106087.70499536209</v>
      </c>
      <c r="T10" s="8">
        <f>T7*Control!$B$63</f>
        <v>111392.09024513022</v>
      </c>
      <c r="U10" s="8">
        <f>U7*Control!$B$63</f>
        <v>116961.69475738672</v>
      </c>
      <c r="V10" s="8">
        <f>V7*Control!$B$63</f>
        <v>122809.77949525608</v>
      </c>
    </row>
    <row r="11" spans="1:22" x14ac:dyDescent="0.3">
      <c r="A11" t="s">
        <v>263</v>
      </c>
      <c r="C11" s="8">
        <f>IF(Control!$B$7&gt;0,Control!$B$64*12*POWER(1+Control!$B$18,C$4-1),0)</f>
        <v>12000</v>
      </c>
      <c r="D11" s="8">
        <f>IF(Control!$B$7&gt;0,Control!$B$64*12*POWER(1+Control!$B$18,D$4-1),0)</f>
        <v>12600</v>
      </c>
      <c r="E11" s="8">
        <f>IF(Control!$B$7&gt;0,Control!$B$64*12*POWER(1+Control!$B$18,E$4-1),0)</f>
        <v>13230</v>
      </c>
      <c r="F11" s="8">
        <f>IF(Control!$B$7&gt;0,Control!$B$64*12*POWER(1+Control!$B$18,F$4-1),0)</f>
        <v>13891.500000000002</v>
      </c>
      <c r="G11" s="8">
        <f>IF(Control!$B$7&gt;0,Control!$B$64*12*POWER(1+Control!$B$18,G$4-1),0)</f>
        <v>14586.075000000001</v>
      </c>
      <c r="H11" s="8">
        <f>IF(Control!$B$7&gt;0,Control!$B$64*12*POWER(1+Control!$B$18,H$4-1),0)</f>
        <v>15315.378750000002</v>
      </c>
      <c r="I11" s="8">
        <f>IF(Control!$B$7&gt;0,Control!$B$64*12*POWER(1+Control!$B$18,I$4-1),0)</f>
        <v>16081.147687499999</v>
      </c>
      <c r="J11" s="8">
        <f>IF(Control!$B$7&gt;0,Control!$B$64*12*POWER(1+Control!$B$18,J$4-1),0)</f>
        <v>16885.205071875003</v>
      </c>
      <c r="K11" s="8">
        <f>IF(Control!$B$7&gt;0,Control!$B$64*12*POWER(1+Control!$B$18,K$4-1),0)</f>
        <v>17729.465325468751</v>
      </c>
      <c r="L11" s="8">
        <f>IF(Control!$B$7&gt;0,Control!$B$64*12*POWER(1+Control!$B$18,L$4-1),0)</f>
        <v>18615.93859174219</v>
      </c>
      <c r="M11" s="8">
        <f>IF(Control!$B$7&gt;0,Control!$B$64*12*POWER(1+Control!$B$18,M$4-1),0)</f>
        <v>19546.735521329298</v>
      </c>
      <c r="N11" s="8">
        <f>IF(Control!$B$7&gt;0,Control!$B$64*12*POWER(1+Control!$B$18,N$4-1),0)</f>
        <v>20524.072297395764</v>
      </c>
      <c r="O11" s="8">
        <f>IF(Control!$B$7&gt;0,Control!$B$64*12*POWER(1+Control!$B$18,O$4-1),0)</f>
        <v>21550.275912265552</v>
      </c>
      <c r="P11" s="8">
        <f>IF(Control!$B$7&gt;0,Control!$B$64*12*POWER(1+Control!$B$18,P$4-1),0)</f>
        <v>22627.789707878834</v>
      </c>
      <c r="Q11" s="8">
        <f>IF(Control!$B$7&gt;0,Control!$B$64*12*POWER(1+Control!$B$18,Q$4-1),0)</f>
        <v>23759.179193272768</v>
      </c>
      <c r="R11" s="8">
        <f>IF(Control!$B$7&gt;0,Control!$B$64*12*POWER(1+Control!$B$18,R$4-1),0)</f>
        <v>24947.138152936415</v>
      </c>
      <c r="S11" s="8">
        <f>IF(Control!$B$7&gt;0,Control!$B$64*12*POWER(1+Control!$B$18,S$4-1),0)</f>
        <v>26194.495060583231</v>
      </c>
      <c r="T11" s="8">
        <f>IF(Control!$B$7&gt;0,Control!$B$64*12*POWER(1+Control!$B$18,T$4-1),0)</f>
        <v>27504.219813612399</v>
      </c>
      <c r="U11" s="8">
        <f>IF(Control!$B$7&gt;0,Control!$B$64*12*POWER(1+Control!$B$18,U$4-1),0)</f>
        <v>28879.430804293017</v>
      </c>
      <c r="V11" s="8">
        <f>IF(Control!$B$7&gt;0,Control!$B$64*12*POWER(1+Control!$B$18,V$4-1),0)</f>
        <v>30323.402344507667</v>
      </c>
    </row>
    <row r="12" spans="1:22" x14ac:dyDescent="0.3">
      <c r="A12" t="s">
        <v>264</v>
      </c>
      <c r="C12" s="8">
        <f>IF(Control!$B$7&gt;0,Control!$B$65*12*POWER(1+Control!$B$18,C$4-1),0)</f>
        <v>12000</v>
      </c>
      <c r="D12" s="8">
        <f>IF(Control!$B$7&gt;0,Control!$B$65*12*POWER(1+Control!$B$18,D$4-1),0)</f>
        <v>12600</v>
      </c>
      <c r="E12" s="8">
        <f>IF(Control!$B$7&gt;0,Control!$B$65*12*POWER(1+Control!$B$18,E$4-1),0)</f>
        <v>13230</v>
      </c>
      <c r="F12" s="8">
        <f>IF(Control!$B$7&gt;0,Control!$B$65*12*POWER(1+Control!$B$18,F$4-1),0)</f>
        <v>13891.500000000002</v>
      </c>
      <c r="G12" s="8">
        <f>IF(Control!$B$7&gt;0,Control!$B$65*12*POWER(1+Control!$B$18,G$4-1),0)</f>
        <v>14586.075000000001</v>
      </c>
      <c r="H12" s="8">
        <f>IF(Control!$B$7&gt;0,Control!$B$65*12*POWER(1+Control!$B$18,H$4-1),0)</f>
        <v>15315.378750000002</v>
      </c>
      <c r="I12" s="8">
        <f>IF(Control!$B$7&gt;0,Control!$B$65*12*POWER(1+Control!$B$18,I$4-1),0)</f>
        <v>16081.147687499999</v>
      </c>
      <c r="J12" s="8">
        <f>IF(Control!$B$7&gt;0,Control!$B$65*12*POWER(1+Control!$B$18,J$4-1),0)</f>
        <v>16885.205071875003</v>
      </c>
      <c r="K12" s="8">
        <f>IF(Control!$B$7&gt;0,Control!$B$65*12*POWER(1+Control!$B$18,K$4-1),0)</f>
        <v>17729.465325468751</v>
      </c>
      <c r="L12" s="8">
        <f>IF(Control!$B$7&gt;0,Control!$B$65*12*POWER(1+Control!$B$18,L$4-1),0)</f>
        <v>18615.93859174219</v>
      </c>
      <c r="M12" s="8">
        <f>IF(Control!$B$7&gt;0,Control!$B$65*12*POWER(1+Control!$B$18,M$4-1),0)</f>
        <v>19546.735521329298</v>
      </c>
      <c r="N12" s="8">
        <f>IF(Control!$B$7&gt;0,Control!$B$65*12*POWER(1+Control!$B$18,N$4-1),0)</f>
        <v>20524.072297395764</v>
      </c>
      <c r="O12" s="8">
        <f>IF(Control!$B$7&gt;0,Control!$B$65*12*POWER(1+Control!$B$18,O$4-1),0)</f>
        <v>21550.275912265552</v>
      </c>
      <c r="P12" s="8">
        <f>IF(Control!$B$7&gt;0,Control!$B$65*12*POWER(1+Control!$B$18,P$4-1),0)</f>
        <v>22627.789707878834</v>
      </c>
      <c r="Q12" s="8">
        <f>IF(Control!$B$7&gt;0,Control!$B$65*12*POWER(1+Control!$B$18,Q$4-1),0)</f>
        <v>23759.179193272768</v>
      </c>
      <c r="R12" s="8">
        <f>IF(Control!$B$7&gt;0,Control!$B$65*12*POWER(1+Control!$B$18,R$4-1),0)</f>
        <v>24947.138152936415</v>
      </c>
      <c r="S12" s="8">
        <f>IF(Control!$B$7&gt;0,Control!$B$65*12*POWER(1+Control!$B$18,S$4-1),0)</f>
        <v>26194.495060583231</v>
      </c>
      <c r="T12" s="8">
        <f>IF(Control!$B$7&gt;0,Control!$B$65*12*POWER(1+Control!$B$18,T$4-1),0)</f>
        <v>27504.219813612399</v>
      </c>
      <c r="U12" s="8">
        <f>IF(Control!$B$7&gt;0,Control!$B$65*12*POWER(1+Control!$B$18,U$4-1),0)</f>
        <v>28879.430804293017</v>
      </c>
      <c r="V12" s="8">
        <f>IF(Control!$B$7&gt;0,Control!$B$65*12*POWER(1+Control!$B$18,V$4-1),0)</f>
        <v>30323.402344507667</v>
      </c>
    </row>
    <row r="13" spans="1:22" x14ac:dyDescent="0.3">
      <c r="A13" t="s">
        <v>276</v>
      </c>
      <c r="C13" s="8">
        <f>IF(Control!$B$7&gt;0,Control!$B$66*12*POWER(1+Control!$B$18,C$4-1),0)</f>
        <v>45600</v>
      </c>
      <c r="D13" s="8">
        <f>IF(Control!$B$7&gt;0,Control!$B$66*12*POWER(1+Control!$B$18,D$4-1),0)</f>
        <v>47880</v>
      </c>
      <c r="E13" s="8">
        <f>IF(Control!$B$7&gt;0,Control!$B$66*12*POWER(1+Control!$B$18,E$4-1),0)</f>
        <v>50274</v>
      </c>
      <c r="F13" s="8">
        <f>IF(Control!$B$7&gt;0,Control!$B$66*12*POWER(1+Control!$B$18,F$4-1),0)</f>
        <v>52787.700000000004</v>
      </c>
      <c r="G13" s="8">
        <f>IF(Control!$B$7&gt;0,Control!$B$66*12*POWER(1+Control!$B$18,G$4-1),0)</f>
        <v>55427.084999999999</v>
      </c>
      <c r="H13" s="8">
        <f>IF(Control!$B$7&gt;0,Control!$B$66*12*POWER(1+Control!$B$18,H$4-1),0)</f>
        <v>58198.439250000003</v>
      </c>
      <c r="I13" s="8">
        <f>IF(Control!$B$7&gt;0,Control!$B$66*12*POWER(1+Control!$B$18,I$4-1),0)</f>
        <v>61108.3612125</v>
      </c>
      <c r="J13" s="8">
        <f>IF(Control!$B$7&gt;0,Control!$B$66*12*POWER(1+Control!$B$18,J$4-1),0)</f>
        <v>64163.779273125008</v>
      </c>
      <c r="K13" s="8">
        <f>IF(Control!$B$7&gt;0,Control!$B$66*12*POWER(1+Control!$B$18,K$4-1),0)</f>
        <v>67371.968236781249</v>
      </c>
      <c r="L13" s="8">
        <f>IF(Control!$B$7&gt;0,Control!$B$66*12*POWER(1+Control!$B$18,L$4-1),0)</f>
        <v>70740.566648620326</v>
      </c>
      <c r="M13" s="8">
        <f>IF(Control!$B$7&gt;0,Control!$B$66*12*POWER(1+Control!$B$18,M$4-1),0)</f>
        <v>74277.594981051341</v>
      </c>
      <c r="N13" s="8">
        <f>IF(Control!$B$7&gt;0,Control!$B$66*12*POWER(1+Control!$B$18,N$4-1),0)</f>
        <v>77991.474730103902</v>
      </c>
      <c r="O13" s="8">
        <f>IF(Control!$B$7&gt;0,Control!$B$66*12*POWER(1+Control!$B$18,O$4-1),0)</f>
        <v>81891.048466609092</v>
      </c>
      <c r="P13" s="8">
        <f>IF(Control!$B$7&gt;0,Control!$B$66*12*POWER(1+Control!$B$18,P$4-1),0)</f>
        <v>85985.600889939567</v>
      </c>
      <c r="Q13" s="8">
        <f>IF(Control!$B$7&gt;0,Control!$B$66*12*POWER(1+Control!$B$18,Q$4-1),0)</f>
        <v>90284.880934436515</v>
      </c>
      <c r="R13" s="8">
        <f>IF(Control!$B$7&gt;0,Control!$B$66*12*POWER(1+Control!$B$18,R$4-1),0)</f>
        <v>94799.124981158369</v>
      </c>
      <c r="S13" s="8">
        <f>IF(Control!$B$7&gt;0,Control!$B$66*12*POWER(1+Control!$B$18,S$4-1),0)</f>
        <v>99539.081230216281</v>
      </c>
      <c r="T13" s="8">
        <f>IF(Control!$B$7&gt;0,Control!$B$66*12*POWER(1+Control!$B$18,T$4-1),0)</f>
        <v>104516.03529172711</v>
      </c>
      <c r="U13" s="8">
        <f>IF(Control!$B$7&gt;0,Control!$B$66*12*POWER(1+Control!$B$18,U$4-1),0)</f>
        <v>109741.83705631347</v>
      </c>
      <c r="V13" s="8">
        <f>IF(Control!$B$7&gt;0,Control!$B$66*12*POWER(1+Control!$B$18,V$4-1),0)</f>
        <v>115228.92890912914</v>
      </c>
    </row>
    <row r="14" spans="1:22" x14ac:dyDescent="0.3">
      <c r="A14" t="s">
        <v>266</v>
      </c>
      <c r="C14" s="8">
        <f>C8*Control!$B$26</f>
        <v>21720</v>
      </c>
      <c r="D14" s="8">
        <f>D8*Control!$B$26</f>
        <v>22806</v>
      </c>
      <c r="E14" s="8">
        <f>E8*Control!$B$26</f>
        <v>23946.3</v>
      </c>
      <c r="F14" s="8">
        <f>F8*Control!$B$26</f>
        <v>25143.615000000005</v>
      </c>
      <c r="G14" s="8">
        <f>G8*Control!$B$26</f>
        <v>26400.795750000001</v>
      </c>
      <c r="H14" s="8">
        <f>H8*Control!$B$26</f>
        <v>27720.835537500006</v>
      </c>
      <c r="I14" s="8">
        <f>I8*Control!$B$26</f>
        <v>29106.877314375</v>
      </c>
      <c r="J14" s="8">
        <f>J8*Control!$B$26</f>
        <v>30562.221180093755</v>
      </c>
      <c r="K14" s="8">
        <f>K8*Control!$B$26</f>
        <v>32090.332239098439</v>
      </c>
      <c r="L14" s="8">
        <f>L8*Control!$B$26</f>
        <v>33694.848851053364</v>
      </c>
      <c r="M14" s="8">
        <f>M8*Control!$B$26</f>
        <v>35379.591293606034</v>
      </c>
      <c r="N14" s="8">
        <f>N8*Control!$B$26</f>
        <v>37148.570858286337</v>
      </c>
      <c r="O14" s="8">
        <f>O8*Control!$B$26</f>
        <v>39005.99940120065</v>
      </c>
      <c r="P14" s="8">
        <f>P8*Control!$B$26</f>
        <v>40956.299371260684</v>
      </c>
      <c r="Q14" s="8">
        <f>Q8*Control!$B$26</f>
        <v>43004.114339823704</v>
      </c>
      <c r="R14" s="8">
        <f>R8*Control!$B$26</f>
        <v>45154.320056814904</v>
      </c>
      <c r="S14" s="8">
        <f>S8*Control!$B$26</f>
        <v>47412.036059655649</v>
      </c>
      <c r="T14" s="8">
        <f>T8*Control!$B$26</f>
        <v>49782.637862638439</v>
      </c>
      <c r="U14" s="8">
        <f>U8*Control!$B$26</f>
        <v>52271.769755770358</v>
      </c>
      <c r="V14" s="8">
        <f>V8*Control!$B$26</f>
        <v>54885.358243558883</v>
      </c>
    </row>
    <row r="15" spans="1:22" x14ac:dyDescent="0.3">
      <c r="A15" s="2" t="s">
        <v>267</v>
      </c>
      <c r="C15" s="5">
        <f t="shared" ref="C15:V15" si="1">SUM(C10:C14)</f>
        <v>139920</v>
      </c>
      <c r="D15" s="5">
        <f t="shared" si="1"/>
        <v>146916</v>
      </c>
      <c r="E15" s="5">
        <f t="shared" si="1"/>
        <v>154261.79999999999</v>
      </c>
      <c r="F15" s="5">
        <f t="shared" si="1"/>
        <v>161974.89000000001</v>
      </c>
      <c r="G15" s="5">
        <f t="shared" si="1"/>
        <v>170073.63449999999</v>
      </c>
      <c r="H15" s="5">
        <f t="shared" si="1"/>
        <v>178577.31622500002</v>
      </c>
      <c r="I15" s="5">
        <f t="shared" si="1"/>
        <v>187506.18203625001</v>
      </c>
      <c r="J15" s="5">
        <f t="shared" si="1"/>
        <v>196881.49113806256</v>
      </c>
      <c r="K15" s="5">
        <f t="shared" si="1"/>
        <v>206725.56569496563</v>
      </c>
      <c r="L15" s="5">
        <f t="shared" si="1"/>
        <v>217061.84397971394</v>
      </c>
      <c r="M15" s="5">
        <f t="shared" si="1"/>
        <v>227914.93617869966</v>
      </c>
      <c r="N15" s="5">
        <f t="shared" si="1"/>
        <v>239310.68298763462</v>
      </c>
      <c r="O15" s="5">
        <f t="shared" si="1"/>
        <v>251276.21713701633</v>
      </c>
      <c r="P15" s="5">
        <f t="shared" si="1"/>
        <v>263840.02799386717</v>
      </c>
      <c r="Q15" s="5">
        <f t="shared" si="1"/>
        <v>277032.02939356049</v>
      </c>
      <c r="R15" s="5">
        <f t="shared" si="1"/>
        <v>290883.63086323859</v>
      </c>
      <c r="S15" s="5">
        <f t="shared" si="1"/>
        <v>305427.81240640045</v>
      </c>
      <c r="T15" s="5">
        <f t="shared" si="1"/>
        <v>320699.20302672056</v>
      </c>
      <c r="U15" s="5">
        <f t="shared" si="1"/>
        <v>336734.16317805659</v>
      </c>
      <c r="V15" s="5">
        <f t="shared" si="1"/>
        <v>353570.87133695942</v>
      </c>
    </row>
    <row r="16" spans="1:22" x14ac:dyDescent="0.3">
      <c r="A16" s="11" t="s">
        <v>268</v>
      </c>
      <c r="C16" s="12">
        <f t="shared" ref="C16:V16" si="2">C8-C15</f>
        <v>403080</v>
      </c>
      <c r="D16" s="12">
        <f t="shared" si="2"/>
        <v>423234</v>
      </c>
      <c r="E16" s="12">
        <f t="shared" si="2"/>
        <v>444395.7</v>
      </c>
      <c r="F16" s="12">
        <f t="shared" si="2"/>
        <v>466615.4850000001</v>
      </c>
      <c r="G16" s="12">
        <f t="shared" si="2"/>
        <v>489946.25925000006</v>
      </c>
      <c r="H16" s="12">
        <f t="shared" si="2"/>
        <v>514443.57221250009</v>
      </c>
      <c r="I16" s="12">
        <f t="shared" si="2"/>
        <v>540165.75082312501</v>
      </c>
      <c r="J16" s="12">
        <f t="shared" si="2"/>
        <v>567174.0383642813</v>
      </c>
      <c r="K16" s="12">
        <f t="shared" si="2"/>
        <v>595532.74028249527</v>
      </c>
      <c r="L16" s="12">
        <f t="shared" si="2"/>
        <v>625309.37729662005</v>
      </c>
      <c r="M16" s="12">
        <f t="shared" si="2"/>
        <v>656574.84616145119</v>
      </c>
      <c r="N16" s="12">
        <f t="shared" si="2"/>
        <v>689403.5884695237</v>
      </c>
      <c r="O16" s="12">
        <f t="shared" si="2"/>
        <v>723873.76789299981</v>
      </c>
      <c r="P16" s="12">
        <f t="shared" si="2"/>
        <v>760067.45628764993</v>
      </c>
      <c r="Q16" s="12">
        <f t="shared" si="2"/>
        <v>798070.82910203212</v>
      </c>
      <c r="R16" s="12">
        <f t="shared" si="2"/>
        <v>837974.37055713404</v>
      </c>
      <c r="S16" s="12">
        <f t="shared" si="2"/>
        <v>879873.08908499079</v>
      </c>
      <c r="T16" s="12">
        <f t="shared" si="2"/>
        <v>923866.74353924044</v>
      </c>
      <c r="U16" s="12">
        <f t="shared" si="2"/>
        <v>970060.08071620238</v>
      </c>
      <c r="V16" s="12">
        <f t="shared" si="2"/>
        <v>1018563.0847520126</v>
      </c>
    </row>
    <row r="17" spans="1:22" x14ac:dyDescent="0.3">
      <c r="A17" t="s">
        <v>269</v>
      </c>
      <c r="C17" s="8">
        <f>-C16*Control!$B$23</f>
        <v>-108831.6</v>
      </c>
      <c r="D17" s="8">
        <f>-D16*Control!$B$23</f>
        <v>-114273.18000000001</v>
      </c>
      <c r="E17" s="8">
        <f>-E16*Control!$B$23</f>
        <v>-119986.83900000001</v>
      </c>
      <c r="F17" s="8">
        <f>-F16*Control!$B$23</f>
        <v>-125986.18095000004</v>
      </c>
      <c r="G17" s="8">
        <f>-G16*Control!$B$23</f>
        <v>-132285.48999750003</v>
      </c>
      <c r="H17" s="8">
        <f>-H16*Control!$B$23</f>
        <v>-138899.76449737503</v>
      </c>
      <c r="I17" s="8">
        <f>-I16*Control!$B$23</f>
        <v>-145844.75272224375</v>
      </c>
      <c r="J17" s="8">
        <f>-J16*Control!$B$23</f>
        <v>-153136.99035835595</v>
      </c>
      <c r="K17" s="8">
        <f>-K16*Control!$B$23</f>
        <v>-160793.83987627373</v>
      </c>
      <c r="L17" s="8">
        <f>-L16*Control!$B$23</f>
        <v>-168833.53187008743</v>
      </c>
      <c r="M17" s="8">
        <f>-M16*Control!$B$23</f>
        <v>-177275.20846359184</v>
      </c>
      <c r="N17" s="8">
        <f>-N16*Control!$B$23</f>
        <v>-186138.96888677141</v>
      </c>
      <c r="O17" s="8">
        <f>-O16*Control!$B$23</f>
        <v>-195445.91733110996</v>
      </c>
      <c r="P17" s="8">
        <f>-P16*Control!$B$23</f>
        <v>-205218.21319766549</v>
      </c>
      <c r="Q17" s="8">
        <f>-Q16*Control!$B$23</f>
        <v>-215479.12385754869</v>
      </c>
      <c r="R17" s="8">
        <f>-R16*Control!$B$23</f>
        <v>-226253.08005042622</v>
      </c>
      <c r="S17" s="8">
        <f>-S16*Control!$B$23</f>
        <v>-237565.73405294752</v>
      </c>
      <c r="T17" s="8">
        <f>-T16*Control!$B$23</f>
        <v>-249444.02075559495</v>
      </c>
      <c r="U17" s="8">
        <f>-U16*Control!$B$23</f>
        <v>-261916.22179337466</v>
      </c>
      <c r="V17" s="8">
        <f>-V16*Control!$B$23</f>
        <v>-275012.0328830434</v>
      </c>
    </row>
    <row r="18" spans="1:22" x14ac:dyDescent="0.3">
      <c r="A18" s="11" t="s">
        <v>270</v>
      </c>
      <c r="C18" s="12">
        <f t="shared" ref="C18:V18" si="3">C16+C17</f>
        <v>294248.40000000002</v>
      </c>
      <c r="D18" s="12">
        <f t="shared" si="3"/>
        <v>308960.82</v>
      </c>
      <c r="E18" s="12">
        <f t="shared" si="3"/>
        <v>324408.86100000003</v>
      </c>
      <c r="F18" s="12">
        <f t="shared" si="3"/>
        <v>340629.30405000004</v>
      </c>
      <c r="G18" s="12">
        <f t="shared" si="3"/>
        <v>357660.76925250003</v>
      </c>
      <c r="H18" s="12">
        <f t="shared" si="3"/>
        <v>375543.80771512503</v>
      </c>
      <c r="I18" s="12">
        <f t="shared" si="3"/>
        <v>394320.99810088123</v>
      </c>
      <c r="J18" s="12">
        <f t="shared" si="3"/>
        <v>414037.04800592538</v>
      </c>
      <c r="K18" s="12">
        <f t="shared" si="3"/>
        <v>434738.90040622151</v>
      </c>
      <c r="L18" s="12">
        <f t="shared" si="3"/>
        <v>456475.84542653261</v>
      </c>
      <c r="M18" s="12">
        <f t="shared" si="3"/>
        <v>479299.63769785932</v>
      </c>
      <c r="N18" s="12">
        <f t="shared" si="3"/>
        <v>503264.61958275229</v>
      </c>
      <c r="O18" s="12">
        <f t="shared" si="3"/>
        <v>528427.85056188982</v>
      </c>
      <c r="P18" s="12">
        <f t="shared" si="3"/>
        <v>554849.2430899844</v>
      </c>
      <c r="Q18" s="12">
        <f t="shared" si="3"/>
        <v>582591.70524448343</v>
      </c>
      <c r="R18" s="12">
        <f t="shared" si="3"/>
        <v>611721.29050670785</v>
      </c>
      <c r="S18" s="12">
        <f t="shared" si="3"/>
        <v>642307.3550320433</v>
      </c>
      <c r="T18" s="12">
        <f t="shared" si="3"/>
        <v>674422.7227836455</v>
      </c>
      <c r="U18" s="12">
        <f t="shared" si="3"/>
        <v>708143.85892282776</v>
      </c>
      <c r="V18" s="12">
        <f t="shared" si="3"/>
        <v>743551.05186896923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C2E6"/>
  </sheetPr>
  <dimension ref="A1:V15"/>
  <sheetViews>
    <sheetView workbookViewId="0">
      <selection activeCell="A16" sqref="A16:XFD16"/>
    </sheetView>
  </sheetViews>
  <sheetFormatPr defaultRowHeight="14.4" x14ac:dyDescent="0.3"/>
  <cols>
    <col min="1" max="1" width="48.44140625" bestFit="1" customWidth="1"/>
    <col min="3" max="10" width="7.44140625" bestFit="1" customWidth="1"/>
    <col min="11" max="22" width="8.109375" bestFit="1" customWidth="1"/>
  </cols>
  <sheetData>
    <row r="1" spans="1:22" ht="18" customHeight="1" x14ac:dyDescent="0.35">
      <c r="A1" s="1" t="s">
        <v>277</v>
      </c>
    </row>
    <row r="2" spans="1:22" x14ac:dyDescent="0.3">
      <c r="A2" s="88" t="s">
        <v>278</v>
      </c>
    </row>
    <row r="4" spans="1:22" x14ac:dyDescent="0.3">
      <c r="A4" s="2" t="s">
        <v>247</v>
      </c>
      <c r="C4" s="6">
        <v>1</v>
      </c>
      <c r="D4" s="6">
        <v>2</v>
      </c>
      <c r="E4" s="6">
        <v>3</v>
      </c>
      <c r="F4" s="6">
        <v>4</v>
      </c>
      <c r="G4" s="6">
        <v>5</v>
      </c>
      <c r="H4" s="6">
        <v>6</v>
      </c>
      <c r="I4" s="6">
        <v>7</v>
      </c>
      <c r="J4" s="6">
        <v>8</v>
      </c>
      <c r="K4" s="6">
        <v>9</v>
      </c>
      <c r="L4" s="6">
        <v>10</v>
      </c>
      <c r="M4" s="6">
        <v>11</v>
      </c>
      <c r="N4" s="6">
        <v>12</v>
      </c>
      <c r="O4" s="6">
        <v>13</v>
      </c>
      <c r="P4" s="6">
        <v>14</v>
      </c>
      <c r="Q4" s="6">
        <v>15</v>
      </c>
      <c r="R4" s="6">
        <v>16</v>
      </c>
      <c r="S4" s="6">
        <v>17</v>
      </c>
      <c r="T4" s="6">
        <v>18</v>
      </c>
      <c r="U4" s="6">
        <v>19</v>
      </c>
      <c r="V4" s="6">
        <v>20</v>
      </c>
    </row>
    <row r="6" spans="1:22" x14ac:dyDescent="0.3">
      <c r="A6" s="9" t="s">
        <v>279</v>
      </c>
      <c r="C6" s="10">
        <f>IF(Control!$B$8&gt;0,Control!$B$68*12*POWER(1+Control!$B$17,C$4-1),0)</f>
        <v>336000</v>
      </c>
      <c r="D6" s="10">
        <f>IF(Control!$B$8&gt;0,Control!$B$68*12*POWER(1+Control!$B$17,D$4-1),0)</f>
        <v>352800</v>
      </c>
      <c r="E6" s="10">
        <f>IF(Control!$B$8&gt;0,Control!$B$68*12*POWER(1+Control!$B$17,E$4-1),0)</f>
        <v>370440</v>
      </c>
      <c r="F6" s="10">
        <f>IF(Control!$B$8&gt;0,Control!$B$68*12*POWER(1+Control!$B$17,F$4-1),0)</f>
        <v>388962.00000000006</v>
      </c>
      <c r="G6" s="10">
        <f>IF(Control!$B$8&gt;0,Control!$B$68*12*POWER(1+Control!$B$17,G$4-1),0)</f>
        <v>408410.1</v>
      </c>
      <c r="H6" s="10">
        <f>IF(Control!$B$8&gt;0,Control!$B$68*12*POWER(1+Control!$B$17,H$4-1),0)</f>
        <v>428830.60500000004</v>
      </c>
      <c r="I6" s="10">
        <f>IF(Control!$B$8&gt;0,Control!$B$68*12*POWER(1+Control!$B$17,I$4-1),0)</f>
        <v>450272.13524999999</v>
      </c>
      <c r="J6" s="10">
        <f>IF(Control!$B$8&gt;0,Control!$B$68*12*POWER(1+Control!$B$17,J$4-1),0)</f>
        <v>472785.74201250006</v>
      </c>
      <c r="K6" s="10">
        <f>IF(Control!$B$8&gt;0,Control!$B$68*12*POWER(1+Control!$B$17,K$4-1),0)</f>
        <v>496425.029113125</v>
      </c>
      <c r="L6" s="10">
        <f>IF(Control!$B$8&gt;0,Control!$B$68*12*POWER(1+Control!$B$17,L$4-1),0)</f>
        <v>521246.28056878131</v>
      </c>
      <c r="M6" s="10">
        <f>IF(Control!$B$8&gt;0,Control!$B$68*12*POWER(1+Control!$B$17,M$4-1),0)</f>
        <v>547308.59459722042</v>
      </c>
      <c r="N6" s="10">
        <f>IF(Control!$B$8&gt;0,Control!$B$68*12*POWER(1+Control!$B$17,N$4-1),0)</f>
        <v>574674.0243270814</v>
      </c>
      <c r="O6" s="10">
        <f>IF(Control!$B$8&gt;0,Control!$B$68*12*POWER(1+Control!$B$17,O$4-1),0)</f>
        <v>603407.72554343543</v>
      </c>
      <c r="P6" s="10">
        <f>IF(Control!$B$8&gt;0,Control!$B$68*12*POWER(1+Control!$B$17,P$4-1),0)</f>
        <v>633578.11182060733</v>
      </c>
      <c r="Q6" s="10">
        <f>IF(Control!$B$8&gt;0,Control!$B$68*12*POWER(1+Control!$B$17,Q$4-1),0)</f>
        <v>665257.01741163747</v>
      </c>
      <c r="R6" s="10">
        <f>IF(Control!$B$8&gt;0,Control!$B$68*12*POWER(1+Control!$B$17,R$4-1),0)</f>
        <v>698519.86828221963</v>
      </c>
      <c r="S6" s="10">
        <f>IF(Control!$B$8&gt;0,Control!$B$68*12*POWER(1+Control!$B$17,S$4-1),0)</f>
        <v>733445.86169633048</v>
      </c>
      <c r="T6" s="10">
        <f>IF(Control!$B$8&gt;0,Control!$B$68*12*POWER(1+Control!$B$17,T$4-1),0)</f>
        <v>770118.15478114714</v>
      </c>
      <c r="U6" s="10">
        <f>IF(Control!$B$8&gt;0,Control!$B$68*12*POWER(1+Control!$B$17,U$4-1),0)</f>
        <v>808624.06252020446</v>
      </c>
      <c r="V6" s="10">
        <f>IF(Control!$B$8&gt;0,Control!$B$68*12*POWER(1+Control!$B$17,V$4-1),0)</f>
        <v>849055.26564621471</v>
      </c>
    </row>
    <row r="7" spans="1:22" x14ac:dyDescent="0.3">
      <c r="A7" s="2" t="s">
        <v>258</v>
      </c>
    </row>
    <row r="8" spans="1:22" x14ac:dyDescent="0.3">
      <c r="A8" t="s">
        <v>263</v>
      </c>
      <c r="C8" s="8">
        <f>IF(Control!$B$8&gt;0,Control!$B$70*12*POWER(1+Control!$B$18,C$4-1),0)</f>
        <v>10800</v>
      </c>
      <c r="D8" s="8">
        <f>IF(Control!$B$8&gt;0,Control!$B$70*12*POWER(1+Control!$B$18,D$4-1),0)</f>
        <v>11340</v>
      </c>
      <c r="E8" s="8">
        <f>IF(Control!$B$8&gt;0,Control!$B$70*12*POWER(1+Control!$B$18,E$4-1),0)</f>
        <v>11907</v>
      </c>
      <c r="F8" s="8">
        <f>IF(Control!$B$8&gt;0,Control!$B$70*12*POWER(1+Control!$B$18,F$4-1),0)</f>
        <v>12502.350000000002</v>
      </c>
      <c r="G8" s="8">
        <f>IF(Control!$B$8&gt;0,Control!$B$70*12*POWER(1+Control!$B$18,G$4-1),0)</f>
        <v>13127.467500000001</v>
      </c>
      <c r="H8" s="8">
        <f>IF(Control!$B$8&gt;0,Control!$B$70*12*POWER(1+Control!$B$18,H$4-1),0)</f>
        <v>13783.840875000002</v>
      </c>
      <c r="I8" s="8">
        <f>IF(Control!$B$8&gt;0,Control!$B$70*12*POWER(1+Control!$B$18,I$4-1),0)</f>
        <v>14473.032918749999</v>
      </c>
      <c r="J8" s="8">
        <f>IF(Control!$B$8&gt;0,Control!$B$70*12*POWER(1+Control!$B$18,J$4-1),0)</f>
        <v>15196.684564687503</v>
      </c>
      <c r="K8" s="8">
        <f>IF(Control!$B$8&gt;0,Control!$B$70*12*POWER(1+Control!$B$18,K$4-1),0)</f>
        <v>15956.518792921876</v>
      </c>
      <c r="L8" s="8">
        <f>IF(Control!$B$8&gt;0,Control!$B$70*12*POWER(1+Control!$B$18,L$4-1),0)</f>
        <v>16754.34473256797</v>
      </c>
      <c r="M8" s="8">
        <f>IF(Control!$B$8&gt;0,Control!$B$70*12*POWER(1+Control!$B$18,M$4-1),0)</f>
        <v>17592.061969196369</v>
      </c>
      <c r="N8" s="8">
        <f>IF(Control!$B$8&gt;0,Control!$B$70*12*POWER(1+Control!$B$18,N$4-1),0)</f>
        <v>18471.665067656188</v>
      </c>
      <c r="O8" s="8">
        <f>IF(Control!$B$8&gt;0,Control!$B$70*12*POWER(1+Control!$B$18,O$4-1),0)</f>
        <v>19395.248321038995</v>
      </c>
      <c r="P8" s="8">
        <f>IF(Control!$B$8&gt;0,Control!$B$70*12*POWER(1+Control!$B$18,P$4-1),0)</f>
        <v>20365.01073709095</v>
      </c>
      <c r="Q8" s="8">
        <f>IF(Control!$B$8&gt;0,Control!$B$70*12*POWER(1+Control!$B$18,Q$4-1),0)</f>
        <v>21383.261273945493</v>
      </c>
      <c r="R8" s="8">
        <f>IF(Control!$B$8&gt;0,Control!$B$70*12*POWER(1+Control!$B$18,R$4-1),0)</f>
        <v>22452.424337642773</v>
      </c>
      <c r="S8" s="8">
        <f>IF(Control!$B$8&gt;0,Control!$B$70*12*POWER(1+Control!$B$18,S$4-1),0)</f>
        <v>23575.04555452491</v>
      </c>
      <c r="T8" s="8">
        <f>IF(Control!$B$8&gt;0,Control!$B$70*12*POWER(1+Control!$B$18,T$4-1),0)</f>
        <v>24753.797832251159</v>
      </c>
      <c r="U8" s="8">
        <f>IF(Control!$B$8&gt;0,Control!$B$70*12*POWER(1+Control!$B$18,U$4-1),0)</f>
        <v>25991.487723863716</v>
      </c>
      <c r="V8" s="8">
        <f>IF(Control!$B$8&gt;0,Control!$B$70*12*POWER(1+Control!$B$18,V$4-1),0)</f>
        <v>27291.062110056901</v>
      </c>
    </row>
    <row r="9" spans="1:22" x14ac:dyDescent="0.3">
      <c r="A9" t="s">
        <v>264</v>
      </c>
      <c r="C9" s="8">
        <f>IF(Control!$B$8&gt;0,Control!$B$71*12*POWER(1+Control!$B$18,C$4-1),0)</f>
        <v>12000</v>
      </c>
      <c r="D9" s="8">
        <f>IF(Control!$B$8&gt;0,Control!$B$71*12*POWER(1+Control!$B$18,D$4-1),0)</f>
        <v>12600</v>
      </c>
      <c r="E9" s="8">
        <f>IF(Control!$B$8&gt;0,Control!$B$71*12*POWER(1+Control!$B$18,E$4-1),0)</f>
        <v>13230</v>
      </c>
      <c r="F9" s="8">
        <f>IF(Control!$B$8&gt;0,Control!$B$71*12*POWER(1+Control!$B$18,F$4-1),0)</f>
        <v>13891.500000000002</v>
      </c>
      <c r="G9" s="8">
        <f>IF(Control!$B$8&gt;0,Control!$B$71*12*POWER(1+Control!$B$18,G$4-1),0)</f>
        <v>14586.075000000001</v>
      </c>
      <c r="H9" s="8">
        <f>IF(Control!$B$8&gt;0,Control!$B$71*12*POWER(1+Control!$B$18,H$4-1),0)</f>
        <v>15315.378750000002</v>
      </c>
      <c r="I9" s="8">
        <f>IF(Control!$B$8&gt;0,Control!$B$71*12*POWER(1+Control!$B$18,I$4-1),0)</f>
        <v>16081.147687499999</v>
      </c>
      <c r="J9" s="8">
        <f>IF(Control!$B$8&gt;0,Control!$B$71*12*POWER(1+Control!$B$18,J$4-1),0)</f>
        <v>16885.205071875003</v>
      </c>
      <c r="K9" s="8">
        <f>IF(Control!$B$8&gt;0,Control!$B$71*12*POWER(1+Control!$B$18,K$4-1),0)</f>
        <v>17729.465325468751</v>
      </c>
      <c r="L9" s="8">
        <f>IF(Control!$B$8&gt;0,Control!$B$71*12*POWER(1+Control!$B$18,L$4-1),0)</f>
        <v>18615.93859174219</v>
      </c>
      <c r="M9" s="8">
        <f>IF(Control!$B$8&gt;0,Control!$B$71*12*POWER(1+Control!$B$18,M$4-1),0)</f>
        <v>19546.735521329298</v>
      </c>
      <c r="N9" s="8">
        <f>IF(Control!$B$8&gt;0,Control!$B$71*12*POWER(1+Control!$B$18,N$4-1),0)</f>
        <v>20524.072297395764</v>
      </c>
      <c r="O9" s="8">
        <f>IF(Control!$B$8&gt;0,Control!$B$71*12*POWER(1+Control!$B$18,O$4-1),0)</f>
        <v>21550.275912265552</v>
      </c>
      <c r="P9" s="8">
        <f>IF(Control!$B$8&gt;0,Control!$B$71*12*POWER(1+Control!$B$18,P$4-1),0)</f>
        <v>22627.789707878834</v>
      </c>
      <c r="Q9" s="8">
        <f>IF(Control!$B$8&gt;0,Control!$B$71*12*POWER(1+Control!$B$18,Q$4-1),0)</f>
        <v>23759.179193272768</v>
      </c>
      <c r="R9" s="8">
        <f>IF(Control!$B$8&gt;0,Control!$B$71*12*POWER(1+Control!$B$18,R$4-1),0)</f>
        <v>24947.138152936415</v>
      </c>
      <c r="S9" s="8">
        <f>IF(Control!$B$8&gt;0,Control!$B$71*12*POWER(1+Control!$B$18,S$4-1),0)</f>
        <v>26194.495060583231</v>
      </c>
      <c r="T9" s="8">
        <f>IF(Control!$B$8&gt;0,Control!$B$71*12*POWER(1+Control!$B$18,T$4-1),0)</f>
        <v>27504.219813612399</v>
      </c>
      <c r="U9" s="8">
        <f>IF(Control!$B$8&gt;0,Control!$B$71*12*POWER(1+Control!$B$18,U$4-1),0)</f>
        <v>28879.430804293017</v>
      </c>
      <c r="V9" s="8">
        <f>IF(Control!$B$8&gt;0,Control!$B$71*12*POWER(1+Control!$B$18,V$4-1),0)</f>
        <v>30323.402344507667</v>
      </c>
    </row>
    <row r="10" spans="1:22" x14ac:dyDescent="0.3">
      <c r="A10" t="s">
        <v>280</v>
      </c>
      <c r="C10" s="8">
        <f>IF(Control!$B$8&gt;0,Control!$B$72*12*POWER(1+Control!$B$18,C$4-1),0)</f>
        <v>42000</v>
      </c>
      <c r="D10" s="8">
        <f>IF(Control!$B$8&gt;0,Control!$B$72*12*POWER(1+Control!$B$18,D$4-1),0)</f>
        <v>44100</v>
      </c>
      <c r="E10" s="8">
        <f>IF(Control!$B$8&gt;0,Control!$B$72*12*POWER(1+Control!$B$18,E$4-1),0)</f>
        <v>46305</v>
      </c>
      <c r="F10" s="8">
        <f>IF(Control!$B$8&gt;0,Control!$B$72*12*POWER(1+Control!$B$18,F$4-1),0)</f>
        <v>48620.250000000007</v>
      </c>
      <c r="G10" s="8">
        <f>IF(Control!$B$8&gt;0,Control!$B$72*12*POWER(1+Control!$B$18,G$4-1),0)</f>
        <v>51051.262499999997</v>
      </c>
      <c r="H10" s="8">
        <f>IF(Control!$B$8&gt;0,Control!$B$72*12*POWER(1+Control!$B$18,H$4-1),0)</f>
        <v>53603.825625000005</v>
      </c>
      <c r="I10" s="8">
        <f>IF(Control!$B$8&gt;0,Control!$B$72*12*POWER(1+Control!$B$18,I$4-1),0)</f>
        <v>56284.016906249999</v>
      </c>
      <c r="J10" s="8">
        <f>IF(Control!$B$8&gt;0,Control!$B$72*12*POWER(1+Control!$B$18,J$4-1),0)</f>
        <v>59098.217751562508</v>
      </c>
      <c r="K10" s="8">
        <f>IF(Control!$B$8&gt;0,Control!$B$72*12*POWER(1+Control!$B$18,K$4-1),0)</f>
        <v>62053.128639140625</v>
      </c>
      <c r="L10" s="8">
        <f>IF(Control!$B$8&gt;0,Control!$B$72*12*POWER(1+Control!$B$18,L$4-1),0)</f>
        <v>65155.785071097664</v>
      </c>
      <c r="M10" s="8">
        <f>IF(Control!$B$8&gt;0,Control!$B$72*12*POWER(1+Control!$B$18,M$4-1),0)</f>
        <v>68413.574324652553</v>
      </c>
      <c r="N10" s="8">
        <f>IF(Control!$B$8&gt;0,Control!$B$72*12*POWER(1+Control!$B$18,N$4-1),0)</f>
        <v>71834.253040885174</v>
      </c>
      <c r="O10" s="8">
        <f>IF(Control!$B$8&gt;0,Control!$B$72*12*POWER(1+Control!$B$18,O$4-1),0)</f>
        <v>75425.965692929429</v>
      </c>
      <c r="P10" s="8">
        <f>IF(Control!$B$8&gt;0,Control!$B$72*12*POWER(1+Control!$B$18,P$4-1),0)</f>
        <v>79197.263977575916</v>
      </c>
      <c r="Q10" s="8">
        <f>IF(Control!$B$8&gt;0,Control!$B$72*12*POWER(1+Control!$B$18,Q$4-1),0)</f>
        <v>83157.127176454684</v>
      </c>
      <c r="R10" s="8">
        <f>IF(Control!$B$8&gt;0,Control!$B$72*12*POWER(1+Control!$B$18,R$4-1),0)</f>
        <v>87314.983535277453</v>
      </c>
      <c r="S10" s="8">
        <f>IF(Control!$B$8&gt;0,Control!$B$72*12*POWER(1+Control!$B$18,S$4-1),0)</f>
        <v>91680.73271204131</v>
      </c>
      <c r="T10" s="8">
        <f>IF(Control!$B$8&gt;0,Control!$B$72*12*POWER(1+Control!$B$18,T$4-1),0)</f>
        <v>96264.769347643392</v>
      </c>
      <c r="U10" s="8">
        <f>IF(Control!$B$8&gt;0,Control!$B$72*12*POWER(1+Control!$B$18,U$4-1),0)</f>
        <v>101078.00781502556</v>
      </c>
      <c r="V10" s="8">
        <f>IF(Control!$B$8&gt;0,Control!$B$72*12*POWER(1+Control!$B$18,V$4-1),0)</f>
        <v>106131.90820577684</v>
      </c>
    </row>
    <row r="11" spans="1:22" x14ac:dyDescent="0.3">
      <c r="A11" t="s">
        <v>266</v>
      </c>
      <c r="C11" s="8">
        <f>C6*Control!$B$26</f>
        <v>13440</v>
      </c>
      <c r="D11" s="8">
        <f>D6*Control!$B$26</f>
        <v>14112</v>
      </c>
      <c r="E11" s="8">
        <f>E6*Control!$B$26</f>
        <v>14817.6</v>
      </c>
      <c r="F11" s="8">
        <f>F6*Control!$B$26</f>
        <v>15558.480000000003</v>
      </c>
      <c r="G11" s="8">
        <f>G6*Control!$B$26</f>
        <v>16336.403999999999</v>
      </c>
      <c r="H11" s="8">
        <f>H6*Control!$B$26</f>
        <v>17153.224200000001</v>
      </c>
      <c r="I11" s="8">
        <f>I6*Control!$B$26</f>
        <v>18010.885409999999</v>
      </c>
      <c r="J11" s="8">
        <f>J6*Control!$B$26</f>
        <v>18911.429680500001</v>
      </c>
      <c r="K11" s="8">
        <f>K6*Control!$B$26</f>
        <v>19857.001164525002</v>
      </c>
      <c r="L11" s="8">
        <f>L6*Control!$B$26</f>
        <v>20849.851222751251</v>
      </c>
      <c r="M11" s="8">
        <f>M6*Control!$B$26</f>
        <v>21892.343783888817</v>
      </c>
      <c r="N11" s="8">
        <f>N6*Control!$B$26</f>
        <v>22986.960973083256</v>
      </c>
      <c r="O11" s="8">
        <f>O6*Control!$B$26</f>
        <v>24136.309021737419</v>
      </c>
      <c r="P11" s="8">
        <f>P6*Control!$B$26</f>
        <v>25343.124472824293</v>
      </c>
      <c r="Q11" s="8">
        <f>Q6*Control!$B$26</f>
        <v>26610.280696465499</v>
      </c>
      <c r="R11" s="8">
        <f>R6*Control!$B$26</f>
        <v>27940.794731288785</v>
      </c>
      <c r="S11" s="8">
        <f>S6*Control!$B$26</f>
        <v>29337.834467853219</v>
      </c>
      <c r="T11" s="8">
        <f>T6*Control!$B$26</f>
        <v>30804.726191245885</v>
      </c>
      <c r="U11" s="8">
        <f>U6*Control!$B$26</f>
        <v>32344.962500808178</v>
      </c>
      <c r="V11" s="8">
        <f>V6*Control!$B$26</f>
        <v>33962.210625848587</v>
      </c>
    </row>
    <row r="12" spans="1:22" x14ac:dyDescent="0.3">
      <c r="A12" s="2" t="s">
        <v>267</v>
      </c>
      <c r="C12" s="5">
        <f t="shared" ref="C12:V12" si="0">SUM(C8:C11)</f>
        <v>78240</v>
      </c>
      <c r="D12" s="5">
        <f t="shared" si="0"/>
        <v>82152</v>
      </c>
      <c r="E12" s="5">
        <f t="shared" si="0"/>
        <v>86259.6</v>
      </c>
      <c r="F12" s="5">
        <f t="shared" si="0"/>
        <v>90572.580000000016</v>
      </c>
      <c r="G12" s="5">
        <f t="shared" si="0"/>
        <v>95101.208999999988</v>
      </c>
      <c r="H12" s="5">
        <f t="shared" si="0"/>
        <v>99856.269450000007</v>
      </c>
      <c r="I12" s="5">
        <f t="shared" si="0"/>
        <v>104849.08292249999</v>
      </c>
      <c r="J12" s="5">
        <f t="shared" si="0"/>
        <v>110091.53706862501</v>
      </c>
      <c r="K12" s="5">
        <f t="shared" si="0"/>
        <v>115596.11392205626</v>
      </c>
      <c r="L12" s="5">
        <f t="shared" si="0"/>
        <v>121375.91961815908</v>
      </c>
      <c r="M12" s="5">
        <f t="shared" si="0"/>
        <v>127444.71559906704</v>
      </c>
      <c r="N12" s="5">
        <f t="shared" si="0"/>
        <v>133816.95137902038</v>
      </c>
      <c r="O12" s="5">
        <f t="shared" si="0"/>
        <v>140507.7989479714</v>
      </c>
      <c r="P12" s="5">
        <f t="shared" si="0"/>
        <v>147533.18889537</v>
      </c>
      <c r="Q12" s="5">
        <f t="shared" si="0"/>
        <v>154909.84834013844</v>
      </c>
      <c r="R12" s="5">
        <f t="shared" si="0"/>
        <v>162655.34075714543</v>
      </c>
      <c r="S12" s="5">
        <f t="shared" si="0"/>
        <v>170788.10779500267</v>
      </c>
      <c r="T12" s="5">
        <f t="shared" si="0"/>
        <v>179327.51318475284</v>
      </c>
      <c r="U12" s="5">
        <f t="shared" si="0"/>
        <v>188293.88884399045</v>
      </c>
      <c r="V12" s="5">
        <f t="shared" si="0"/>
        <v>197708.58328619</v>
      </c>
    </row>
    <row r="13" spans="1:22" x14ac:dyDescent="0.3">
      <c r="A13" s="11" t="s">
        <v>268</v>
      </c>
      <c r="C13" s="12">
        <f t="shared" ref="C13:V13" si="1">C6-C12</f>
        <v>257760</v>
      </c>
      <c r="D13" s="12">
        <f t="shared" si="1"/>
        <v>270648</v>
      </c>
      <c r="E13" s="12">
        <f t="shared" si="1"/>
        <v>284180.40000000002</v>
      </c>
      <c r="F13" s="12">
        <f t="shared" si="1"/>
        <v>298389.42000000004</v>
      </c>
      <c r="G13" s="12">
        <f t="shared" si="1"/>
        <v>313308.891</v>
      </c>
      <c r="H13" s="12">
        <f t="shared" si="1"/>
        <v>328974.33555000002</v>
      </c>
      <c r="I13" s="12">
        <f t="shared" si="1"/>
        <v>345423.05232750002</v>
      </c>
      <c r="J13" s="12">
        <f t="shared" si="1"/>
        <v>362694.20494387508</v>
      </c>
      <c r="K13" s="12">
        <f t="shared" si="1"/>
        <v>380828.91519106872</v>
      </c>
      <c r="L13" s="12">
        <f t="shared" si="1"/>
        <v>399870.36095062224</v>
      </c>
      <c r="M13" s="12">
        <f t="shared" si="1"/>
        <v>419863.87899815338</v>
      </c>
      <c r="N13" s="12">
        <f t="shared" si="1"/>
        <v>440857.07294806105</v>
      </c>
      <c r="O13" s="12">
        <f t="shared" si="1"/>
        <v>462899.926595464</v>
      </c>
      <c r="P13" s="12">
        <f t="shared" si="1"/>
        <v>486044.92292523733</v>
      </c>
      <c r="Q13" s="12">
        <f t="shared" si="1"/>
        <v>510347.16907149903</v>
      </c>
      <c r="R13" s="12">
        <f t="shared" si="1"/>
        <v>535864.5275250742</v>
      </c>
      <c r="S13" s="12">
        <f t="shared" si="1"/>
        <v>562657.75390132784</v>
      </c>
      <c r="T13" s="12">
        <f t="shared" si="1"/>
        <v>590790.64159639436</v>
      </c>
      <c r="U13" s="12">
        <f t="shared" si="1"/>
        <v>620330.17367621395</v>
      </c>
      <c r="V13" s="12">
        <f t="shared" si="1"/>
        <v>651346.68236002466</v>
      </c>
    </row>
    <row r="14" spans="1:22" x14ac:dyDescent="0.3">
      <c r="A14" t="s">
        <v>269</v>
      </c>
      <c r="C14" s="8">
        <f>-C13*Control!$B$23</f>
        <v>-69595.200000000012</v>
      </c>
      <c r="D14" s="8">
        <f>-D13*Control!$B$23</f>
        <v>-73074.960000000006</v>
      </c>
      <c r="E14" s="8">
        <f>-E13*Control!$B$23</f>
        <v>-76728.708000000013</v>
      </c>
      <c r="F14" s="8">
        <f>-F13*Control!$B$23</f>
        <v>-80565.143400000015</v>
      </c>
      <c r="G14" s="8">
        <f>-G13*Control!$B$23</f>
        <v>-84593.400570000013</v>
      </c>
      <c r="H14" s="8">
        <f>-H13*Control!$B$23</f>
        <v>-88823.07059850001</v>
      </c>
      <c r="I14" s="8">
        <f>-I13*Control!$B$23</f>
        <v>-93264.224128425005</v>
      </c>
      <c r="J14" s="8">
        <f>-J13*Control!$B$23</f>
        <v>-97927.435334846276</v>
      </c>
      <c r="K14" s="8">
        <f>-K13*Control!$B$23</f>
        <v>-102823.80710158857</v>
      </c>
      <c r="L14" s="8">
        <f>-L13*Control!$B$23</f>
        <v>-107964.99745666802</v>
      </c>
      <c r="M14" s="8">
        <f>-M13*Control!$B$23</f>
        <v>-113363.24732950142</v>
      </c>
      <c r="N14" s="8">
        <f>-N13*Control!$B$23</f>
        <v>-119031.40969597649</v>
      </c>
      <c r="O14" s="8">
        <f>-O13*Control!$B$23</f>
        <v>-124982.98018077528</v>
      </c>
      <c r="P14" s="8">
        <f>-P13*Control!$B$23</f>
        <v>-131232.12918981409</v>
      </c>
      <c r="Q14" s="8">
        <f>-Q13*Control!$B$23</f>
        <v>-137793.73564930476</v>
      </c>
      <c r="R14" s="8">
        <f>-R13*Control!$B$23</f>
        <v>-144683.42243177004</v>
      </c>
      <c r="S14" s="8">
        <f>-S13*Control!$B$23</f>
        <v>-151917.59355335851</v>
      </c>
      <c r="T14" s="8">
        <f>-T13*Control!$B$23</f>
        <v>-159513.4732310265</v>
      </c>
      <c r="U14" s="8">
        <f>-U13*Control!$B$23</f>
        <v>-167489.14689257779</v>
      </c>
      <c r="V14" s="8">
        <f>-V13*Control!$B$23</f>
        <v>-175863.60423720666</v>
      </c>
    </row>
    <row r="15" spans="1:22" x14ac:dyDescent="0.3">
      <c r="A15" s="11" t="s">
        <v>270</v>
      </c>
      <c r="C15" s="12">
        <f t="shared" ref="C15:V15" si="2">C13+C14</f>
        <v>188164.8</v>
      </c>
      <c r="D15" s="12">
        <f t="shared" si="2"/>
        <v>197573.03999999998</v>
      </c>
      <c r="E15" s="12">
        <f t="shared" si="2"/>
        <v>207451.69200000001</v>
      </c>
      <c r="F15" s="12">
        <f t="shared" si="2"/>
        <v>217824.27660000004</v>
      </c>
      <c r="G15" s="12">
        <f t="shared" si="2"/>
        <v>228715.49043000001</v>
      </c>
      <c r="H15" s="12">
        <f t="shared" si="2"/>
        <v>240151.26495149999</v>
      </c>
      <c r="I15" s="12">
        <f t="shared" si="2"/>
        <v>252158.82819907501</v>
      </c>
      <c r="J15" s="12">
        <f t="shared" si="2"/>
        <v>264766.76960902882</v>
      </c>
      <c r="K15" s="12">
        <f t="shared" si="2"/>
        <v>278005.10808948014</v>
      </c>
      <c r="L15" s="12">
        <f t="shared" si="2"/>
        <v>291905.36349395424</v>
      </c>
      <c r="M15" s="12">
        <f t="shared" si="2"/>
        <v>306500.63166865194</v>
      </c>
      <c r="N15" s="12">
        <f t="shared" si="2"/>
        <v>321825.66325208457</v>
      </c>
      <c r="O15" s="12">
        <f t="shared" si="2"/>
        <v>337916.94641468872</v>
      </c>
      <c r="P15" s="12">
        <f t="shared" si="2"/>
        <v>354812.79373542324</v>
      </c>
      <c r="Q15" s="12">
        <f t="shared" si="2"/>
        <v>372553.43342219427</v>
      </c>
      <c r="R15" s="12">
        <f t="shared" si="2"/>
        <v>391181.10509330418</v>
      </c>
      <c r="S15" s="12">
        <f t="shared" si="2"/>
        <v>410740.16034796933</v>
      </c>
      <c r="T15" s="12">
        <f t="shared" si="2"/>
        <v>431277.16836536786</v>
      </c>
      <c r="U15" s="12">
        <f t="shared" si="2"/>
        <v>452841.02678363619</v>
      </c>
      <c r="V15" s="12">
        <f t="shared" si="2"/>
        <v>475483.07812281803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9D08E"/>
  </sheetPr>
  <dimension ref="A1:F15"/>
  <sheetViews>
    <sheetView workbookViewId="0">
      <selection activeCell="C5" sqref="C5"/>
    </sheetView>
  </sheetViews>
  <sheetFormatPr defaultRowHeight="14.4" x14ac:dyDescent="0.3"/>
  <cols>
    <col min="1" max="1" width="102.21875" bestFit="1" customWidth="1"/>
    <col min="3" max="3" width="10.44140625" bestFit="1" customWidth="1"/>
    <col min="4" max="4" width="9.44140625" bestFit="1" customWidth="1"/>
    <col min="5" max="5" width="8.88671875" bestFit="1" customWidth="1"/>
    <col min="6" max="6" width="9.88671875" bestFit="1" customWidth="1"/>
  </cols>
  <sheetData>
    <row r="1" spans="1:6" ht="18" customHeight="1" x14ac:dyDescent="0.35">
      <c r="A1" s="1" t="s">
        <v>281</v>
      </c>
    </row>
    <row r="2" spans="1:6" x14ac:dyDescent="0.3">
      <c r="A2" s="404" t="s">
        <v>282</v>
      </c>
      <c r="B2" s="392"/>
      <c r="C2" s="392"/>
      <c r="D2" s="392"/>
      <c r="E2" s="392"/>
    </row>
    <row r="4" spans="1:6" x14ac:dyDescent="0.3">
      <c r="A4" s="4" t="s">
        <v>283</v>
      </c>
      <c r="B4" s="4"/>
      <c r="C4" s="4" t="s">
        <v>284</v>
      </c>
      <c r="D4" s="4" t="s">
        <v>285</v>
      </c>
      <c r="E4" s="4" t="s">
        <v>286</v>
      </c>
      <c r="F4" s="4" t="s">
        <v>287</v>
      </c>
    </row>
    <row r="5" spans="1:6" x14ac:dyDescent="0.3">
      <c r="A5" t="s">
        <v>288</v>
      </c>
      <c r="C5" s="8">
        <f>'African Sky P&amp;L'!D26</f>
        <v>2046245.1710339505</v>
      </c>
      <c r="D5" s="8">
        <f>'Beachside P&amp;L'!C16</f>
        <v>403080</v>
      </c>
      <c r="E5" s="8">
        <f>'Menlyn P&amp;L'!C13</f>
        <v>257760</v>
      </c>
      <c r="F5" s="8">
        <f>SUM(C5:E5)</f>
        <v>2707085.1710339505</v>
      </c>
    </row>
    <row r="6" spans="1:6" x14ac:dyDescent="0.3">
      <c r="A6" t="s">
        <v>289</v>
      </c>
      <c r="C6" s="13">
        <f>Control!$B$74</f>
        <v>0.1</v>
      </c>
      <c r="D6" s="13">
        <f>Control!$B$75</f>
        <v>7.4999999999999997E-2</v>
      </c>
      <c r="E6" s="13">
        <f>Control!B76</f>
        <v>8.5000000000000006E-2</v>
      </c>
    </row>
    <row r="7" spans="1:6" x14ac:dyDescent="0.3">
      <c r="A7" t="s">
        <v>290</v>
      </c>
      <c r="C7" s="14">
        <f>IFERROR(C5/C6,0)</f>
        <v>20462451.710339505</v>
      </c>
      <c r="D7" s="8">
        <f>IFERROR(D5/D6,0)</f>
        <v>5374400</v>
      </c>
      <c r="E7" s="8">
        <f>IFERROR(E5/E6,0)</f>
        <v>3032470.588235294</v>
      </c>
    </row>
    <row r="8" spans="1:6" x14ac:dyDescent="0.3">
      <c r="A8" t="s">
        <v>291</v>
      </c>
      <c r="C8" s="8">
        <f>IF(Control!$B$5&gt;0,Control!$B$77+IF(AND(Control!$B$6="Y",Control!$B$5&gt;0),Control!$B$40,0),0)</f>
        <v>6000000</v>
      </c>
      <c r="D8" s="8">
        <f>IF(Control!$B$7&gt;0,4000000,0)</f>
        <v>4000000</v>
      </c>
      <c r="E8" s="8">
        <f>IF(Control!$B$8&gt;0,2900000,0)</f>
        <v>2900000</v>
      </c>
      <c r="F8" s="8">
        <f>SUM(C8:E8)</f>
        <v>12900000</v>
      </c>
    </row>
    <row r="9" spans="1:6" x14ac:dyDescent="0.3">
      <c r="A9" s="11" t="s">
        <v>292</v>
      </c>
      <c r="C9" s="12">
        <f>C8</f>
        <v>6000000</v>
      </c>
      <c r="D9" s="12">
        <f>D8</f>
        <v>4000000</v>
      </c>
      <c r="E9" s="12">
        <f>E8</f>
        <v>2900000</v>
      </c>
      <c r="F9" s="12">
        <f>SUM(C9:E9)</f>
        <v>12900000</v>
      </c>
    </row>
    <row r="10" spans="1:6" x14ac:dyDescent="0.3">
      <c r="A10" s="11" t="s">
        <v>293</v>
      </c>
      <c r="C10" s="12">
        <f>C9*Control!$B$5</f>
        <v>3000000</v>
      </c>
      <c r="D10" s="12">
        <f>D9*Control!$B$7</f>
        <v>2000000</v>
      </c>
      <c r="E10" s="12">
        <f>E9*Control!$B$8</f>
        <v>1450000</v>
      </c>
      <c r="F10" s="12">
        <f>SUM(C10:E10)</f>
        <v>6450000</v>
      </c>
    </row>
    <row r="11" spans="1:6" x14ac:dyDescent="0.3">
      <c r="A11" t="s">
        <v>294</v>
      </c>
      <c r="C11" s="15">
        <f>IFERROR(C7/C9,0)</f>
        <v>3.4104086183899174</v>
      </c>
      <c r="D11" s="15">
        <f>IFERROR(D7/D9,0)</f>
        <v>1.3435999999999999</v>
      </c>
      <c r="E11" s="15">
        <f>IFERROR(E7/E9,0)</f>
        <v>1.0456795131845842</v>
      </c>
    </row>
    <row r="12" spans="1:6" x14ac:dyDescent="0.3">
      <c r="A12" t="s">
        <v>295</v>
      </c>
      <c r="C12" s="13">
        <f>IFERROR(C5/C9,0)</f>
        <v>0.34104086183899174</v>
      </c>
      <c r="D12" s="13">
        <f>IFERROR(D5/D9,0)</f>
        <v>0.10077</v>
      </c>
      <c r="E12" s="13">
        <f>IFERROR(E5/E9,0)</f>
        <v>8.8882758620689659E-2</v>
      </c>
    </row>
    <row r="13" spans="1:6" x14ac:dyDescent="0.3">
      <c r="A13" t="s">
        <v>296</v>
      </c>
      <c r="C13" s="8">
        <f>IF(Control!$B$5&gt;0,(('African Sky P&amp;L'!D13-'African Sky P&amp;L'!D18)+('African Sky P&amp;L'!D14-'African Sky P&amp;L'!D19))*3,0)</f>
        <v>2427074.0285339504</v>
      </c>
      <c r="D13" s="326"/>
      <c r="E13" s="326"/>
    </row>
    <row r="14" spans="1:6" x14ac:dyDescent="0.3">
      <c r="C14" s="329"/>
      <c r="D14" s="329"/>
      <c r="E14" s="329"/>
      <c r="F14" s="328"/>
    </row>
    <row r="15" spans="1:6" x14ac:dyDescent="0.3">
      <c r="A15" t="s">
        <v>297</v>
      </c>
    </row>
  </sheetData>
  <mergeCells count="1">
    <mergeCell ref="A2:E2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U29"/>
  <sheetViews>
    <sheetView workbookViewId="0">
      <selection sqref="A1:A1048576"/>
    </sheetView>
  </sheetViews>
  <sheetFormatPr defaultRowHeight="14.4" x14ac:dyDescent="0.3"/>
  <cols>
    <col min="1" max="1" width="42.88671875" customWidth="1"/>
    <col min="2" max="8" width="8.88671875" bestFit="1" customWidth="1"/>
    <col min="9" max="21" width="9.88671875" bestFit="1" customWidth="1"/>
  </cols>
  <sheetData>
    <row r="1" spans="1:21" ht="18" customHeight="1" x14ac:dyDescent="0.35">
      <c r="A1" s="1" t="s">
        <v>298</v>
      </c>
    </row>
    <row r="2" spans="1:21" x14ac:dyDescent="0.3">
      <c r="A2" s="88" t="s">
        <v>299</v>
      </c>
    </row>
    <row r="4" spans="1:21" x14ac:dyDescent="0.3">
      <c r="A4" s="2" t="s">
        <v>247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</row>
    <row r="6" spans="1:21" x14ac:dyDescent="0.3">
      <c r="A6" t="s">
        <v>300</v>
      </c>
      <c r="B6" s="8">
        <f>'African Sky P&amp;L'!C26</f>
        <v>1948804.9247942385</v>
      </c>
      <c r="C6" s="8">
        <f>'African Sky P&amp;L'!D26</f>
        <v>2046245.1710339505</v>
      </c>
      <c r="D6" s="8">
        <f>'African Sky P&amp;L'!E26</f>
        <v>2148557.4295856482</v>
      </c>
      <c r="E6" s="8">
        <f>'African Sky P&amp;L'!F26</f>
        <v>2255985.3010649309</v>
      </c>
      <c r="F6" s="8">
        <f>'African Sky P&amp;L'!G26</f>
        <v>2368784.5661181761</v>
      </c>
      <c r="G6" s="8">
        <f>'African Sky P&amp;L'!H26</f>
        <v>2487223.7944240873</v>
      </c>
      <c r="H6" s="8">
        <f>'African Sky P&amp;L'!I26</f>
        <v>2611584.9841452907</v>
      </c>
      <c r="I6" s="8">
        <f>'African Sky P&amp;L'!J26</f>
        <v>2742164.2333525554</v>
      </c>
      <c r="J6" s="8">
        <f>'African Sky P&amp;L'!K26</f>
        <v>2879272.4450201821</v>
      </c>
      <c r="K6" s="8">
        <f>'African Sky P&amp;L'!L26</f>
        <v>3023236.0672711907</v>
      </c>
      <c r="L6" s="8">
        <f>'African Sky P&amp;L'!M26</f>
        <v>3174397.8706347514</v>
      </c>
      <c r="M6" s="8">
        <f>'African Sky P&amp;L'!N26</f>
        <v>3333117.7641664892</v>
      </c>
      <c r="N6" s="8">
        <f>'African Sky P&amp;L'!O26</f>
        <v>3499773.6523748143</v>
      </c>
      <c r="O6" s="8">
        <f>'African Sky P&amp;L'!P26</f>
        <v>3674762.3349935543</v>
      </c>
      <c r="P6" s="8">
        <f>'African Sky P&amp;L'!Q26</f>
        <v>3858500.4517432312</v>
      </c>
      <c r="Q6" s="8">
        <f>'African Sky P&amp;L'!R26</f>
        <v>4051425.4743303936</v>
      </c>
      <c r="R6" s="8">
        <f>'African Sky P&amp;L'!S26</f>
        <v>4253996.7480469132</v>
      </c>
      <c r="S6" s="8">
        <f>'African Sky P&amp;L'!T26</f>
        <v>4466696.5854492597</v>
      </c>
      <c r="T6" s="8">
        <f>'African Sky P&amp;L'!U26</f>
        <v>4690031.4147217236</v>
      </c>
      <c r="U6" s="8">
        <f>'African Sky P&amp;L'!V26</f>
        <v>4924532.9854578078</v>
      </c>
    </row>
    <row r="7" spans="1:21" x14ac:dyDescent="0.3">
      <c r="A7" t="s">
        <v>301</v>
      </c>
      <c r="B7" s="8">
        <f>'Beachside P&amp;L'!C16</f>
        <v>403080</v>
      </c>
      <c r="C7" s="8">
        <f>'Beachside P&amp;L'!D16</f>
        <v>423234</v>
      </c>
      <c r="D7" s="8">
        <f>'Beachside P&amp;L'!E16</f>
        <v>444395.7</v>
      </c>
      <c r="E7" s="8">
        <f>'Beachside P&amp;L'!F16</f>
        <v>466615.4850000001</v>
      </c>
      <c r="F7" s="8">
        <f>'Beachside P&amp;L'!G16</f>
        <v>489946.25925000006</v>
      </c>
      <c r="G7" s="8">
        <f>'Beachside P&amp;L'!H16</f>
        <v>514443.57221250009</v>
      </c>
      <c r="H7" s="8">
        <f>'Beachside P&amp;L'!I16</f>
        <v>540165.75082312501</v>
      </c>
      <c r="I7" s="8">
        <f>'Beachside P&amp;L'!J16</f>
        <v>567174.0383642813</v>
      </c>
      <c r="J7" s="8">
        <f>'Beachside P&amp;L'!K16</f>
        <v>595532.74028249527</v>
      </c>
      <c r="K7" s="8">
        <f>'Beachside P&amp;L'!L16</f>
        <v>625309.37729662005</v>
      </c>
      <c r="L7" s="8">
        <f>'Beachside P&amp;L'!M16</f>
        <v>656574.84616145119</v>
      </c>
      <c r="M7" s="8">
        <f>'Beachside P&amp;L'!N16</f>
        <v>689403.5884695237</v>
      </c>
      <c r="N7" s="8">
        <f>'Beachside P&amp;L'!O16</f>
        <v>723873.76789299981</v>
      </c>
      <c r="O7" s="8">
        <f>'Beachside P&amp;L'!P16</f>
        <v>760067.45628764993</v>
      </c>
      <c r="P7" s="8">
        <f>'Beachside P&amp;L'!Q16</f>
        <v>798070.82910203212</v>
      </c>
      <c r="Q7" s="8">
        <f>'Beachside P&amp;L'!R16</f>
        <v>837974.37055713404</v>
      </c>
      <c r="R7" s="8">
        <f>'Beachside P&amp;L'!S16</f>
        <v>879873.08908499079</v>
      </c>
      <c r="S7" s="8">
        <f>'Beachside P&amp;L'!T16</f>
        <v>923866.74353924044</v>
      </c>
      <c r="T7" s="8">
        <f>'Beachside P&amp;L'!U16</f>
        <v>970060.08071620238</v>
      </c>
      <c r="U7" s="8">
        <f>'Beachside P&amp;L'!V16</f>
        <v>1018563.0847520126</v>
      </c>
    </row>
    <row r="8" spans="1:21" x14ac:dyDescent="0.3">
      <c r="A8" t="s">
        <v>302</v>
      </c>
      <c r="B8" s="8">
        <f>'Menlyn P&amp;L'!C13</f>
        <v>257760</v>
      </c>
      <c r="C8" s="8">
        <f>'Menlyn P&amp;L'!D13</f>
        <v>270648</v>
      </c>
      <c r="D8" s="8">
        <f>'Menlyn P&amp;L'!E13</f>
        <v>284180.40000000002</v>
      </c>
      <c r="E8" s="8">
        <f>'Menlyn P&amp;L'!F13</f>
        <v>298389.42000000004</v>
      </c>
      <c r="F8" s="8">
        <f>'Menlyn P&amp;L'!G13</f>
        <v>313308.891</v>
      </c>
      <c r="G8" s="8">
        <f>'Menlyn P&amp;L'!H13</f>
        <v>328974.33555000002</v>
      </c>
      <c r="H8" s="8">
        <f>'Menlyn P&amp;L'!I13</f>
        <v>345423.05232750002</v>
      </c>
      <c r="I8" s="8">
        <f>'Menlyn P&amp;L'!J13</f>
        <v>362694.20494387508</v>
      </c>
      <c r="J8" s="8">
        <f>'Menlyn P&amp;L'!K13</f>
        <v>380828.91519106872</v>
      </c>
      <c r="K8" s="8">
        <f>'Menlyn P&amp;L'!L13</f>
        <v>399870.36095062224</v>
      </c>
      <c r="L8" s="8">
        <f>'Menlyn P&amp;L'!M13</f>
        <v>419863.87899815338</v>
      </c>
      <c r="M8" s="8">
        <f>'Menlyn P&amp;L'!N13</f>
        <v>440857.07294806105</v>
      </c>
      <c r="N8" s="8">
        <f>'Menlyn P&amp;L'!O13</f>
        <v>462899.926595464</v>
      </c>
      <c r="O8" s="8">
        <f>'Menlyn P&amp;L'!P13</f>
        <v>486044.92292523733</v>
      </c>
      <c r="P8" s="8">
        <f>'Menlyn P&amp;L'!Q13</f>
        <v>510347.16907149903</v>
      </c>
      <c r="Q8" s="8">
        <f>'Menlyn P&amp;L'!R13</f>
        <v>535864.5275250742</v>
      </c>
      <c r="R8" s="8">
        <f>'Menlyn P&amp;L'!S13</f>
        <v>562657.75390132784</v>
      </c>
      <c r="S8" s="8">
        <f>'Menlyn P&amp;L'!T13</f>
        <v>590790.64159639436</v>
      </c>
      <c r="T8" s="8">
        <f>'Menlyn P&amp;L'!U13</f>
        <v>620330.17367621395</v>
      </c>
      <c r="U8" s="8">
        <f>'Menlyn P&amp;L'!V13</f>
        <v>651346.68236002466</v>
      </c>
    </row>
    <row r="9" spans="1:21" x14ac:dyDescent="0.3">
      <c r="A9" s="9" t="s">
        <v>303</v>
      </c>
      <c r="B9" s="10">
        <f t="shared" ref="B9:U9" si="0">SUM(B6:B8)</f>
        <v>2609644.9247942385</v>
      </c>
      <c r="C9" s="10">
        <f t="shared" si="0"/>
        <v>2740127.1710339505</v>
      </c>
      <c r="D9" s="10">
        <f t="shared" si="0"/>
        <v>2877133.5295856483</v>
      </c>
      <c r="E9" s="10">
        <f t="shared" si="0"/>
        <v>3020990.2060649311</v>
      </c>
      <c r="F9" s="10">
        <f t="shared" si="0"/>
        <v>3172039.716368176</v>
      </c>
      <c r="G9" s="10">
        <f t="shared" si="0"/>
        <v>3330641.7021865873</v>
      </c>
      <c r="H9" s="10">
        <f t="shared" si="0"/>
        <v>3497173.7872959157</v>
      </c>
      <c r="I9" s="10">
        <f t="shared" si="0"/>
        <v>3672032.4766607117</v>
      </c>
      <c r="J9" s="10">
        <f t="shared" si="0"/>
        <v>3855634.1004937463</v>
      </c>
      <c r="K9" s="10">
        <f t="shared" si="0"/>
        <v>4048415.805518433</v>
      </c>
      <c r="L9" s="10">
        <f t="shared" si="0"/>
        <v>4250836.5957943555</v>
      </c>
      <c r="M9" s="10">
        <f t="shared" si="0"/>
        <v>4463378.4255840741</v>
      </c>
      <c r="N9" s="10">
        <f t="shared" si="0"/>
        <v>4686547.3468632782</v>
      </c>
      <c r="O9" s="10">
        <f t="shared" si="0"/>
        <v>4920874.7142064422</v>
      </c>
      <c r="P9" s="10">
        <f t="shared" si="0"/>
        <v>5166918.4499167623</v>
      </c>
      <c r="Q9" s="10">
        <f t="shared" si="0"/>
        <v>5425264.3724126015</v>
      </c>
      <c r="R9" s="10">
        <f t="shared" si="0"/>
        <v>5696527.5910332324</v>
      </c>
      <c r="S9" s="10">
        <f t="shared" si="0"/>
        <v>5981353.9705848945</v>
      </c>
      <c r="T9" s="10">
        <f t="shared" si="0"/>
        <v>6280421.6691141399</v>
      </c>
      <c r="U9" s="10">
        <f t="shared" si="0"/>
        <v>6594442.7525698449</v>
      </c>
    </row>
    <row r="10" spans="1:21" x14ac:dyDescent="0.3">
      <c r="A10" t="s">
        <v>304</v>
      </c>
      <c r="B10" s="8">
        <f>'African Sky P&amp;L'!C28</f>
        <v>1422627.5950997942</v>
      </c>
      <c r="C10" s="8">
        <f>'African Sky P&amp;L'!D28</f>
        <v>1493758.9748547839</v>
      </c>
      <c r="D10" s="8">
        <f>'African Sky P&amp;L'!E28</f>
        <v>1568446.923597523</v>
      </c>
      <c r="E10" s="8">
        <f>'African Sky P&amp;L'!F28</f>
        <v>1646869.2697773995</v>
      </c>
      <c r="F10" s="8">
        <f>'African Sky P&amp;L'!G28</f>
        <v>1729212.7332662684</v>
      </c>
      <c r="G10" s="8">
        <f>'African Sky P&amp;L'!H28</f>
        <v>1815673.3699295837</v>
      </c>
      <c r="H10" s="8">
        <f>'African Sky P&amp;L'!I28</f>
        <v>1906457.0384260621</v>
      </c>
      <c r="I10" s="8">
        <f>'African Sky P&amp;L'!J28</f>
        <v>2001779.8903473653</v>
      </c>
      <c r="J10" s="8">
        <f>'African Sky P&amp;L'!K28</f>
        <v>2101868.8848647326</v>
      </c>
      <c r="K10" s="8">
        <f>'African Sky P&amp;L'!L28</f>
        <v>2206962.3291079691</v>
      </c>
      <c r="L10" s="8">
        <f>'African Sky P&amp;L'!M28</f>
        <v>2317310.4455633685</v>
      </c>
      <c r="M10" s="8">
        <f>'African Sky P&amp;L'!N28</f>
        <v>2433175.9678415372</v>
      </c>
      <c r="N10" s="8">
        <f>'African Sky P&amp;L'!O28</f>
        <v>2554834.7662336142</v>
      </c>
      <c r="O10" s="8">
        <f>'African Sky P&amp;L'!P28</f>
        <v>2682576.5045452947</v>
      </c>
      <c r="P10" s="8">
        <f>'African Sky P&amp;L'!Q28</f>
        <v>2816705.3297725585</v>
      </c>
      <c r="Q10" s="8">
        <f>'African Sky P&amp;L'!R28</f>
        <v>2957540.5962611875</v>
      </c>
      <c r="R10" s="8">
        <f>'African Sky P&amp;L'!S28</f>
        <v>3105417.6260742466</v>
      </c>
      <c r="S10" s="8">
        <f>'African Sky P&amp;L'!T28</f>
        <v>3260688.5073779598</v>
      </c>
      <c r="T10" s="8">
        <f>'African Sky P&amp;L'!U28</f>
        <v>3423722.9327468583</v>
      </c>
      <c r="U10" s="8">
        <f>'African Sky P&amp;L'!V28</f>
        <v>3594909.0793841993</v>
      </c>
    </row>
    <row r="11" spans="1:21" x14ac:dyDescent="0.3">
      <c r="A11" t="s">
        <v>305</v>
      </c>
      <c r="B11" s="8">
        <f>'Beachside P&amp;L'!C18</f>
        <v>294248.40000000002</v>
      </c>
      <c r="C11" s="8">
        <f>'Beachside P&amp;L'!D18</f>
        <v>308960.82</v>
      </c>
      <c r="D11" s="8">
        <f>'Beachside P&amp;L'!E18</f>
        <v>324408.86100000003</v>
      </c>
      <c r="E11" s="8">
        <f>'Beachside P&amp;L'!F18</f>
        <v>340629.30405000004</v>
      </c>
      <c r="F11" s="8">
        <f>'Beachside P&amp;L'!G18</f>
        <v>357660.76925250003</v>
      </c>
      <c r="G11" s="8">
        <f>'Beachside P&amp;L'!H18</f>
        <v>375543.80771512503</v>
      </c>
      <c r="H11" s="8">
        <f>'Beachside P&amp;L'!I18</f>
        <v>394320.99810088123</v>
      </c>
      <c r="I11" s="8">
        <f>'Beachside P&amp;L'!J18</f>
        <v>414037.04800592538</v>
      </c>
      <c r="J11" s="8">
        <f>'Beachside P&amp;L'!K18</f>
        <v>434738.90040622151</v>
      </c>
      <c r="K11" s="8">
        <f>'Beachside P&amp;L'!L18</f>
        <v>456475.84542653261</v>
      </c>
      <c r="L11" s="8">
        <f>'Beachside P&amp;L'!M18</f>
        <v>479299.63769785932</v>
      </c>
      <c r="M11" s="8">
        <f>'Beachside P&amp;L'!N18</f>
        <v>503264.61958275229</v>
      </c>
      <c r="N11" s="8">
        <f>'Beachside P&amp;L'!O18</f>
        <v>528427.85056188982</v>
      </c>
      <c r="O11" s="8">
        <f>'Beachside P&amp;L'!P18</f>
        <v>554849.2430899844</v>
      </c>
      <c r="P11" s="8">
        <f>'Beachside P&amp;L'!Q18</f>
        <v>582591.70524448343</v>
      </c>
      <c r="Q11" s="8">
        <f>'Beachside P&amp;L'!R18</f>
        <v>611721.29050670785</v>
      </c>
      <c r="R11" s="8">
        <f>'Beachside P&amp;L'!S18</f>
        <v>642307.3550320433</v>
      </c>
      <c r="S11" s="8">
        <f>'Beachside P&amp;L'!T18</f>
        <v>674422.7227836455</v>
      </c>
      <c r="T11" s="8">
        <f>'Beachside P&amp;L'!U18</f>
        <v>708143.85892282776</v>
      </c>
      <c r="U11" s="8">
        <f>'Beachside P&amp;L'!V18</f>
        <v>743551.05186896923</v>
      </c>
    </row>
    <row r="12" spans="1:21" x14ac:dyDescent="0.3">
      <c r="A12" t="s">
        <v>306</v>
      </c>
      <c r="B12" s="8">
        <f>'Menlyn P&amp;L'!C15</f>
        <v>188164.8</v>
      </c>
      <c r="C12" s="8">
        <f>'Menlyn P&amp;L'!D15</f>
        <v>197573.03999999998</v>
      </c>
      <c r="D12" s="8">
        <f>'Menlyn P&amp;L'!E15</f>
        <v>207451.69200000001</v>
      </c>
      <c r="E12" s="8">
        <f>'Menlyn P&amp;L'!F15</f>
        <v>217824.27660000004</v>
      </c>
      <c r="F12" s="8">
        <f>'Menlyn P&amp;L'!G15</f>
        <v>228715.49043000001</v>
      </c>
      <c r="G12" s="8">
        <f>'Menlyn P&amp;L'!H15</f>
        <v>240151.26495149999</v>
      </c>
      <c r="H12" s="8">
        <f>'Menlyn P&amp;L'!I15</f>
        <v>252158.82819907501</v>
      </c>
      <c r="I12" s="8">
        <f>'Menlyn P&amp;L'!J15</f>
        <v>264766.76960902882</v>
      </c>
      <c r="J12" s="8">
        <f>'Menlyn P&amp;L'!K15</f>
        <v>278005.10808948014</v>
      </c>
      <c r="K12" s="8">
        <f>'Menlyn P&amp;L'!L15</f>
        <v>291905.36349395424</v>
      </c>
      <c r="L12" s="8">
        <f>'Menlyn P&amp;L'!M15</f>
        <v>306500.63166865194</v>
      </c>
      <c r="M12" s="8">
        <f>'Menlyn P&amp;L'!N15</f>
        <v>321825.66325208457</v>
      </c>
      <c r="N12" s="8">
        <f>'Menlyn P&amp;L'!O15</f>
        <v>337916.94641468872</v>
      </c>
      <c r="O12" s="8">
        <f>'Menlyn P&amp;L'!P15</f>
        <v>354812.79373542324</v>
      </c>
      <c r="P12" s="8">
        <f>'Menlyn P&amp;L'!Q15</f>
        <v>372553.43342219427</v>
      </c>
      <c r="Q12" s="8">
        <f>'Menlyn P&amp;L'!R15</f>
        <v>391181.10509330418</v>
      </c>
      <c r="R12" s="8">
        <f>'Menlyn P&amp;L'!S15</f>
        <v>410740.16034796933</v>
      </c>
      <c r="S12" s="8">
        <f>'Menlyn P&amp;L'!T15</f>
        <v>431277.16836536786</v>
      </c>
      <c r="T12" s="8">
        <f>'Menlyn P&amp;L'!U15</f>
        <v>452841.02678363619</v>
      </c>
      <c r="U12" s="8">
        <f>'Menlyn P&amp;L'!V15</f>
        <v>475483.07812281803</v>
      </c>
    </row>
    <row r="13" spans="1:21" x14ac:dyDescent="0.3">
      <c r="A13" s="11" t="s">
        <v>307</v>
      </c>
      <c r="B13" s="12">
        <f t="shared" ref="B13:U13" si="1">SUM(B10:B12)</f>
        <v>1905040.7950997942</v>
      </c>
      <c r="C13" s="12">
        <f t="shared" si="1"/>
        <v>2000292.834854784</v>
      </c>
      <c r="D13" s="12">
        <f t="shared" si="1"/>
        <v>2100307.4765975229</v>
      </c>
      <c r="E13" s="12">
        <f t="shared" si="1"/>
        <v>2205322.8504273994</v>
      </c>
      <c r="F13" s="12">
        <f t="shared" si="1"/>
        <v>2315588.9929487687</v>
      </c>
      <c r="G13" s="12">
        <f t="shared" si="1"/>
        <v>2431368.4425962088</v>
      </c>
      <c r="H13" s="12">
        <f t="shared" si="1"/>
        <v>2552936.8647260186</v>
      </c>
      <c r="I13" s="12">
        <f t="shared" si="1"/>
        <v>2680583.7079623197</v>
      </c>
      <c r="J13" s="12">
        <f t="shared" si="1"/>
        <v>2814612.8933604341</v>
      </c>
      <c r="K13" s="12">
        <f t="shared" si="1"/>
        <v>2955343.5380284558</v>
      </c>
      <c r="L13" s="12">
        <f t="shared" si="1"/>
        <v>3103110.7149298796</v>
      </c>
      <c r="M13" s="12">
        <f t="shared" si="1"/>
        <v>3258266.250676374</v>
      </c>
      <c r="N13" s="12">
        <f t="shared" si="1"/>
        <v>3421179.5632101926</v>
      </c>
      <c r="O13" s="12">
        <f t="shared" si="1"/>
        <v>3592238.541370702</v>
      </c>
      <c r="P13" s="12">
        <f t="shared" si="1"/>
        <v>3771850.4684392363</v>
      </c>
      <c r="Q13" s="12">
        <f t="shared" si="1"/>
        <v>3960442.9918611995</v>
      </c>
      <c r="R13" s="12">
        <f t="shared" si="1"/>
        <v>4158465.1414542589</v>
      </c>
      <c r="S13" s="12">
        <f t="shared" si="1"/>
        <v>4366388.3985269731</v>
      </c>
      <c r="T13" s="12">
        <f t="shared" si="1"/>
        <v>4584707.8184533222</v>
      </c>
      <c r="U13" s="12">
        <f t="shared" si="1"/>
        <v>4813943.2093759868</v>
      </c>
    </row>
    <row r="14" spans="1:21" x14ac:dyDescent="0.3">
      <c r="A14" t="s">
        <v>308</v>
      </c>
      <c r="B14" s="8">
        <f>-IF(AND(Control!$B$5&gt;0,Control!$B$6="Y",B$4=Control!$B$39-1),Control!$B$40,0)</f>
        <v>0</v>
      </c>
      <c r="C14" s="8">
        <f>-IF(AND(Control!$B$5&gt;0,Control!$B$6="Y",C$4=Control!$B$39-1),Control!$B$40,0)</f>
        <v>0</v>
      </c>
      <c r="D14" s="8">
        <f>-IF(AND(Control!$B$5&gt;0,Control!$B$6="Y",D$4=Control!$B$39-1),Control!$B$40,0)</f>
        <v>0</v>
      </c>
      <c r="E14" s="8">
        <f>-IF(AND(Control!$B$5&gt;0,Control!$B$6="Y",E$4=Control!$B$39-1),Control!$B$40,0)</f>
        <v>0</v>
      </c>
      <c r="F14" s="8">
        <f>-IF(AND(Control!$B$5&gt;0,Control!$B$6="Y",F$4=Control!$B$39-1),Control!$B$40,0)</f>
        <v>0</v>
      </c>
      <c r="G14" s="8">
        <f>-IF(AND(Control!$B$5&gt;0,Control!$B$6="Y",G$4=Control!$B$39-1),Control!$B$40,0)</f>
        <v>0</v>
      </c>
      <c r="H14" s="8">
        <f>-IF(AND(Control!$B$5&gt;0,Control!$B$6="Y",H$4=Control!$B$39-1),Control!$B$40,0)</f>
        <v>0</v>
      </c>
      <c r="I14" s="8">
        <f>-IF(AND(Control!$B$5&gt;0,Control!$B$6="Y",I$4=Control!$B$39-1),Control!$B$40,0)</f>
        <v>0</v>
      </c>
      <c r="J14" s="8">
        <f>-IF(AND(Control!$B$5&gt;0,Control!$B$6="Y",J$4=Control!$B$39-1),Control!$B$40,0)</f>
        <v>0</v>
      </c>
      <c r="K14" s="8">
        <f>-IF(AND(Control!$B$5&gt;0,Control!$B$6="Y",K$4=Control!$B$39-1),Control!$B$40,0)</f>
        <v>0</v>
      </c>
      <c r="L14" s="8">
        <f>-IF(AND(Control!$B$5&gt;0,Control!$B$6="Y",L$4=Control!$B$39-1),Control!$B$40,0)</f>
        <v>0</v>
      </c>
      <c r="M14" s="8">
        <f>-IF(AND(Control!$B$5&gt;0,Control!$B$6="Y",M$4=Control!$B$39-1),Control!$B$40,0)</f>
        <v>0</v>
      </c>
      <c r="N14" s="8">
        <f>-IF(AND(Control!$B$5&gt;0,Control!$B$6="Y",N$4=Control!$B$39-1),Control!$B$40,0)</f>
        <v>0</v>
      </c>
      <c r="O14" s="8">
        <f>-IF(AND(Control!$B$5&gt;0,Control!$B$6="Y",O$4=Control!$B$39-1),Control!$B$40,0)</f>
        <v>0</v>
      </c>
      <c r="P14" s="8">
        <f>-IF(AND(Control!$B$5&gt;0,Control!$B$6="Y",P$4=Control!$B$39-1),Control!$B$40,0)</f>
        <v>0</v>
      </c>
      <c r="Q14" s="8">
        <f>-IF(AND(Control!$B$5&gt;0,Control!$B$6="Y",Q$4=Control!$B$39-1),Control!$B$40,0)</f>
        <v>0</v>
      </c>
      <c r="R14" s="8">
        <f>-IF(AND(Control!$B$5&gt;0,Control!$B$6="Y",R$4=Control!$B$39-1),Control!$B$40,0)</f>
        <v>0</v>
      </c>
      <c r="S14" s="8">
        <f>-IF(AND(Control!$B$5&gt;0,Control!$B$6="Y",S$4=Control!$B$39-1),Control!$B$40,0)</f>
        <v>0</v>
      </c>
      <c r="T14" s="8">
        <f>-IF(AND(Control!$B$5&gt;0,Control!$B$6="Y",T$4=Control!$B$39-1),Control!$B$40,0)</f>
        <v>0</v>
      </c>
      <c r="U14" s="8">
        <f>-IF(AND(Control!$B$5&gt;0,Control!$B$6="Y",U$4=Control!$B$39-1),Control!$B$40,0)</f>
        <v>0</v>
      </c>
    </row>
    <row r="15" spans="1:21" x14ac:dyDescent="0.3">
      <c r="A15" s="2" t="s">
        <v>309</v>
      </c>
      <c r="B15" s="5">
        <f t="shared" ref="B15:U15" si="2">B13+B14</f>
        <v>1905040.7950997942</v>
      </c>
      <c r="C15" s="5">
        <f t="shared" si="2"/>
        <v>2000292.834854784</v>
      </c>
      <c r="D15" s="5">
        <f t="shared" si="2"/>
        <v>2100307.4765975229</v>
      </c>
      <c r="E15" s="5">
        <f t="shared" si="2"/>
        <v>2205322.8504273994</v>
      </c>
      <c r="F15" s="5">
        <f t="shared" si="2"/>
        <v>2315588.9929487687</v>
      </c>
      <c r="G15" s="5">
        <f t="shared" si="2"/>
        <v>2431368.4425962088</v>
      </c>
      <c r="H15" s="5">
        <f t="shared" si="2"/>
        <v>2552936.8647260186</v>
      </c>
      <c r="I15" s="5">
        <f t="shared" si="2"/>
        <v>2680583.7079623197</v>
      </c>
      <c r="J15" s="5">
        <f t="shared" si="2"/>
        <v>2814612.8933604341</v>
      </c>
      <c r="K15" s="5">
        <f t="shared" si="2"/>
        <v>2955343.5380284558</v>
      </c>
      <c r="L15" s="5">
        <f t="shared" si="2"/>
        <v>3103110.7149298796</v>
      </c>
      <c r="M15" s="5">
        <f t="shared" si="2"/>
        <v>3258266.250676374</v>
      </c>
      <c r="N15" s="5">
        <f t="shared" si="2"/>
        <v>3421179.5632101926</v>
      </c>
      <c r="O15" s="5">
        <f t="shared" si="2"/>
        <v>3592238.541370702</v>
      </c>
      <c r="P15" s="5">
        <f t="shared" si="2"/>
        <v>3771850.4684392363</v>
      </c>
      <c r="Q15" s="5">
        <f t="shared" si="2"/>
        <v>3960442.9918611995</v>
      </c>
      <c r="R15" s="5">
        <f t="shared" si="2"/>
        <v>4158465.1414542589</v>
      </c>
      <c r="S15" s="5">
        <f t="shared" si="2"/>
        <v>4366388.3985269731</v>
      </c>
      <c r="T15" s="5">
        <f t="shared" si="2"/>
        <v>4584707.8184533222</v>
      </c>
      <c r="U15" s="5">
        <f t="shared" si="2"/>
        <v>4813943.2093759868</v>
      </c>
    </row>
    <row r="16" spans="1:21" x14ac:dyDescent="0.3">
      <c r="A16" s="11" t="s">
        <v>310</v>
      </c>
      <c r="B16" s="12">
        <f t="shared" ref="B16:U16" si="3">SUM(B24:B26)</f>
        <v>952520.39754989708</v>
      </c>
      <c r="C16" s="12">
        <f t="shared" si="3"/>
        <v>1000146.417427392</v>
      </c>
      <c r="D16" s="12">
        <f t="shared" si="3"/>
        <v>1050153.7382987614</v>
      </c>
      <c r="E16" s="12">
        <f t="shared" si="3"/>
        <v>1102661.4252136997</v>
      </c>
      <c r="F16" s="12">
        <f t="shared" si="3"/>
        <v>1157794.4964743843</v>
      </c>
      <c r="G16" s="12">
        <f t="shared" si="3"/>
        <v>1215684.2212981044</v>
      </c>
      <c r="H16" s="12">
        <f t="shared" si="3"/>
        <v>1276468.4323630093</v>
      </c>
      <c r="I16" s="12">
        <f t="shared" si="3"/>
        <v>1340291.8539811599</v>
      </c>
      <c r="J16" s="12">
        <f t="shared" si="3"/>
        <v>1407306.4466802171</v>
      </c>
      <c r="K16" s="12">
        <f t="shared" si="3"/>
        <v>1477671.7690142279</v>
      </c>
      <c r="L16" s="12">
        <f t="shared" si="3"/>
        <v>1551555.3574649398</v>
      </c>
      <c r="M16" s="12">
        <f t="shared" si="3"/>
        <v>1629133.125338187</v>
      </c>
      <c r="N16" s="12">
        <f t="shared" si="3"/>
        <v>1710589.7816050963</v>
      </c>
      <c r="O16" s="12">
        <f t="shared" si="3"/>
        <v>1796119.270685351</v>
      </c>
      <c r="P16" s="12">
        <f t="shared" si="3"/>
        <v>1885925.2342196181</v>
      </c>
      <c r="Q16" s="12">
        <f t="shared" si="3"/>
        <v>1980221.4959305997</v>
      </c>
      <c r="R16" s="12">
        <f t="shared" si="3"/>
        <v>2079232.5707271295</v>
      </c>
      <c r="S16" s="12">
        <f t="shared" si="3"/>
        <v>2183194.1992634865</v>
      </c>
      <c r="T16" s="12">
        <f t="shared" si="3"/>
        <v>2292353.9092266611</v>
      </c>
      <c r="U16" s="12">
        <f t="shared" si="3"/>
        <v>2406971.6046879934</v>
      </c>
    </row>
    <row r="17" spans="1:21" x14ac:dyDescent="0.3">
      <c r="A17" s="2" t="s">
        <v>311</v>
      </c>
      <c r="B17" s="5">
        <f>B16</f>
        <v>952520.39754989708</v>
      </c>
      <c r="C17" s="5">
        <f t="shared" ref="C17:U17" si="4">B17+C16</f>
        <v>1952666.8149772892</v>
      </c>
      <c r="D17" s="5">
        <f t="shared" si="4"/>
        <v>3002820.5532760508</v>
      </c>
      <c r="E17" s="5">
        <f t="shared" si="4"/>
        <v>4105481.9784897505</v>
      </c>
      <c r="F17" s="5">
        <f t="shared" si="4"/>
        <v>5263276.4749641344</v>
      </c>
      <c r="G17" s="5">
        <f t="shared" si="4"/>
        <v>6478960.6962622385</v>
      </c>
      <c r="H17" s="5">
        <f t="shared" si="4"/>
        <v>7755429.1286252476</v>
      </c>
      <c r="I17" s="5">
        <f t="shared" si="4"/>
        <v>9095720.9826064073</v>
      </c>
      <c r="J17" s="5">
        <f t="shared" si="4"/>
        <v>10503027.429286625</v>
      </c>
      <c r="K17" s="5">
        <f t="shared" si="4"/>
        <v>11980699.198300853</v>
      </c>
      <c r="L17" s="5">
        <f t="shared" si="4"/>
        <v>13532254.555765793</v>
      </c>
      <c r="M17" s="5">
        <f t="shared" si="4"/>
        <v>15161387.68110398</v>
      </c>
      <c r="N17" s="5">
        <f t="shared" si="4"/>
        <v>16871977.462709077</v>
      </c>
      <c r="O17" s="5">
        <f t="shared" si="4"/>
        <v>18668096.733394429</v>
      </c>
      <c r="P17" s="5">
        <f t="shared" si="4"/>
        <v>20554021.967614047</v>
      </c>
      <c r="Q17" s="5">
        <f t="shared" si="4"/>
        <v>22534243.463544648</v>
      </c>
      <c r="R17" s="5">
        <f t="shared" si="4"/>
        <v>24613476.034271777</v>
      </c>
      <c r="S17" s="5">
        <f t="shared" si="4"/>
        <v>26796670.233535264</v>
      </c>
      <c r="T17" s="5">
        <f t="shared" si="4"/>
        <v>29089024.142761923</v>
      </c>
      <c r="U17" s="5">
        <f t="shared" si="4"/>
        <v>31495995.747449916</v>
      </c>
    </row>
    <row r="18" spans="1:21" x14ac:dyDescent="0.3">
      <c r="A18" s="353" t="s">
        <v>312</v>
      </c>
      <c r="B18" s="352">
        <f>B16/Control!$B$15</f>
        <v>0.14883131211717143</v>
      </c>
      <c r="C18" s="352">
        <f>C16/Control!$B$15</f>
        <v>0.15627287772303</v>
      </c>
      <c r="D18" s="352">
        <f>D16/Control!$B$15</f>
        <v>0.16408652160918147</v>
      </c>
      <c r="E18" s="352">
        <f>E16/Control!$B$15</f>
        <v>0.17229084768964056</v>
      </c>
      <c r="F18" s="352">
        <f>F16/Control!$B$15</f>
        <v>0.18090539007412254</v>
      </c>
      <c r="G18" s="352">
        <f>G16/Control!$B$15</f>
        <v>0.18995065957782881</v>
      </c>
      <c r="H18" s="352">
        <f>H16/Control!$B$15</f>
        <v>0.19944819255672019</v>
      </c>
      <c r="I18" s="352">
        <f>I16/Control!$B$15</f>
        <v>0.20942060218455621</v>
      </c>
      <c r="J18" s="352">
        <f>J16/Control!$B$15</f>
        <v>0.21989163229378392</v>
      </c>
      <c r="K18" s="352">
        <f>K16/Control!$B$15</f>
        <v>0.23088621390847311</v>
      </c>
      <c r="L18" s="352">
        <f>L16/Control!$B$15</f>
        <v>0.24243052460389686</v>
      </c>
      <c r="M18" s="352">
        <f>M16/Control!$B$15</f>
        <v>0.25455205083409171</v>
      </c>
      <c r="N18" s="352">
        <f>N16/Control!$B$15</f>
        <v>0.26727965337579629</v>
      </c>
      <c r="O18" s="352">
        <f>O16/Control!$B$15</f>
        <v>0.28064363604458609</v>
      </c>
      <c r="P18" s="352">
        <f>P16/Control!$B$15</f>
        <v>0.29467581784681535</v>
      </c>
      <c r="Q18" s="352">
        <f>Q16/Control!$B$15</f>
        <v>0.30940960873915618</v>
      </c>
      <c r="R18" s="352">
        <f>R16/Control!$B$15</f>
        <v>0.324880089176114</v>
      </c>
      <c r="S18" s="352">
        <f>S16/Control!$B$15</f>
        <v>0.34112409363491975</v>
      </c>
      <c r="T18" s="352">
        <f>T16/Control!$B$15</f>
        <v>0.35818029831666581</v>
      </c>
      <c r="U18" s="352">
        <f>U16/Control!$B$15</f>
        <v>0.37608931323249895</v>
      </c>
    </row>
    <row r="19" spans="1:21" x14ac:dyDescent="0.3">
      <c r="A19" s="353" t="s">
        <v>313</v>
      </c>
      <c r="B19" s="352">
        <f>AVERAGE(B18:U18)</f>
        <v>0.24606246677695248</v>
      </c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</row>
    <row r="20" spans="1:21" x14ac:dyDescent="0.3">
      <c r="A20" s="236" t="s">
        <v>314</v>
      </c>
      <c r="B20" s="234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</row>
    <row r="21" spans="1:21" x14ac:dyDescent="0.3">
      <c r="A21" s="234" t="s">
        <v>315</v>
      </c>
      <c r="B21" s="235">
        <f t="shared" ref="B21:U21" si="5">B10+B14</f>
        <v>1422627.5950997942</v>
      </c>
      <c r="C21" s="235">
        <f t="shared" si="5"/>
        <v>1493758.9748547839</v>
      </c>
      <c r="D21" s="235">
        <f t="shared" si="5"/>
        <v>1568446.923597523</v>
      </c>
      <c r="E21" s="235">
        <f t="shared" si="5"/>
        <v>1646869.2697773995</v>
      </c>
      <c r="F21" s="235">
        <f t="shared" si="5"/>
        <v>1729212.7332662684</v>
      </c>
      <c r="G21" s="235">
        <f t="shared" si="5"/>
        <v>1815673.3699295837</v>
      </c>
      <c r="H21" s="235">
        <f t="shared" si="5"/>
        <v>1906457.0384260621</v>
      </c>
      <c r="I21" s="235">
        <f t="shared" si="5"/>
        <v>2001779.8903473653</v>
      </c>
      <c r="J21" s="235">
        <f t="shared" si="5"/>
        <v>2101868.8848647326</v>
      </c>
      <c r="K21" s="235">
        <f t="shared" si="5"/>
        <v>2206962.3291079691</v>
      </c>
      <c r="L21" s="235">
        <f t="shared" si="5"/>
        <v>2317310.4455633685</v>
      </c>
      <c r="M21" s="235">
        <f t="shared" si="5"/>
        <v>2433175.9678415372</v>
      </c>
      <c r="N21" s="235">
        <f t="shared" si="5"/>
        <v>2554834.7662336142</v>
      </c>
      <c r="O21" s="235">
        <f t="shared" si="5"/>
        <v>2682576.5045452947</v>
      </c>
      <c r="P21" s="235">
        <f t="shared" si="5"/>
        <v>2816705.3297725585</v>
      </c>
      <c r="Q21" s="235">
        <f t="shared" si="5"/>
        <v>2957540.5962611875</v>
      </c>
      <c r="R21" s="235">
        <f t="shared" si="5"/>
        <v>3105417.6260742466</v>
      </c>
      <c r="S21" s="235">
        <f t="shared" si="5"/>
        <v>3260688.5073779598</v>
      </c>
      <c r="T21" s="235">
        <f t="shared" si="5"/>
        <v>3423722.9327468583</v>
      </c>
      <c r="U21" s="235">
        <f t="shared" si="5"/>
        <v>3594909.0793841993</v>
      </c>
    </row>
    <row r="22" spans="1:21" x14ac:dyDescent="0.3">
      <c r="A22" s="234" t="s">
        <v>316</v>
      </c>
      <c r="B22" s="235">
        <f t="shared" ref="B22:U22" si="6">B11</f>
        <v>294248.40000000002</v>
      </c>
      <c r="C22" s="235">
        <f t="shared" si="6"/>
        <v>308960.82</v>
      </c>
      <c r="D22" s="235">
        <f t="shared" si="6"/>
        <v>324408.86100000003</v>
      </c>
      <c r="E22" s="235">
        <f t="shared" si="6"/>
        <v>340629.30405000004</v>
      </c>
      <c r="F22" s="235">
        <f t="shared" si="6"/>
        <v>357660.76925250003</v>
      </c>
      <c r="G22" s="235">
        <f t="shared" si="6"/>
        <v>375543.80771512503</v>
      </c>
      <c r="H22" s="235">
        <f t="shared" si="6"/>
        <v>394320.99810088123</v>
      </c>
      <c r="I22" s="235">
        <f t="shared" si="6"/>
        <v>414037.04800592538</v>
      </c>
      <c r="J22" s="235">
        <f t="shared" si="6"/>
        <v>434738.90040622151</v>
      </c>
      <c r="K22" s="235">
        <f t="shared" si="6"/>
        <v>456475.84542653261</v>
      </c>
      <c r="L22" s="235">
        <f t="shared" si="6"/>
        <v>479299.63769785932</v>
      </c>
      <c r="M22" s="235">
        <f t="shared" si="6"/>
        <v>503264.61958275229</v>
      </c>
      <c r="N22" s="235">
        <f t="shared" si="6"/>
        <v>528427.85056188982</v>
      </c>
      <c r="O22" s="235">
        <f t="shared" si="6"/>
        <v>554849.2430899844</v>
      </c>
      <c r="P22" s="235">
        <f t="shared" si="6"/>
        <v>582591.70524448343</v>
      </c>
      <c r="Q22" s="235">
        <f t="shared" si="6"/>
        <v>611721.29050670785</v>
      </c>
      <c r="R22" s="235">
        <f t="shared" si="6"/>
        <v>642307.3550320433</v>
      </c>
      <c r="S22" s="235">
        <f t="shared" si="6"/>
        <v>674422.7227836455</v>
      </c>
      <c r="T22" s="235">
        <f t="shared" si="6"/>
        <v>708143.85892282776</v>
      </c>
      <c r="U22" s="235">
        <f t="shared" si="6"/>
        <v>743551.05186896923</v>
      </c>
    </row>
    <row r="23" spans="1:21" x14ac:dyDescent="0.3">
      <c r="A23" s="234" t="s">
        <v>317</v>
      </c>
      <c r="B23" s="235">
        <f t="shared" ref="B23:U23" si="7">B12</f>
        <v>188164.8</v>
      </c>
      <c r="C23" s="235">
        <f t="shared" si="7"/>
        <v>197573.03999999998</v>
      </c>
      <c r="D23" s="235">
        <f t="shared" si="7"/>
        <v>207451.69200000001</v>
      </c>
      <c r="E23" s="235">
        <f t="shared" si="7"/>
        <v>217824.27660000004</v>
      </c>
      <c r="F23" s="235">
        <f t="shared" si="7"/>
        <v>228715.49043000001</v>
      </c>
      <c r="G23" s="235">
        <f t="shared" si="7"/>
        <v>240151.26495149999</v>
      </c>
      <c r="H23" s="235">
        <f t="shared" si="7"/>
        <v>252158.82819907501</v>
      </c>
      <c r="I23" s="235">
        <f t="shared" si="7"/>
        <v>264766.76960902882</v>
      </c>
      <c r="J23" s="235">
        <f t="shared" si="7"/>
        <v>278005.10808948014</v>
      </c>
      <c r="K23" s="235">
        <f t="shared" si="7"/>
        <v>291905.36349395424</v>
      </c>
      <c r="L23" s="235">
        <f t="shared" si="7"/>
        <v>306500.63166865194</v>
      </c>
      <c r="M23" s="235">
        <f t="shared" si="7"/>
        <v>321825.66325208457</v>
      </c>
      <c r="N23" s="235">
        <f t="shared" si="7"/>
        <v>337916.94641468872</v>
      </c>
      <c r="O23" s="235">
        <f t="shared" si="7"/>
        <v>354812.79373542324</v>
      </c>
      <c r="P23" s="235">
        <f t="shared" si="7"/>
        <v>372553.43342219427</v>
      </c>
      <c r="Q23" s="235">
        <f t="shared" si="7"/>
        <v>391181.10509330418</v>
      </c>
      <c r="R23" s="235">
        <f t="shared" si="7"/>
        <v>410740.16034796933</v>
      </c>
      <c r="S23" s="235">
        <f t="shared" si="7"/>
        <v>431277.16836536786</v>
      </c>
      <c r="T23" s="235">
        <f t="shared" si="7"/>
        <v>452841.02678363619</v>
      </c>
      <c r="U23" s="235">
        <f t="shared" si="7"/>
        <v>475483.07812281803</v>
      </c>
    </row>
    <row r="24" spans="1:21" x14ac:dyDescent="0.3">
      <c r="A24" s="234" t="s">
        <v>318</v>
      </c>
      <c r="B24" s="235">
        <f>B21*Control!$C$5</f>
        <v>711313.79754989711</v>
      </c>
      <c r="C24" s="235">
        <f>C21*Control!$C$5</f>
        <v>746879.48742739193</v>
      </c>
      <c r="D24" s="235">
        <f>D21*Control!$C$5</f>
        <v>784223.46179876151</v>
      </c>
      <c r="E24" s="235">
        <f>E21*Control!$C$5</f>
        <v>823434.63488869974</v>
      </c>
      <c r="F24" s="235">
        <f>F21*Control!$C$5</f>
        <v>864606.3666331342</v>
      </c>
      <c r="G24" s="235">
        <f>G21*Control!$C$5</f>
        <v>907836.68496479187</v>
      </c>
      <c r="H24" s="235">
        <f>H21*Control!$C$5</f>
        <v>953228.51921303105</v>
      </c>
      <c r="I24" s="235">
        <f>I21*Control!$C$5</f>
        <v>1000889.9451736826</v>
      </c>
      <c r="J24" s="235">
        <f>J21*Control!$C$5</f>
        <v>1050934.4424323663</v>
      </c>
      <c r="K24" s="235">
        <f>K21*Control!$C$5</f>
        <v>1103481.1645539845</v>
      </c>
      <c r="L24" s="235">
        <f>L21*Control!$C$5</f>
        <v>1158655.2227816842</v>
      </c>
      <c r="M24" s="235">
        <f>M21*Control!$C$5</f>
        <v>1216587.9839207686</v>
      </c>
      <c r="N24" s="235">
        <f>N21*Control!$C$5</f>
        <v>1277417.3831168071</v>
      </c>
      <c r="O24" s="235">
        <f>O21*Control!$C$5</f>
        <v>1341288.2522726473</v>
      </c>
      <c r="P24" s="235">
        <f>P21*Control!$C$5</f>
        <v>1408352.6648862793</v>
      </c>
      <c r="Q24" s="235">
        <f>Q21*Control!$C$5</f>
        <v>1478770.2981305937</v>
      </c>
      <c r="R24" s="235">
        <f>R21*Control!$C$5</f>
        <v>1552708.8130371233</v>
      </c>
      <c r="S24" s="235">
        <f>S21*Control!$C$5</f>
        <v>1630344.2536889799</v>
      </c>
      <c r="T24" s="235">
        <f>T21*Control!$C$5</f>
        <v>1711861.4663734292</v>
      </c>
      <c r="U24" s="235">
        <f>U21*Control!$C$5</f>
        <v>1797454.5396920997</v>
      </c>
    </row>
    <row r="25" spans="1:21" x14ac:dyDescent="0.3">
      <c r="A25" s="234" t="s">
        <v>319</v>
      </c>
      <c r="B25" s="235">
        <f>B22*Control!$C$7</f>
        <v>147124.20000000001</v>
      </c>
      <c r="C25" s="235">
        <f>C22*Control!$C$7</f>
        <v>154480.41</v>
      </c>
      <c r="D25" s="235">
        <f>D22*Control!$C$7</f>
        <v>162204.43050000002</v>
      </c>
      <c r="E25" s="235">
        <f>E22*Control!$C$7</f>
        <v>170314.65202500002</v>
      </c>
      <c r="F25" s="235">
        <f>F22*Control!$C$7</f>
        <v>178830.38462625002</v>
      </c>
      <c r="G25" s="235">
        <f>G22*Control!$C$7</f>
        <v>187771.90385756252</v>
      </c>
      <c r="H25" s="235">
        <f>H22*Control!$C$7</f>
        <v>197160.49905044062</v>
      </c>
      <c r="I25" s="235">
        <f>I22*Control!$C$7</f>
        <v>207018.52400296269</v>
      </c>
      <c r="J25" s="235">
        <f>J22*Control!$C$7</f>
        <v>217369.45020311075</v>
      </c>
      <c r="K25" s="235">
        <f>K22*Control!$C$7</f>
        <v>228237.92271326631</v>
      </c>
      <c r="L25" s="235">
        <f>L22*Control!$C$7</f>
        <v>239649.81884892966</v>
      </c>
      <c r="M25" s="235">
        <f>M22*Control!$C$7</f>
        <v>251632.30979137614</v>
      </c>
      <c r="N25" s="235">
        <f>N22*Control!$C$7</f>
        <v>264213.92528094491</v>
      </c>
      <c r="O25" s="235">
        <f>O22*Control!$C$7</f>
        <v>277424.6215449922</v>
      </c>
      <c r="P25" s="235">
        <f>P22*Control!$C$7</f>
        <v>291295.85262224171</v>
      </c>
      <c r="Q25" s="235">
        <f>Q22*Control!$C$7</f>
        <v>305860.64525335393</v>
      </c>
      <c r="R25" s="235">
        <f>R22*Control!$C$7</f>
        <v>321153.67751602165</v>
      </c>
      <c r="S25" s="235">
        <f>S22*Control!$C$7</f>
        <v>337211.36139182275</v>
      </c>
      <c r="T25" s="235">
        <f>T22*Control!$C$7</f>
        <v>354071.92946141388</v>
      </c>
      <c r="U25" s="235">
        <f>U22*Control!$C$7</f>
        <v>371775.52593448461</v>
      </c>
    </row>
    <row r="26" spans="1:21" x14ac:dyDescent="0.3">
      <c r="A26" s="234" t="s">
        <v>320</v>
      </c>
      <c r="B26" s="235">
        <f>B23*Control!$C$8</f>
        <v>94082.4</v>
      </c>
      <c r="C26" s="235">
        <f>C23*Control!$C$8</f>
        <v>98786.51999999999</v>
      </c>
      <c r="D26" s="235">
        <f>D23*Control!$C$8</f>
        <v>103725.84600000001</v>
      </c>
      <c r="E26" s="235">
        <f>E23*Control!$C$8</f>
        <v>108912.13830000002</v>
      </c>
      <c r="F26" s="235">
        <f>F23*Control!$C$8</f>
        <v>114357.745215</v>
      </c>
      <c r="G26" s="235">
        <f>G23*Control!$C$8</f>
        <v>120075.63247575</v>
      </c>
      <c r="H26" s="235">
        <f>H23*Control!$C$8</f>
        <v>126079.41409953751</v>
      </c>
      <c r="I26" s="235">
        <f>I23*Control!$C$8</f>
        <v>132383.38480451441</v>
      </c>
      <c r="J26" s="235">
        <f>J23*Control!$C$8</f>
        <v>139002.55404474007</v>
      </c>
      <c r="K26" s="235">
        <f>K23*Control!$C$8</f>
        <v>145952.68174697712</v>
      </c>
      <c r="L26" s="235">
        <f>L23*Control!$C$8</f>
        <v>153250.31583432597</v>
      </c>
      <c r="M26" s="235">
        <f>M23*Control!$C$8</f>
        <v>160912.83162604229</v>
      </c>
      <c r="N26" s="235">
        <f>N23*Control!$C$8</f>
        <v>168958.47320734436</v>
      </c>
      <c r="O26" s="235">
        <f>O23*Control!$C$8</f>
        <v>177406.39686771162</v>
      </c>
      <c r="P26" s="235">
        <f>P23*Control!$C$8</f>
        <v>186276.71671109713</v>
      </c>
      <c r="Q26" s="235">
        <f>Q23*Control!$C$8</f>
        <v>195590.55254665209</v>
      </c>
      <c r="R26" s="235">
        <f>R23*Control!$C$8</f>
        <v>205370.08017398466</v>
      </c>
      <c r="S26" s="235">
        <f>S23*Control!$C$8</f>
        <v>215638.58418268393</v>
      </c>
      <c r="T26" s="235">
        <f>T23*Control!$C$8</f>
        <v>226420.51339181809</v>
      </c>
      <c r="U26" s="235">
        <f>U23*Control!$C$8</f>
        <v>237741.53906140901</v>
      </c>
    </row>
    <row r="27" spans="1:21" x14ac:dyDescent="0.3">
      <c r="A27" s="234" t="s">
        <v>321</v>
      </c>
      <c r="B27" s="235">
        <f>B24</f>
        <v>711313.79754989711</v>
      </c>
      <c r="C27" s="235">
        <f t="shared" ref="C27:U27" si="8">B27+C24</f>
        <v>1458193.2849772889</v>
      </c>
      <c r="D27" s="235">
        <f t="shared" si="8"/>
        <v>2242416.7467760504</v>
      </c>
      <c r="E27" s="235">
        <f t="shared" si="8"/>
        <v>3065851.3816647502</v>
      </c>
      <c r="F27" s="235">
        <f t="shared" si="8"/>
        <v>3930457.7482978841</v>
      </c>
      <c r="G27" s="235">
        <f t="shared" si="8"/>
        <v>4838294.433262676</v>
      </c>
      <c r="H27" s="235">
        <f t="shared" si="8"/>
        <v>5791522.952475707</v>
      </c>
      <c r="I27" s="235">
        <f t="shared" si="8"/>
        <v>6792412.8976493897</v>
      </c>
      <c r="J27" s="235">
        <f t="shared" si="8"/>
        <v>7843347.340081756</v>
      </c>
      <c r="K27" s="235">
        <f t="shared" si="8"/>
        <v>8946828.5046357401</v>
      </c>
      <c r="L27" s="235">
        <f t="shared" si="8"/>
        <v>10105483.727417424</v>
      </c>
      <c r="M27" s="235">
        <f t="shared" si="8"/>
        <v>11322071.711338192</v>
      </c>
      <c r="N27" s="235">
        <f t="shared" si="8"/>
        <v>12599489.094455</v>
      </c>
      <c r="O27" s="235">
        <f t="shared" si="8"/>
        <v>13940777.346727647</v>
      </c>
      <c r="P27" s="235">
        <f t="shared" si="8"/>
        <v>15349130.011613926</v>
      </c>
      <c r="Q27" s="235">
        <f t="shared" si="8"/>
        <v>16827900.309744518</v>
      </c>
      <c r="R27" s="235">
        <f t="shared" si="8"/>
        <v>18380609.122781642</v>
      </c>
      <c r="S27" s="235">
        <f t="shared" si="8"/>
        <v>20010953.376470622</v>
      </c>
      <c r="T27" s="235">
        <f t="shared" si="8"/>
        <v>21722814.84284405</v>
      </c>
      <c r="U27" s="235">
        <f t="shared" si="8"/>
        <v>23520269.382536151</v>
      </c>
    </row>
    <row r="28" spans="1:21" x14ac:dyDescent="0.3">
      <c r="A28" s="234" t="s">
        <v>322</v>
      </c>
      <c r="B28" s="235">
        <f>B25</f>
        <v>147124.20000000001</v>
      </c>
      <c r="C28" s="235">
        <f t="shared" ref="C28:U28" si="9">B28+C25</f>
        <v>301604.61</v>
      </c>
      <c r="D28" s="235">
        <f t="shared" si="9"/>
        <v>463809.0405</v>
      </c>
      <c r="E28" s="235">
        <f t="shared" si="9"/>
        <v>634123.69252500008</v>
      </c>
      <c r="F28" s="235">
        <f t="shared" si="9"/>
        <v>812954.07715125009</v>
      </c>
      <c r="G28" s="235">
        <f t="shared" si="9"/>
        <v>1000725.9810088126</v>
      </c>
      <c r="H28" s="235">
        <f t="shared" si="9"/>
        <v>1197886.4800592531</v>
      </c>
      <c r="I28" s="235">
        <f t="shared" si="9"/>
        <v>1404905.0040622158</v>
      </c>
      <c r="J28" s="235">
        <f t="shared" si="9"/>
        <v>1622274.4542653265</v>
      </c>
      <c r="K28" s="235">
        <f t="shared" si="9"/>
        <v>1850512.3769785927</v>
      </c>
      <c r="L28" s="235">
        <f t="shared" si="9"/>
        <v>2090162.1958275223</v>
      </c>
      <c r="M28" s="235">
        <f t="shared" si="9"/>
        <v>2341794.5056188987</v>
      </c>
      <c r="N28" s="235">
        <f t="shared" si="9"/>
        <v>2606008.4308998436</v>
      </c>
      <c r="O28" s="235">
        <f t="shared" si="9"/>
        <v>2883433.0524448357</v>
      </c>
      <c r="P28" s="235">
        <f t="shared" si="9"/>
        <v>3174728.9050670774</v>
      </c>
      <c r="Q28" s="235">
        <f t="shared" si="9"/>
        <v>3480589.5503204311</v>
      </c>
      <c r="R28" s="235">
        <f t="shared" si="9"/>
        <v>3801743.2278364529</v>
      </c>
      <c r="S28" s="235">
        <f t="shared" si="9"/>
        <v>4138954.5892282757</v>
      </c>
      <c r="T28" s="235">
        <f t="shared" si="9"/>
        <v>4493026.5186896892</v>
      </c>
      <c r="U28" s="235">
        <f t="shared" si="9"/>
        <v>4864802.044624174</v>
      </c>
    </row>
    <row r="29" spans="1:21" x14ac:dyDescent="0.3">
      <c r="A29" s="234" t="s">
        <v>323</v>
      </c>
      <c r="B29" s="235">
        <f>B26</f>
        <v>94082.4</v>
      </c>
      <c r="C29" s="235">
        <f t="shared" ref="C29:U29" si="10">B29+C26</f>
        <v>192868.91999999998</v>
      </c>
      <c r="D29" s="235">
        <f t="shared" si="10"/>
        <v>296594.766</v>
      </c>
      <c r="E29" s="235">
        <f t="shared" si="10"/>
        <v>405506.90430000005</v>
      </c>
      <c r="F29" s="235">
        <f t="shared" si="10"/>
        <v>519864.64951500006</v>
      </c>
      <c r="G29" s="235">
        <f t="shared" si="10"/>
        <v>639940.28199074999</v>
      </c>
      <c r="H29" s="235">
        <f t="shared" si="10"/>
        <v>766019.69609028753</v>
      </c>
      <c r="I29" s="235">
        <f t="shared" si="10"/>
        <v>898403.080894802</v>
      </c>
      <c r="J29" s="235">
        <f t="shared" si="10"/>
        <v>1037405.634939542</v>
      </c>
      <c r="K29" s="235">
        <f t="shared" si="10"/>
        <v>1183358.3166865192</v>
      </c>
      <c r="L29" s="235">
        <f t="shared" si="10"/>
        <v>1336608.6325208452</v>
      </c>
      <c r="M29" s="235">
        <f t="shared" si="10"/>
        <v>1497521.4641468874</v>
      </c>
      <c r="N29" s="235">
        <f t="shared" si="10"/>
        <v>1666479.9373542317</v>
      </c>
      <c r="O29" s="235">
        <f t="shared" si="10"/>
        <v>1843886.3342219433</v>
      </c>
      <c r="P29" s="235">
        <f t="shared" si="10"/>
        <v>2030163.0509330404</v>
      </c>
      <c r="Q29" s="235">
        <f t="shared" si="10"/>
        <v>2225753.6034796927</v>
      </c>
      <c r="R29" s="235">
        <f t="shared" si="10"/>
        <v>2431123.6836536773</v>
      </c>
      <c r="S29" s="235">
        <f t="shared" si="10"/>
        <v>2646762.2678363612</v>
      </c>
      <c r="T29" s="235">
        <f t="shared" si="10"/>
        <v>2873182.7812281791</v>
      </c>
      <c r="U29" s="235">
        <f t="shared" si="10"/>
        <v>3110924.3202895881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9"/>
  </sheetPr>
  <dimension ref="A1:E46"/>
  <sheetViews>
    <sheetView topLeftCell="A6" workbookViewId="0">
      <selection activeCell="B8" sqref="B8"/>
    </sheetView>
  </sheetViews>
  <sheetFormatPr defaultRowHeight="14.4" x14ac:dyDescent="0.3"/>
  <cols>
    <col min="1" max="1" width="36.109375" style="90" bestFit="1" customWidth="1"/>
    <col min="2" max="2" width="38" style="19" bestFit="1" customWidth="1"/>
    <col min="3" max="3" width="25" style="91" bestFit="1" customWidth="1"/>
    <col min="4" max="4" width="22.33203125" style="91" bestFit="1" customWidth="1"/>
    <col min="5" max="5" width="25" style="88" bestFit="1" customWidth="1"/>
    <col min="6" max="9" width="8.88671875" style="19" customWidth="1"/>
    <col min="10" max="16384" width="8.88671875" style="19"/>
  </cols>
  <sheetData>
    <row r="1" spans="1:5" ht="18" customHeight="1" x14ac:dyDescent="0.3">
      <c r="A1" s="412" t="s">
        <v>324</v>
      </c>
      <c r="B1" s="402"/>
      <c r="C1" s="406"/>
      <c r="D1" s="406"/>
      <c r="E1" s="407"/>
    </row>
    <row r="2" spans="1:5" x14ac:dyDescent="0.3">
      <c r="A2" s="410" t="s">
        <v>325</v>
      </c>
      <c r="B2" s="402"/>
      <c r="C2" s="406"/>
      <c r="D2" s="406"/>
      <c r="E2" s="407"/>
    </row>
    <row r="3" spans="1:5" x14ac:dyDescent="0.3">
      <c r="A3" s="19"/>
      <c r="C3" s="19"/>
      <c r="D3" s="19"/>
      <c r="E3" s="19"/>
    </row>
    <row r="4" spans="1:5" x14ac:dyDescent="0.3">
      <c r="A4" s="405" t="s">
        <v>326</v>
      </c>
      <c r="B4" s="402"/>
      <c r="C4" s="406"/>
      <c r="D4" s="406"/>
      <c r="E4" s="407"/>
    </row>
    <row r="5" spans="1:5" s="60" customFormat="1" x14ac:dyDescent="0.3">
      <c r="A5" s="177" t="s">
        <v>25</v>
      </c>
      <c r="B5" s="177" t="s">
        <v>327</v>
      </c>
      <c r="C5" s="177" t="s">
        <v>328</v>
      </c>
      <c r="D5" s="177" t="s">
        <v>329</v>
      </c>
      <c r="E5" s="177" t="s">
        <v>287</v>
      </c>
    </row>
    <row r="6" spans="1:5" ht="57.6" customHeight="1" x14ac:dyDescent="0.3">
      <c r="A6" s="19" t="s">
        <v>330</v>
      </c>
      <c r="B6" s="3" t="s">
        <v>331</v>
      </c>
      <c r="C6" s="3" t="s">
        <v>332</v>
      </c>
      <c r="D6" s="3" t="s">
        <v>333</v>
      </c>
      <c r="E6" s="3" t="s">
        <v>334</v>
      </c>
    </row>
    <row r="7" spans="1:5" ht="28.8" customHeight="1" x14ac:dyDescent="0.3">
      <c r="A7" s="19" t="s">
        <v>335</v>
      </c>
      <c r="B7" s="3" t="s">
        <v>336</v>
      </c>
      <c r="C7" s="3" t="s">
        <v>337</v>
      </c>
      <c r="D7" s="3" t="s">
        <v>338</v>
      </c>
      <c r="E7" s="3" t="s">
        <v>339</v>
      </c>
    </row>
    <row r="8" spans="1:5" x14ac:dyDescent="0.3">
      <c r="A8" s="178" t="s">
        <v>340</v>
      </c>
      <c r="B8" s="179">
        <f>Valuation!C9</f>
        <v>6000000</v>
      </c>
      <c r="C8" s="179">
        <f>Valuation!D9</f>
        <v>4000000</v>
      </c>
      <c r="D8" s="179">
        <f>Valuation!E9</f>
        <v>2900000</v>
      </c>
      <c r="E8" s="179">
        <f>Valuation!F9</f>
        <v>12900000</v>
      </c>
    </row>
    <row r="9" spans="1:5" x14ac:dyDescent="0.3">
      <c r="A9" s="180" t="s">
        <v>341</v>
      </c>
      <c r="B9" s="181">
        <f>'Portfolio NewCo'!B6</f>
        <v>1948804.9247942385</v>
      </c>
      <c r="C9" s="181">
        <f>'Portfolio NewCo'!B7</f>
        <v>403080</v>
      </c>
      <c r="D9" s="181">
        <f>'Portfolio NewCo'!B8</f>
        <v>257760</v>
      </c>
      <c r="E9" s="181">
        <f>'Portfolio NewCo'!B9</f>
        <v>2609644.9247942385</v>
      </c>
    </row>
    <row r="10" spans="1:5" x14ac:dyDescent="0.3">
      <c r="A10" s="180" t="s">
        <v>295</v>
      </c>
      <c r="B10" s="182">
        <f>'INV - Property KPIs'!B9</f>
        <v>0.34131152918965763</v>
      </c>
      <c r="C10" s="182">
        <f>'INV - Property KPIs'!C9</f>
        <v>0.10589247499999999</v>
      </c>
      <c r="D10" s="182">
        <f>'INV - Property KPIs'!D9</f>
        <v>9.3400965517241377E-2</v>
      </c>
      <c r="E10" s="182">
        <f>'INV - Property KPIs'!F9</f>
        <v>0.21258154070836788</v>
      </c>
    </row>
    <row r="11" spans="1:5" x14ac:dyDescent="0.3">
      <c r="A11" s="183" t="s">
        <v>342</v>
      </c>
      <c r="B11" s="184">
        <f>'INV - Property KPIs'!B10</f>
        <v>2.9298746584218871</v>
      </c>
      <c r="C11" s="184">
        <f>'INV - Property KPIs'!C10</f>
        <v>9.4435416680930349</v>
      </c>
      <c r="D11" s="184">
        <f>'INV - Property KPIs'!D10</f>
        <v>10.706527437507107</v>
      </c>
      <c r="E11" s="184">
        <f>'INV - Property KPIs'!F10</f>
        <v>4.7040772997870972</v>
      </c>
    </row>
    <row r="12" spans="1:5" x14ac:dyDescent="0.3">
      <c r="A12" s="19"/>
      <c r="C12" s="19"/>
      <c r="D12" s="19"/>
      <c r="E12" s="19"/>
    </row>
    <row r="13" spans="1:5" x14ac:dyDescent="0.3">
      <c r="A13" s="405" t="s">
        <v>343</v>
      </c>
      <c r="B13" s="402"/>
      <c r="C13" s="406"/>
      <c r="D13" s="406"/>
      <c r="E13" s="407"/>
    </row>
    <row r="14" spans="1:5" x14ac:dyDescent="0.3">
      <c r="A14" s="177" t="s">
        <v>25</v>
      </c>
      <c r="B14" s="177" t="s">
        <v>327</v>
      </c>
      <c r="C14" s="177" t="s">
        <v>328</v>
      </c>
      <c r="D14" s="177" t="s">
        <v>329</v>
      </c>
      <c r="E14" s="177" t="s">
        <v>287</v>
      </c>
    </row>
    <row r="15" spans="1:5" x14ac:dyDescent="0.3">
      <c r="A15" s="178" t="s">
        <v>344</v>
      </c>
      <c r="B15" s="179">
        <f>Valuation!C10</f>
        <v>3000000</v>
      </c>
      <c r="C15" s="179">
        <f>Valuation!D10</f>
        <v>2000000</v>
      </c>
      <c r="D15" s="179">
        <f>Valuation!E10</f>
        <v>1450000</v>
      </c>
      <c r="E15" s="179">
        <f>Valuation!F10</f>
        <v>6450000</v>
      </c>
    </row>
    <row r="16" spans="1:5" x14ac:dyDescent="0.3">
      <c r="A16" s="180" t="s">
        <v>345</v>
      </c>
      <c r="B16" s="181">
        <f>'INV - Property KPIs'!B5</f>
        <v>3000000</v>
      </c>
      <c r="C16" s="181">
        <f>'INV - Property KPIs'!C5</f>
        <v>2000000</v>
      </c>
      <c r="D16" s="181">
        <f>'INV - Property KPIs'!D5</f>
        <v>1400000</v>
      </c>
      <c r="E16" s="181">
        <f>'INV - Property KPIs'!F5</f>
        <v>6400000</v>
      </c>
    </row>
    <row r="17" spans="1:5" x14ac:dyDescent="0.3">
      <c r="A17" s="180" t="s">
        <v>346</v>
      </c>
      <c r="B17" s="182">
        <f>'INV - Property KPIs'!B13</f>
        <v>0.27893315658884643</v>
      </c>
      <c r="C17" s="182">
        <f>'INV - Property KPIs'!C13</f>
        <v>0.11237278970030395</v>
      </c>
      <c r="D17" s="182">
        <f>'INV - Property KPIs'!D13</f>
        <v>0.11227214617910186</v>
      </c>
      <c r="E17" s="182">
        <f>'INV - Property KPIs'!F13</f>
        <v>0.1903614437955532</v>
      </c>
    </row>
    <row r="18" spans="1:5" x14ac:dyDescent="0.3">
      <c r="A18" s="180" t="s">
        <v>347</v>
      </c>
      <c r="B18" s="182">
        <f>'African Sky P&amp;L'!C28*Control!$B$5/Control!$B$12</f>
        <v>0.23710459918329904</v>
      </c>
      <c r="C18" s="182">
        <f>'Beachside P&amp;L'!C18*Control!$B$7/Control!$B$13</f>
        <v>7.3562100000000005E-2</v>
      </c>
      <c r="D18" s="182">
        <f>IFERROR('Menlyn P&amp;L'!C15*Control!$B$8/Control!$B$14,0)</f>
        <v>6.7201714285714281E-2</v>
      </c>
      <c r="E18" s="182">
        <f>'Portfolio NewCo'!B16/Control!$B$15</f>
        <v>0.14883131211717143</v>
      </c>
    </row>
    <row r="19" spans="1:5" x14ac:dyDescent="0.3">
      <c r="A19" s="180" t="s">
        <v>348</v>
      </c>
      <c r="B19" s="185">
        <f>'INV - Property KPIs'!B12</f>
        <v>2.5098572515159616</v>
      </c>
      <c r="C19" s="185">
        <f>'INV - Property KPIs'!C12</f>
        <v>1.6061817073256253</v>
      </c>
      <c r="D19" s="185">
        <f>'INV - Property KPIs'!D12</f>
        <v>1.6138831565732144</v>
      </c>
      <c r="E19" s="185">
        <f>'INV - Property KPIs'!F12</f>
        <v>2.0314643106877552</v>
      </c>
    </row>
    <row r="20" spans="1:5" x14ac:dyDescent="0.3">
      <c r="A20" s="180" t="s">
        <v>349</v>
      </c>
      <c r="B20" s="182">
        <f>'INV - Property KPIs'!B16</f>
        <v>0.28494675963867078</v>
      </c>
      <c r="C20" s="182">
        <f>'INV - Property KPIs'!C16</f>
        <v>0.1189072507381228</v>
      </c>
      <c r="D20" s="182">
        <f>'INV - Property KPIs'!D16</f>
        <v>0.1151162232027898</v>
      </c>
      <c r="E20" s="182">
        <f>'INV - Property KPIs'!F16</f>
        <v>0.19595827526478482</v>
      </c>
    </row>
    <row r="21" spans="1:5" x14ac:dyDescent="0.3">
      <c r="A21" s="180" t="s">
        <v>350</v>
      </c>
      <c r="B21" s="185">
        <f>'INV - Property KPIs'!B15</f>
        <v>4.5134371173827086</v>
      </c>
      <c r="C21" s="185">
        <f>'INV - Property KPIs'!C15</f>
        <v>2.4564171376600914</v>
      </c>
      <c r="D21" s="185">
        <f>'INV - Property KPIs'!D15</f>
        <v>2.4311012092744089</v>
      </c>
      <c r="E21" s="185">
        <f>'INV - Property KPIs'!F15</f>
        <v>3.4151073938207004</v>
      </c>
    </row>
    <row r="22" spans="1:5" x14ac:dyDescent="0.3">
      <c r="A22" s="180" t="s">
        <v>351</v>
      </c>
      <c r="B22" s="182">
        <f>'INV - Property KPIs'!B19</f>
        <v>0.28639637527130368</v>
      </c>
      <c r="C22" s="182">
        <f>'INV - Property KPIs'!C19</f>
        <v>0.12100886247434706</v>
      </c>
      <c r="D22" s="182">
        <f>'INV - Property KPIs'!D19</f>
        <v>0.11603550647222871</v>
      </c>
      <c r="E22" s="182">
        <f>'INV - Property KPIs'!F19</f>
        <v>0.19757585701617097</v>
      </c>
    </row>
    <row r="23" spans="1:5" x14ac:dyDescent="0.3">
      <c r="A23" s="180" t="s">
        <v>352</v>
      </c>
      <c r="B23" s="185">
        <f>'INV - Property KPIs'!B18</f>
        <v>7.0705691591846609</v>
      </c>
      <c r="C23" s="185">
        <f>'INV - Property KPIs'!C18</f>
        <v>3.5415569411802243</v>
      </c>
      <c r="D23" s="185">
        <f>'INV - Property KPIs'!D18</f>
        <v>3.4741015424790964</v>
      </c>
      <c r="E23" s="185">
        <f>'INV - Property KPIs'!F18</f>
        <v>5.1810255499039322</v>
      </c>
    </row>
    <row r="24" spans="1:5" x14ac:dyDescent="0.3">
      <c r="A24" s="408" t="s">
        <v>353</v>
      </c>
      <c r="B24" s="409"/>
      <c r="C24" s="409"/>
      <c r="D24" s="409"/>
      <c r="E24" s="409"/>
    </row>
    <row r="25" spans="1:5" x14ac:dyDescent="0.3">
      <c r="A25" s="173" t="s">
        <v>354</v>
      </c>
      <c r="B25" s="174">
        <f>'INV - Property KPIs'!B21</f>
        <v>10.334189637014472</v>
      </c>
      <c r="C25" s="175">
        <f>'INV - Property KPIs'!C21</f>
        <v>4.9265008651478421</v>
      </c>
      <c r="D25" s="175">
        <f>'INV - Property KPIs'!D21</f>
        <v>4.8052636374295954</v>
      </c>
      <c r="E25" s="176">
        <f>'INV - Property KPIs'!F21</f>
        <v>7.4348343333969593</v>
      </c>
    </row>
    <row r="26" spans="1:5" x14ac:dyDescent="0.3">
      <c r="A26" s="169" t="s">
        <v>355</v>
      </c>
      <c r="B26" s="170" t="s">
        <v>356</v>
      </c>
      <c r="C26" s="171">
        <f>'African Sky P&amp;L'!C7</f>
        <v>1306539.7805212622</v>
      </c>
      <c r="D26" s="171">
        <f>'African Sky P&amp;L'!D7</f>
        <v>1371866.7695473253</v>
      </c>
      <c r="E26" s="172" t="s">
        <v>357</v>
      </c>
    </row>
    <row r="27" spans="1:5" x14ac:dyDescent="0.3">
      <c r="A27" s="127" t="s">
        <v>358</v>
      </c>
      <c r="B27" s="132" t="s">
        <v>356</v>
      </c>
      <c r="C27" s="128">
        <f>'African Sky P&amp;L'!C8</f>
        <v>959125.00000000012</v>
      </c>
      <c r="D27" s="128">
        <f>'African Sky P&amp;L'!D8</f>
        <v>1007081.2500000001</v>
      </c>
      <c r="E27" s="126" t="s">
        <v>357</v>
      </c>
    </row>
    <row r="28" spans="1:5" ht="27.6" customHeight="1" x14ac:dyDescent="0.3">
      <c r="A28" s="127" t="s">
        <v>359</v>
      </c>
      <c r="B28" s="132" t="s">
        <v>360</v>
      </c>
      <c r="C28" s="128">
        <f>'African Sky P&amp;L'!C9</f>
        <v>0</v>
      </c>
      <c r="D28" s="128">
        <f>'African Sky P&amp;L'!D9</f>
        <v>0</v>
      </c>
      <c r="E28" s="126" t="s">
        <v>361</v>
      </c>
    </row>
    <row r="29" spans="1:5" ht="27.6" customHeight="1" x14ac:dyDescent="0.3">
      <c r="A29" s="127" t="s">
        <v>362</v>
      </c>
      <c r="B29" s="132" t="s">
        <v>363</v>
      </c>
      <c r="C29" s="128">
        <f>'African Sky P&amp;L'!C13</f>
        <v>510275.42438271613</v>
      </c>
      <c r="D29" s="128">
        <f>'African Sky P&amp;L'!D13</f>
        <v>535789.19560185191</v>
      </c>
      <c r="E29" s="126" t="s">
        <v>364</v>
      </c>
    </row>
    <row r="30" spans="1:5" ht="27.6" customHeight="1" x14ac:dyDescent="0.3">
      <c r="A30" s="127" t="s">
        <v>256</v>
      </c>
      <c r="B30" s="132" t="s">
        <v>365</v>
      </c>
      <c r="C30" s="128">
        <f>'African Sky P&amp;L'!C14</f>
        <v>2045556.4829818245</v>
      </c>
      <c r="D30" s="128">
        <f>'African Sky P&amp;L'!D14</f>
        <v>2147834.307130916</v>
      </c>
      <c r="E30" s="126" t="s">
        <v>366</v>
      </c>
    </row>
    <row r="31" spans="1:5" x14ac:dyDescent="0.3">
      <c r="A31" s="127" t="s">
        <v>367</v>
      </c>
      <c r="B31" s="132" t="s">
        <v>368</v>
      </c>
      <c r="C31" s="128">
        <f>'African Sky P&amp;L'!C15</f>
        <v>4821496.6878858032</v>
      </c>
      <c r="D31" s="128">
        <f>'African Sky P&amp;L'!D15</f>
        <v>5062571.5222800933</v>
      </c>
      <c r="E31" s="126" t="s">
        <v>369</v>
      </c>
    </row>
    <row r="32" spans="1:5" x14ac:dyDescent="0.3">
      <c r="A32" s="124"/>
      <c r="B32" s="111"/>
      <c r="C32" s="125"/>
      <c r="D32" s="125"/>
      <c r="E32" s="123"/>
    </row>
    <row r="33" spans="1:5" x14ac:dyDescent="0.3">
      <c r="A33" s="411" t="s">
        <v>370</v>
      </c>
      <c r="B33" s="402"/>
      <c r="C33" s="406"/>
      <c r="D33" s="406"/>
      <c r="E33" s="407"/>
    </row>
    <row r="34" spans="1:5" x14ac:dyDescent="0.3">
      <c r="A34" s="129" t="s">
        <v>371</v>
      </c>
      <c r="B34" s="129" t="s">
        <v>372</v>
      </c>
      <c r="C34" s="130" t="s">
        <v>373</v>
      </c>
      <c r="D34" s="130" t="s">
        <v>374</v>
      </c>
      <c r="E34" s="131" t="s">
        <v>28</v>
      </c>
    </row>
    <row r="35" spans="1:5" ht="27.6" customHeight="1" x14ac:dyDescent="0.3">
      <c r="A35" s="127" t="s">
        <v>375</v>
      </c>
      <c r="B35" s="132" t="s">
        <v>376</v>
      </c>
      <c r="C35" s="128">
        <f>Control!B54*Control!B55</f>
        <v>300000</v>
      </c>
      <c r="D35" s="128">
        <f>C35*(1+Control!B17)</f>
        <v>315000</v>
      </c>
      <c r="E35" s="126" t="s">
        <v>377</v>
      </c>
    </row>
    <row r="36" spans="1:5" ht="27.6" customHeight="1" x14ac:dyDescent="0.3">
      <c r="A36" s="127" t="s">
        <v>378</v>
      </c>
      <c r="B36" s="132" t="s">
        <v>379</v>
      </c>
      <c r="C36" s="128">
        <f>Control!B57*Control!B58*Control!B59*Control!B60</f>
        <v>243000</v>
      </c>
      <c r="D36" s="128">
        <f>C36*(1+Control!B17)</f>
        <v>255150</v>
      </c>
      <c r="E36" s="126" t="s">
        <v>380</v>
      </c>
    </row>
    <row r="37" spans="1:5" ht="27.6" customHeight="1" x14ac:dyDescent="0.3">
      <c r="A37" s="127" t="s">
        <v>381</v>
      </c>
      <c r="B37" s="132" t="s">
        <v>382</v>
      </c>
      <c r="C37" s="128">
        <f>SUM(C35:C36)</f>
        <v>543000</v>
      </c>
      <c r="D37" s="128">
        <f>SUM(D35:D36)</f>
        <v>570150</v>
      </c>
      <c r="E37" s="126" t="s">
        <v>383</v>
      </c>
    </row>
    <row r="38" spans="1:5" x14ac:dyDescent="0.3">
      <c r="A38" s="127" t="s">
        <v>341</v>
      </c>
      <c r="B38" s="132" t="s">
        <v>384</v>
      </c>
      <c r="C38" s="128">
        <f>'Portfolio NewCo'!B7</f>
        <v>403080</v>
      </c>
      <c r="D38" s="128">
        <f>'Portfolio NewCo'!C7</f>
        <v>423234</v>
      </c>
      <c r="E38" s="126" t="s">
        <v>385</v>
      </c>
    </row>
    <row r="39" spans="1:5" x14ac:dyDescent="0.3">
      <c r="A39" s="124"/>
      <c r="B39" s="111"/>
      <c r="C39" s="125"/>
      <c r="D39" s="125"/>
      <c r="E39" s="123"/>
    </row>
    <row r="40" spans="1:5" x14ac:dyDescent="0.3">
      <c r="A40" s="124" t="s">
        <v>386</v>
      </c>
      <c r="B40" s="111"/>
      <c r="C40" s="125"/>
      <c r="D40" s="125"/>
      <c r="E40" s="123"/>
    </row>
    <row r="41" spans="1:5" x14ac:dyDescent="0.3">
      <c r="A41" s="411" t="s">
        <v>371</v>
      </c>
      <c r="B41" s="402"/>
      <c r="C41" s="406"/>
      <c r="D41" s="406"/>
      <c r="E41" s="407"/>
    </row>
    <row r="42" spans="1:5" x14ac:dyDescent="0.3">
      <c r="A42" s="129" t="s">
        <v>273</v>
      </c>
      <c r="B42" s="129" t="s">
        <v>387</v>
      </c>
      <c r="C42" s="130"/>
      <c r="D42" s="130"/>
      <c r="E42" s="131" t="s">
        <v>388</v>
      </c>
    </row>
    <row r="43" spans="1:5" x14ac:dyDescent="0.3">
      <c r="A43" s="127" t="s">
        <v>381</v>
      </c>
      <c r="B43" s="132" t="s">
        <v>273</v>
      </c>
      <c r="C43" s="128">
        <f>Control!B68*12</f>
        <v>336000</v>
      </c>
      <c r="D43" s="128">
        <f>C43*(1+Control!B17)</f>
        <v>352800</v>
      </c>
      <c r="E43" s="126" t="s">
        <v>369</v>
      </c>
    </row>
    <row r="44" spans="1:5" x14ac:dyDescent="0.3">
      <c r="A44" s="127" t="s">
        <v>341</v>
      </c>
      <c r="B44" s="132" t="s">
        <v>389</v>
      </c>
      <c r="C44" s="128">
        <f>C43</f>
        <v>336000</v>
      </c>
      <c r="D44" s="128">
        <f>D43</f>
        <v>352800</v>
      </c>
      <c r="E44" s="126" t="s">
        <v>385</v>
      </c>
    </row>
    <row r="45" spans="1:5" x14ac:dyDescent="0.3">
      <c r="A45" s="127"/>
      <c r="B45" s="132"/>
      <c r="C45" s="128">
        <f>'Portfolio NewCo'!B8</f>
        <v>257760</v>
      </c>
      <c r="D45" s="128">
        <f>'Portfolio NewCo'!C8</f>
        <v>270648</v>
      </c>
      <c r="E45" s="126"/>
    </row>
    <row r="46" spans="1:5" x14ac:dyDescent="0.3">
      <c r="A46" s="48"/>
      <c r="B46" s="3"/>
      <c r="C46" s="89"/>
      <c r="D46" s="89"/>
      <c r="E46" s="60"/>
    </row>
  </sheetData>
  <mergeCells count="7">
    <mergeCell ref="A1:E1"/>
    <mergeCell ref="A13:E13"/>
    <mergeCell ref="A4:E4"/>
    <mergeCell ref="A24:E24"/>
    <mergeCell ref="A2:E2"/>
    <mergeCell ref="A41:E41"/>
    <mergeCell ref="A33:E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9"/>
  </sheetPr>
  <dimension ref="A1:V60"/>
  <sheetViews>
    <sheetView workbookViewId="0">
      <pane ySplit="5" topLeftCell="A39" activePane="bottomLeft" state="frozen"/>
      <selection pane="bottomLeft" activeCell="C43" sqref="C43"/>
    </sheetView>
  </sheetViews>
  <sheetFormatPr defaultRowHeight="14.4" x14ac:dyDescent="0.3"/>
  <cols>
    <col min="1" max="1" width="30.88671875" style="79" bestFit="1" customWidth="1"/>
    <col min="2" max="2" width="18.77734375" style="100" bestFit="1" customWidth="1"/>
    <col min="3" max="22" width="11.21875" style="100" bestFit="1" customWidth="1"/>
  </cols>
  <sheetData>
    <row r="1" spans="1:22" ht="21" customHeight="1" x14ac:dyDescent="0.4">
      <c r="A1" s="415" t="s">
        <v>390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</row>
    <row r="2" spans="1:22" x14ac:dyDescent="0.3">
      <c r="A2" s="413" t="s">
        <v>391</v>
      </c>
      <c r="B2" s="409"/>
      <c r="C2" s="409"/>
      <c r="D2" s="409"/>
      <c r="E2" s="409"/>
      <c r="F2" s="409"/>
      <c r="G2" s="409"/>
      <c r="H2" s="409"/>
      <c r="I2" s="409"/>
      <c r="J2" s="409"/>
      <c r="K2" s="409"/>
      <c r="L2" s="409"/>
      <c r="M2" s="409"/>
      <c r="N2" s="409"/>
      <c r="O2" s="409"/>
      <c r="P2" s="409"/>
      <c r="Q2" s="409"/>
      <c r="R2" s="409"/>
      <c r="S2" s="409"/>
      <c r="T2" s="409"/>
      <c r="U2" s="409"/>
      <c r="V2" s="409"/>
    </row>
    <row r="3" spans="1:22" x14ac:dyDescent="0.3">
      <c r="A3" s="413" t="s">
        <v>392</v>
      </c>
      <c r="B3" s="409"/>
      <c r="C3" s="40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  <c r="S3" s="409"/>
      <c r="T3" s="409"/>
      <c r="U3" s="409"/>
      <c r="V3" s="409"/>
    </row>
    <row r="4" spans="1:22" x14ac:dyDescent="0.3">
      <c r="A4" s="101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</row>
    <row r="5" spans="1:22" x14ac:dyDescent="0.3">
      <c r="A5" s="102" t="s">
        <v>247</v>
      </c>
      <c r="B5" s="95" t="s">
        <v>393</v>
      </c>
      <c r="C5" s="95">
        <v>1</v>
      </c>
      <c r="D5" s="95">
        <v>2</v>
      </c>
      <c r="E5" s="95">
        <v>3</v>
      </c>
      <c r="F5" s="95">
        <v>4</v>
      </c>
      <c r="G5" s="95">
        <v>5</v>
      </c>
      <c r="H5" s="95">
        <v>6</v>
      </c>
      <c r="I5" s="95">
        <v>7</v>
      </c>
      <c r="J5" s="95">
        <v>8</v>
      </c>
      <c r="K5" s="95">
        <v>9</v>
      </c>
      <c r="L5" s="95">
        <v>10</v>
      </c>
      <c r="M5" s="95">
        <v>11</v>
      </c>
      <c r="N5" s="95">
        <v>12</v>
      </c>
      <c r="O5" s="95">
        <v>13</v>
      </c>
      <c r="P5" s="95">
        <v>14</v>
      </c>
      <c r="Q5" s="95">
        <v>15</v>
      </c>
      <c r="R5" s="95">
        <v>16</v>
      </c>
      <c r="S5" s="95">
        <v>17</v>
      </c>
      <c r="T5" s="95">
        <v>18</v>
      </c>
      <c r="U5" s="95">
        <v>19</v>
      </c>
      <c r="V5" s="95">
        <v>20</v>
      </c>
    </row>
    <row r="6" spans="1:22" x14ac:dyDescent="0.3">
      <c r="A6" s="101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</row>
    <row r="7" spans="1:22" x14ac:dyDescent="0.3">
      <c r="A7" s="414" t="s">
        <v>394</v>
      </c>
      <c r="B7" s="409"/>
      <c r="C7" s="409"/>
      <c r="D7" s="409"/>
      <c r="E7" s="409"/>
      <c r="F7" s="409"/>
      <c r="G7" s="409"/>
      <c r="H7" s="409"/>
      <c r="I7" s="409"/>
      <c r="J7" s="409"/>
      <c r="K7" s="409"/>
      <c r="L7" s="409"/>
      <c r="M7" s="409"/>
      <c r="N7" s="409"/>
      <c r="O7" s="409"/>
      <c r="P7" s="409"/>
      <c r="Q7" s="409"/>
      <c r="R7" s="409"/>
      <c r="S7" s="409"/>
      <c r="T7" s="409"/>
      <c r="U7" s="409"/>
      <c r="V7" s="409"/>
    </row>
    <row r="8" spans="1:22" x14ac:dyDescent="0.3">
      <c r="A8" s="101" t="s">
        <v>395</v>
      </c>
      <c r="B8" s="96">
        <f>0</f>
        <v>0</v>
      </c>
      <c r="C8" s="96">
        <f>SUM('African Sky P&amp;L'!C15,'Beachside P&amp;L'!C8,'Menlyn P&amp;L'!C6)</f>
        <v>5700496.6878858032</v>
      </c>
      <c r="D8" s="96">
        <f>SUM('African Sky P&amp;L'!D15,'Beachside P&amp;L'!D8,'Menlyn P&amp;L'!D6)</f>
        <v>5985521.5222800933</v>
      </c>
      <c r="E8" s="96">
        <f>SUM('African Sky P&amp;L'!E15,'Beachside P&amp;L'!E8,'Menlyn P&amp;L'!E6)</f>
        <v>6284797.5983940978</v>
      </c>
      <c r="F8" s="96">
        <f>SUM('African Sky P&amp;L'!F15,'Beachside P&amp;L'!F8,'Menlyn P&amp;L'!F6)</f>
        <v>6599037.4783138037</v>
      </c>
      <c r="G8" s="96">
        <f>SUM('African Sky P&amp;L'!G15,'Beachside P&amp;L'!G8,'Menlyn P&amp;L'!G6)</f>
        <v>6928989.3522294918</v>
      </c>
      <c r="H8" s="96">
        <f>SUM('African Sky P&amp;L'!H15,'Beachside P&amp;L'!H8,'Menlyn P&amp;L'!H6)</f>
        <v>7275438.8198409695</v>
      </c>
      <c r="I8" s="96">
        <f>SUM('African Sky P&amp;L'!I15,'Beachside P&amp;L'!I8,'Menlyn P&amp;L'!I6)</f>
        <v>7639210.7608330166</v>
      </c>
      <c r="J8" s="96">
        <f>SUM('African Sky P&amp;L'!J15,'Beachside P&amp;L'!J8,'Menlyn P&amp;L'!J6)</f>
        <v>8021171.2988746678</v>
      </c>
      <c r="K8" s="96">
        <f>SUM('African Sky P&amp;L'!K15,'Beachside P&amp;L'!K8,'Menlyn P&amp;L'!K6)</f>
        <v>8422229.8638183996</v>
      </c>
      <c r="L8" s="96">
        <f>SUM('African Sky P&amp;L'!L15,'Beachside P&amp;L'!L8,'Menlyn P&amp;L'!L6)</f>
        <v>8843341.3570093215</v>
      </c>
      <c r="M8" s="96">
        <f>SUM('African Sky P&amp;L'!M15,'Beachside P&amp;L'!M8,'Menlyn P&amp;L'!M6)</f>
        <v>9285508.4248597864</v>
      </c>
      <c r="N8" s="96">
        <f>SUM('African Sky P&amp;L'!N15,'Beachside P&amp;L'!N8,'Menlyn P&amp;L'!N6)</f>
        <v>9749783.846102776</v>
      </c>
      <c r="O8" s="96">
        <f>SUM('African Sky P&amp;L'!O15,'Beachside P&amp;L'!O8,'Menlyn P&amp;L'!O6)</f>
        <v>10237273.038407914</v>
      </c>
      <c r="P8" s="96">
        <f>SUM('African Sky P&amp;L'!P15,'Beachside P&amp;L'!P8,'Menlyn P&amp;L'!P6)</f>
        <v>10749136.690328311</v>
      </c>
      <c r="Q8" s="96">
        <f>SUM('African Sky P&amp;L'!Q15,'Beachside P&amp;L'!Q8,'Menlyn P&amp;L'!Q6)</f>
        <v>11286593.524844725</v>
      </c>
      <c r="R8" s="96">
        <f>SUM('African Sky P&amp;L'!R15,'Beachside P&amp;L'!R8,'Menlyn P&amp;L'!R6)</f>
        <v>11850923.201086964</v>
      </c>
      <c r="S8" s="96">
        <f>SUM('African Sky P&amp;L'!S15,'Beachside P&amp;L'!S8,'Menlyn P&amp;L'!S6)</f>
        <v>12443469.361141311</v>
      </c>
      <c r="T8" s="96">
        <f>SUM('African Sky P&amp;L'!T15,'Beachside P&amp;L'!T8,'Menlyn P&amp;L'!T6)</f>
        <v>13065642.829198381</v>
      </c>
      <c r="U8" s="96">
        <f>SUM('African Sky P&amp;L'!U15,'Beachside P&amp;L'!U8,'Menlyn P&amp;L'!U6)</f>
        <v>13718924.970658299</v>
      </c>
      <c r="V8" s="96">
        <f>SUM('African Sky P&amp;L'!V15,'Beachside P&amp;L'!V8,'Menlyn P&amp;L'!V6)</f>
        <v>14404871.219191212</v>
      </c>
    </row>
    <row r="9" spans="1:22" x14ac:dyDescent="0.3">
      <c r="A9" s="101" t="s">
        <v>396</v>
      </c>
      <c r="B9" s="96">
        <f>0</f>
        <v>0</v>
      </c>
      <c r="C9" s="96">
        <f t="shared" ref="C9:V9" si="0">C8-C10</f>
        <v>3090851.7630915646</v>
      </c>
      <c r="D9" s="96">
        <f t="shared" si="0"/>
        <v>3245394.3512461428</v>
      </c>
      <c r="E9" s="96">
        <f t="shared" si="0"/>
        <v>3407664.0688084494</v>
      </c>
      <c r="F9" s="96">
        <f t="shared" si="0"/>
        <v>3578047.2722488726</v>
      </c>
      <c r="G9" s="96">
        <f t="shared" si="0"/>
        <v>3756949.6358613158</v>
      </c>
      <c r="H9" s="96">
        <f t="shared" si="0"/>
        <v>3944797.1176543823</v>
      </c>
      <c r="I9" s="96">
        <f t="shared" si="0"/>
        <v>4142036.9735371009</v>
      </c>
      <c r="J9" s="96">
        <f t="shared" si="0"/>
        <v>4349138.8222139562</v>
      </c>
      <c r="K9" s="96">
        <f t="shared" si="0"/>
        <v>4566595.7633246537</v>
      </c>
      <c r="L9" s="96">
        <f t="shared" si="0"/>
        <v>4794925.551490888</v>
      </c>
      <c r="M9" s="96">
        <f t="shared" si="0"/>
        <v>5034671.8290654309</v>
      </c>
      <c r="N9" s="96">
        <f t="shared" si="0"/>
        <v>5286405.4205187019</v>
      </c>
      <c r="O9" s="96">
        <f t="shared" si="0"/>
        <v>5550725.6915446362</v>
      </c>
      <c r="P9" s="96">
        <f t="shared" si="0"/>
        <v>5828261.9761218689</v>
      </c>
      <c r="Q9" s="96">
        <f t="shared" si="0"/>
        <v>6119675.0749279624</v>
      </c>
      <c r="R9" s="96">
        <f t="shared" si="0"/>
        <v>6425658.828674363</v>
      </c>
      <c r="S9" s="96">
        <f t="shared" si="0"/>
        <v>6746941.7701080786</v>
      </c>
      <c r="T9" s="96">
        <f t="shared" si="0"/>
        <v>7084288.8586134864</v>
      </c>
      <c r="U9" s="96">
        <f t="shared" si="0"/>
        <v>7438503.3015441587</v>
      </c>
      <c r="V9" s="96">
        <f t="shared" si="0"/>
        <v>7810428.4666213673</v>
      </c>
    </row>
    <row r="10" spans="1:22" x14ac:dyDescent="0.3">
      <c r="A10" s="103" t="s">
        <v>397</v>
      </c>
      <c r="B10" s="97">
        <f>0</f>
        <v>0</v>
      </c>
      <c r="C10" s="97">
        <f>'Portfolio NewCo'!B9</f>
        <v>2609644.9247942385</v>
      </c>
      <c r="D10" s="97">
        <f>'Portfolio NewCo'!C9</f>
        <v>2740127.1710339505</v>
      </c>
      <c r="E10" s="97">
        <f>'Portfolio NewCo'!D9</f>
        <v>2877133.5295856483</v>
      </c>
      <c r="F10" s="97">
        <f>'Portfolio NewCo'!E9</f>
        <v>3020990.2060649311</v>
      </c>
      <c r="G10" s="97">
        <f>'Portfolio NewCo'!F9</f>
        <v>3172039.716368176</v>
      </c>
      <c r="H10" s="97">
        <f>'Portfolio NewCo'!G9</f>
        <v>3330641.7021865873</v>
      </c>
      <c r="I10" s="97">
        <f>'Portfolio NewCo'!H9</f>
        <v>3497173.7872959157</v>
      </c>
      <c r="J10" s="97">
        <f>'Portfolio NewCo'!I9</f>
        <v>3672032.4766607117</v>
      </c>
      <c r="K10" s="97">
        <f>'Portfolio NewCo'!J9</f>
        <v>3855634.1004937463</v>
      </c>
      <c r="L10" s="97">
        <f>'Portfolio NewCo'!K9</f>
        <v>4048415.805518433</v>
      </c>
      <c r="M10" s="97">
        <f>'Portfolio NewCo'!L9</f>
        <v>4250836.5957943555</v>
      </c>
      <c r="N10" s="97">
        <f>'Portfolio NewCo'!M9</f>
        <v>4463378.4255840741</v>
      </c>
      <c r="O10" s="97">
        <f>'Portfolio NewCo'!N9</f>
        <v>4686547.3468632782</v>
      </c>
      <c r="P10" s="97">
        <f>'Portfolio NewCo'!O9</f>
        <v>4920874.7142064422</v>
      </c>
      <c r="Q10" s="97">
        <f>'Portfolio NewCo'!P9</f>
        <v>5166918.4499167623</v>
      </c>
      <c r="R10" s="97">
        <f>'Portfolio NewCo'!Q9</f>
        <v>5425264.3724126015</v>
      </c>
      <c r="S10" s="97">
        <f>'Portfolio NewCo'!R9</f>
        <v>5696527.5910332324</v>
      </c>
      <c r="T10" s="97">
        <f>'Portfolio NewCo'!S9</f>
        <v>5981353.9705848945</v>
      </c>
      <c r="U10" s="97">
        <f>'Portfolio NewCo'!T9</f>
        <v>6280421.6691141399</v>
      </c>
      <c r="V10" s="97">
        <f>'Portfolio NewCo'!U9</f>
        <v>6594442.7525698449</v>
      </c>
    </row>
    <row r="11" spans="1:22" x14ac:dyDescent="0.3">
      <c r="A11" s="101" t="s">
        <v>269</v>
      </c>
      <c r="B11" s="96">
        <f>0</f>
        <v>0</v>
      </c>
      <c r="C11" s="96">
        <f t="shared" ref="C11:V11" si="1">C12-C10</f>
        <v>-704604.12969444436</v>
      </c>
      <c r="D11" s="96">
        <f t="shared" si="1"/>
        <v>-739834.33617916657</v>
      </c>
      <c r="E11" s="96">
        <f t="shared" si="1"/>
        <v>-776826.05298812548</v>
      </c>
      <c r="F11" s="96">
        <f t="shared" si="1"/>
        <v>-815667.35563753173</v>
      </c>
      <c r="G11" s="96">
        <f t="shared" si="1"/>
        <v>-856450.72341940738</v>
      </c>
      <c r="H11" s="96">
        <f t="shared" si="1"/>
        <v>-899273.2595903785</v>
      </c>
      <c r="I11" s="96">
        <f t="shared" si="1"/>
        <v>-944236.92256989703</v>
      </c>
      <c r="J11" s="96">
        <f t="shared" si="1"/>
        <v>-991448.76869839197</v>
      </c>
      <c r="K11" s="96">
        <f t="shared" si="1"/>
        <v>-1041021.2071333122</v>
      </c>
      <c r="L11" s="96">
        <f t="shared" si="1"/>
        <v>-1093072.2674899772</v>
      </c>
      <c r="M11" s="96">
        <f t="shared" si="1"/>
        <v>-1147725.8808644759</v>
      </c>
      <c r="N11" s="96">
        <f t="shared" si="1"/>
        <v>-1205112.1749077002</v>
      </c>
      <c r="O11" s="96">
        <f t="shared" si="1"/>
        <v>-1265367.7836530856</v>
      </c>
      <c r="P11" s="96">
        <f t="shared" si="1"/>
        <v>-1328636.1728357403</v>
      </c>
      <c r="Q11" s="96">
        <f t="shared" si="1"/>
        <v>-1395067.981477526</v>
      </c>
      <c r="R11" s="96">
        <f t="shared" si="1"/>
        <v>-1464821.380551402</v>
      </c>
      <c r="S11" s="96">
        <f t="shared" si="1"/>
        <v>-1538062.4495789735</v>
      </c>
      <c r="T11" s="96">
        <f t="shared" si="1"/>
        <v>-1614965.5720579214</v>
      </c>
      <c r="U11" s="96">
        <f t="shared" si="1"/>
        <v>-1695713.8506608177</v>
      </c>
      <c r="V11" s="96">
        <f t="shared" si="1"/>
        <v>-1780499.5431938581</v>
      </c>
    </row>
    <row r="12" spans="1:22" x14ac:dyDescent="0.3">
      <c r="A12" s="103" t="s">
        <v>398</v>
      </c>
      <c r="B12" s="97">
        <f>0</f>
        <v>0</v>
      </c>
      <c r="C12" s="97">
        <f>'Portfolio NewCo'!B13</f>
        <v>1905040.7950997942</v>
      </c>
      <c r="D12" s="97">
        <f>'Portfolio NewCo'!C13</f>
        <v>2000292.834854784</v>
      </c>
      <c r="E12" s="97">
        <f>'Portfolio NewCo'!D13</f>
        <v>2100307.4765975229</v>
      </c>
      <c r="F12" s="97">
        <f>'Portfolio NewCo'!E13</f>
        <v>2205322.8504273994</v>
      </c>
      <c r="G12" s="97">
        <f>'Portfolio NewCo'!F13</f>
        <v>2315588.9929487687</v>
      </c>
      <c r="H12" s="97">
        <f>'Portfolio NewCo'!G13</f>
        <v>2431368.4425962088</v>
      </c>
      <c r="I12" s="97">
        <f>'Portfolio NewCo'!H13</f>
        <v>2552936.8647260186</v>
      </c>
      <c r="J12" s="97">
        <f>'Portfolio NewCo'!I13</f>
        <v>2680583.7079623197</v>
      </c>
      <c r="K12" s="97">
        <f>'Portfolio NewCo'!J13</f>
        <v>2814612.8933604341</v>
      </c>
      <c r="L12" s="97">
        <f>'Portfolio NewCo'!K13</f>
        <v>2955343.5380284558</v>
      </c>
      <c r="M12" s="97">
        <f>'Portfolio NewCo'!L13</f>
        <v>3103110.7149298796</v>
      </c>
      <c r="N12" s="97">
        <f>'Portfolio NewCo'!M13</f>
        <v>3258266.250676374</v>
      </c>
      <c r="O12" s="97">
        <f>'Portfolio NewCo'!N13</f>
        <v>3421179.5632101926</v>
      </c>
      <c r="P12" s="97">
        <f>'Portfolio NewCo'!O13</f>
        <v>3592238.541370702</v>
      </c>
      <c r="Q12" s="97">
        <f>'Portfolio NewCo'!P13</f>
        <v>3771850.4684392363</v>
      </c>
      <c r="R12" s="97">
        <f>'Portfolio NewCo'!Q13</f>
        <v>3960442.9918611995</v>
      </c>
      <c r="S12" s="97">
        <f>'Portfolio NewCo'!R13</f>
        <v>4158465.1414542589</v>
      </c>
      <c r="T12" s="97">
        <f>'Portfolio NewCo'!S13</f>
        <v>4366388.3985269731</v>
      </c>
      <c r="U12" s="97">
        <f>'Portfolio NewCo'!T13</f>
        <v>4584707.8184533222</v>
      </c>
      <c r="V12" s="97">
        <f>'Portfolio NewCo'!U13</f>
        <v>4813943.2093759868</v>
      </c>
    </row>
    <row r="13" spans="1:22" x14ac:dyDescent="0.3">
      <c r="A13" s="101" t="s">
        <v>399</v>
      </c>
      <c r="B13" s="98" t="str">
        <f>""</f>
        <v/>
      </c>
      <c r="C13" s="98">
        <f t="shared" ref="C13:V13" si="2">IFERROR(C12/C8,0)</f>
        <v>0.33418856275247388</v>
      </c>
      <c r="D13" s="98">
        <f t="shared" si="2"/>
        <v>0.33418856275247388</v>
      </c>
      <c r="E13" s="98">
        <f t="shared" si="2"/>
        <v>0.33418856275247383</v>
      </c>
      <c r="F13" s="98">
        <f t="shared" si="2"/>
        <v>0.33418856275247383</v>
      </c>
      <c r="G13" s="98">
        <f t="shared" si="2"/>
        <v>0.33418856275247383</v>
      </c>
      <c r="H13" s="98">
        <f t="shared" si="2"/>
        <v>0.33418856275247394</v>
      </c>
      <c r="I13" s="98">
        <f t="shared" si="2"/>
        <v>0.33418856275247394</v>
      </c>
      <c r="J13" s="98">
        <f t="shared" si="2"/>
        <v>0.33418856275247394</v>
      </c>
      <c r="K13" s="98">
        <f t="shared" si="2"/>
        <v>0.33418856275247377</v>
      </c>
      <c r="L13" s="98">
        <f t="shared" si="2"/>
        <v>0.33418856275247372</v>
      </c>
      <c r="M13" s="98">
        <f t="shared" si="2"/>
        <v>0.33418856275247388</v>
      </c>
      <c r="N13" s="98">
        <f t="shared" si="2"/>
        <v>0.33418856275247388</v>
      </c>
      <c r="O13" s="98">
        <f t="shared" si="2"/>
        <v>0.33418856275247394</v>
      </c>
      <c r="P13" s="98">
        <f t="shared" si="2"/>
        <v>0.33418856275247388</v>
      </c>
      <c r="Q13" s="98">
        <f t="shared" si="2"/>
        <v>0.33418856275247383</v>
      </c>
      <c r="R13" s="98">
        <f t="shared" si="2"/>
        <v>0.33418856275247388</v>
      </c>
      <c r="S13" s="98">
        <f t="shared" si="2"/>
        <v>0.33418856275247388</v>
      </c>
      <c r="T13" s="98">
        <f t="shared" si="2"/>
        <v>0.33418856275247383</v>
      </c>
      <c r="U13" s="98">
        <f t="shared" si="2"/>
        <v>0.33418856275247394</v>
      </c>
      <c r="V13" s="98">
        <f t="shared" si="2"/>
        <v>0.33418856275247383</v>
      </c>
    </row>
    <row r="14" spans="1:22" x14ac:dyDescent="0.3">
      <c r="A14" s="101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</row>
    <row r="15" spans="1:22" x14ac:dyDescent="0.3">
      <c r="A15" s="414" t="s">
        <v>400</v>
      </c>
      <c r="B15" s="409"/>
      <c r="C15" s="409"/>
      <c r="D15" s="409"/>
      <c r="E15" s="409"/>
      <c r="F15" s="409"/>
      <c r="G15" s="409"/>
      <c r="H15" s="409"/>
      <c r="I15" s="409"/>
      <c r="J15" s="409"/>
      <c r="K15" s="409"/>
      <c r="L15" s="409"/>
      <c r="M15" s="409"/>
      <c r="N15" s="409"/>
      <c r="O15" s="409"/>
      <c r="P15" s="409"/>
      <c r="Q15" s="409"/>
      <c r="R15" s="409"/>
      <c r="S15" s="409"/>
      <c r="T15" s="409"/>
      <c r="U15" s="409"/>
      <c r="V15" s="409"/>
    </row>
    <row r="16" spans="1:22" x14ac:dyDescent="0.3">
      <c r="A16" s="104" t="s">
        <v>401</v>
      </c>
      <c r="B16" s="98">
        <f>IFERROR(Valuation!$F$10/Valuation!$F$9,0)</f>
        <v>0.5</v>
      </c>
      <c r="C16" s="98">
        <f>IFERROR(Valuation!$F$10/Valuation!$F$9,0)</f>
        <v>0.5</v>
      </c>
      <c r="D16" s="98">
        <f>IFERROR(Valuation!$F$10/Valuation!$F$9,0)</f>
        <v>0.5</v>
      </c>
      <c r="E16" s="98">
        <f>IFERROR(Valuation!$F$10/Valuation!$F$9,0)</f>
        <v>0.5</v>
      </c>
      <c r="F16" s="98">
        <f>IFERROR(Valuation!$F$10/Valuation!$F$9,0)</f>
        <v>0.5</v>
      </c>
      <c r="G16" s="98">
        <f>IFERROR(Valuation!$F$10/Valuation!$F$9,0)</f>
        <v>0.5</v>
      </c>
      <c r="H16" s="98">
        <f>IFERROR(Valuation!$F$10/Valuation!$F$9,0)</f>
        <v>0.5</v>
      </c>
      <c r="I16" s="98">
        <f>IFERROR(Valuation!$F$10/Valuation!$F$9,0)</f>
        <v>0.5</v>
      </c>
      <c r="J16" s="98">
        <f>IFERROR(Valuation!$F$10/Valuation!$F$9,0)</f>
        <v>0.5</v>
      </c>
      <c r="K16" s="98">
        <f>IFERROR(Valuation!$F$10/Valuation!$F$9,0)</f>
        <v>0.5</v>
      </c>
      <c r="L16" s="98">
        <f>IFERROR(Valuation!$F$10/Valuation!$F$9,0)</f>
        <v>0.5</v>
      </c>
      <c r="M16" s="98">
        <f>IFERROR(Valuation!$F$10/Valuation!$F$9,0)</f>
        <v>0.5</v>
      </c>
      <c r="N16" s="98">
        <f>IFERROR(Valuation!$F$10/Valuation!$F$9,0)</f>
        <v>0.5</v>
      </c>
      <c r="O16" s="98">
        <f>IFERROR(Valuation!$F$10/Valuation!$F$9,0)</f>
        <v>0.5</v>
      </c>
      <c r="P16" s="98">
        <f>IFERROR(Valuation!$F$10/Valuation!$F$9,0)</f>
        <v>0.5</v>
      </c>
      <c r="Q16" s="98">
        <f>IFERROR(Valuation!$F$10/Valuation!$F$9,0)</f>
        <v>0.5</v>
      </c>
      <c r="R16" s="98">
        <f>IFERROR(Valuation!$F$10/Valuation!$F$9,0)</f>
        <v>0.5</v>
      </c>
      <c r="S16" s="98">
        <f>IFERROR(Valuation!$F$10/Valuation!$F$9,0)</f>
        <v>0.5</v>
      </c>
      <c r="T16" s="98">
        <f>IFERROR(Valuation!$F$10/Valuation!$F$9,0)</f>
        <v>0.5</v>
      </c>
      <c r="U16" s="98">
        <f>IFERROR(Valuation!$F$10/Valuation!$F$9,0)</f>
        <v>0.5</v>
      </c>
      <c r="V16" s="98">
        <f>IFERROR(Valuation!$F$10/Valuation!$F$9,0)</f>
        <v>0.5</v>
      </c>
    </row>
    <row r="17" spans="1:22" x14ac:dyDescent="0.3">
      <c r="A17" s="104" t="s">
        <v>402</v>
      </c>
      <c r="B17" s="96">
        <f>0</f>
        <v>0</v>
      </c>
      <c r="C17" s="96">
        <f t="shared" ref="C17:V17" si="3">C10*C16</f>
        <v>1304822.4623971193</v>
      </c>
      <c r="D17" s="96">
        <f t="shared" si="3"/>
        <v>1370063.5855169753</v>
      </c>
      <c r="E17" s="96">
        <f t="shared" si="3"/>
        <v>1438566.7647928242</v>
      </c>
      <c r="F17" s="96">
        <f t="shared" si="3"/>
        <v>1510495.1030324656</v>
      </c>
      <c r="G17" s="96">
        <f t="shared" si="3"/>
        <v>1586019.858184088</v>
      </c>
      <c r="H17" s="96">
        <f t="shared" si="3"/>
        <v>1665320.8510932936</v>
      </c>
      <c r="I17" s="96">
        <f t="shared" si="3"/>
        <v>1748586.8936479578</v>
      </c>
      <c r="J17" s="96">
        <f t="shared" si="3"/>
        <v>1836016.2383303558</v>
      </c>
      <c r="K17" s="96">
        <f t="shared" si="3"/>
        <v>1927817.0502468732</v>
      </c>
      <c r="L17" s="96">
        <f t="shared" si="3"/>
        <v>2024207.9027592165</v>
      </c>
      <c r="M17" s="96">
        <f t="shared" si="3"/>
        <v>2125418.2978971777</v>
      </c>
      <c r="N17" s="96">
        <f t="shared" si="3"/>
        <v>2231689.2127920371</v>
      </c>
      <c r="O17" s="96">
        <f t="shared" si="3"/>
        <v>2343273.6734316391</v>
      </c>
      <c r="P17" s="96">
        <f t="shared" si="3"/>
        <v>2460437.3571032211</v>
      </c>
      <c r="Q17" s="96">
        <f t="shared" si="3"/>
        <v>2583459.2249583811</v>
      </c>
      <c r="R17" s="96">
        <f t="shared" si="3"/>
        <v>2712632.1862063007</v>
      </c>
      <c r="S17" s="96">
        <f t="shared" si="3"/>
        <v>2848263.7955166162</v>
      </c>
      <c r="T17" s="96">
        <f t="shared" si="3"/>
        <v>2990676.9852924473</v>
      </c>
      <c r="U17" s="96">
        <f t="shared" si="3"/>
        <v>3140210.8345570699</v>
      </c>
      <c r="V17" s="96">
        <f t="shared" si="3"/>
        <v>3297221.3762849225</v>
      </c>
    </row>
    <row r="18" spans="1:22" x14ac:dyDescent="0.3">
      <c r="A18" s="104" t="s">
        <v>403</v>
      </c>
      <c r="B18" s="96">
        <f>0</f>
        <v>0</v>
      </c>
      <c r="C18" s="96">
        <f t="shared" ref="C18:V18" si="4">C12*C16</f>
        <v>952520.39754989708</v>
      </c>
      <c r="D18" s="96">
        <f t="shared" si="4"/>
        <v>1000146.417427392</v>
      </c>
      <c r="E18" s="96">
        <f t="shared" si="4"/>
        <v>1050153.7382987614</v>
      </c>
      <c r="F18" s="96">
        <f t="shared" si="4"/>
        <v>1102661.4252136997</v>
      </c>
      <c r="G18" s="96">
        <f t="shared" si="4"/>
        <v>1157794.4964743843</v>
      </c>
      <c r="H18" s="96">
        <f t="shared" si="4"/>
        <v>1215684.2212981044</v>
      </c>
      <c r="I18" s="96">
        <f t="shared" si="4"/>
        <v>1276468.4323630093</v>
      </c>
      <c r="J18" s="96">
        <f t="shared" si="4"/>
        <v>1340291.8539811599</v>
      </c>
      <c r="K18" s="96">
        <f t="shared" si="4"/>
        <v>1407306.4466802171</v>
      </c>
      <c r="L18" s="96">
        <f t="shared" si="4"/>
        <v>1477671.7690142279</v>
      </c>
      <c r="M18" s="96">
        <f t="shared" si="4"/>
        <v>1551555.3574649398</v>
      </c>
      <c r="N18" s="96">
        <f t="shared" si="4"/>
        <v>1629133.125338187</v>
      </c>
      <c r="O18" s="96">
        <f t="shared" si="4"/>
        <v>1710589.7816050963</v>
      </c>
      <c r="P18" s="96">
        <f t="shared" si="4"/>
        <v>1796119.270685351</v>
      </c>
      <c r="Q18" s="96">
        <f t="shared" si="4"/>
        <v>1885925.2342196181</v>
      </c>
      <c r="R18" s="96">
        <f t="shared" si="4"/>
        <v>1980221.4959305997</v>
      </c>
      <c r="S18" s="96">
        <f t="shared" si="4"/>
        <v>2079232.5707271295</v>
      </c>
      <c r="T18" s="96">
        <f t="shared" si="4"/>
        <v>2183194.1992634865</v>
      </c>
      <c r="U18" s="96">
        <f t="shared" si="4"/>
        <v>2292353.9092266611</v>
      </c>
      <c r="V18" s="96">
        <f t="shared" si="4"/>
        <v>2406971.6046879934</v>
      </c>
    </row>
    <row r="19" spans="1:22" x14ac:dyDescent="0.3">
      <c r="A19" s="104" t="s">
        <v>404</v>
      </c>
      <c r="B19" s="98" t="str">
        <f>""</f>
        <v/>
      </c>
      <c r="C19" s="98">
        <f>'INV - Investor KPIs'!C9</f>
        <v>0.14883131211717143</v>
      </c>
      <c r="D19" s="98">
        <f>'INV - Investor KPIs'!D9</f>
        <v>0.15627287772303</v>
      </c>
      <c r="E19" s="98">
        <f>'INV - Investor KPIs'!E9</f>
        <v>0.16408652160918147</v>
      </c>
      <c r="F19" s="98">
        <f>'INV - Investor KPIs'!F9</f>
        <v>0.17229084768964056</v>
      </c>
      <c r="G19" s="98">
        <f>'INV - Investor KPIs'!G9</f>
        <v>0.18090539007412254</v>
      </c>
      <c r="H19" s="98">
        <f>'INV - Investor KPIs'!H9</f>
        <v>0.18995065957782881</v>
      </c>
      <c r="I19" s="98">
        <f>'INV - Investor KPIs'!I9</f>
        <v>0.19944819255672019</v>
      </c>
      <c r="J19" s="98">
        <f>'INV - Investor KPIs'!J9</f>
        <v>0.20942060218455621</v>
      </c>
      <c r="K19" s="98">
        <f>'INV - Investor KPIs'!K9</f>
        <v>0.21989163229378392</v>
      </c>
      <c r="L19" s="98">
        <f>'INV - Investor KPIs'!L9</f>
        <v>0.23088621390847311</v>
      </c>
      <c r="M19" s="98">
        <f>'INV - Investor KPIs'!M9</f>
        <v>0.24243052460389686</v>
      </c>
      <c r="N19" s="98">
        <f>'INV - Investor KPIs'!N9</f>
        <v>0.25455205083409171</v>
      </c>
      <c r="O19" s="98">
        <f>'INV - Investor KPIs'!O9</f>
        <v>0.26727965337579629</v>
      </c>
      <c r="P19" s="98">
        <f>'INV - Investor KPIs'!P9</f>
        <v>0.28064363604458609</v>
      </c>
      <c r="Q19" s="98">
        <f>'INV - Investor KPIs'!Q9</f>
        <v>0.29467581784681535</v>
      </c>
      <c r="R19" s="98">
        <f>'INV - Investor KPIs'!R9</f>
        <v>0.30940960873915618</v>
      </c>
      <c r="S19" s="98">
        <f>'INV - Investor KPIs'!S9</f>
        <v>0.324880089176114</v>
      </c>
      <c r="T19" s="98">
        <f>'INV - Investor KPIs'!T9</f>
        <v>0.34112409363491975</v>
      </c>
      <c r="U19" s="98">
        <f>'INV - Investor KPIs'!U9</f>
        <v>0.35818029831666581</v>
      </c>
      <c r="V19" s="98">
        <f>'INV - Investor KPIs'!V9</f>
        <v>0.37608931323249895</v>
      </c>
    </row>
    <row r="20" spans="1:22" x14ac:dyDescent="0.3">
      <c r="A20" s="101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</row>
    <row r="21" spans="1:22" x14ac:dyDescent="0.3">
      <c r="A21" s="414" t="s">
        <v>405</v>
      </c>
      <c r="B21" s="409"/>
      <c r="C21" s="409"/>
      <c r="D21" s="409"/>
      <c r="E21" s="409"/>
      <c r="F21" s="409"/>
      <c r="G21" s="409"/>
      <c r="H21" s="409"/>
      <c r="I21" s="409"/>
      <c r="J21" s="409"/>
      <c r="K21" s="409"/>
      <c r="L21" s="409"/>
      <c r="M21" s="409"/>
      <c r="N21" s="409"/>
      <c r="O21" s="409"/>
      <c r="P21" s="409"/>
      <c r="Q21" s="409"/>
      <c r="R21" s="409"/>
      <c r="S21" s="409"/>
      <c r="T21" s="409"/>
      <c r="U21" s="409"/>
      <c r="V21" s="409"/>
    </row>
    <row r="22" spans="1:22" x14ac:dyDescent="0.3">
      <c r="A22" s="101" t="s">
        <v>406</v>
      </c>
      <c r="B22" s="96">
        <f>0</f>
        <v>0</v>
      </c>
      <c r="C22" s="96">
        <f t="shared" ref="C22:V22" si="5">C46</f>
        <v>0</v>
      </c>
      <c r="D22" s="96">
        <f t="shared" si="5"/>
        <v>0</v>
      </c>
      <c r="E22" s="96">
        <f t="shared" si="5"/>
        <v>0</v>
      </c>
      <c r="F22" s="96">
        <f t="shared" si="5"/>
        <v>0</v>
      </c>
      <c r="G22" s="96">
        <f t="shared" si="5"/>
        <v>0</v>
      </c>
      <c r="H22" s="96">
        <f t="shared" si="5"/>
        <v>0</v>
      </c>
      <c r="I22" s="96">
        <f t="shared" si="5"/>
        <v>0</v>
      </c>
      <c r="J22" s="96">
        <f t="shared" si="5"/>
        <v>0</v>
      </c>
      <c r="K22" s="96">
        <f t="shared" si="5"/>
        <v>0</v>
      </c>
      <c r="L22" s="96">
        <f t="shared" si="5"/>
        <v>0</v>
      </c>
      <c r="M22" s="96">
        <f t="shared" si="5"/>
        <v>0</v>
      </c>
      <c r="N22" s="96">
        <f t="shared" si="5"/>
        <v>0</v>
      </c>
      <c r="O22" s="96">
        <f t="shared" si="5"/>
        <v>0</v>
      </c>
      <c r="P22" s="96">
        <f t="shared" si="5"/>
        <v>0</v>
      </c>
      <c r="Q22" s="96">
        <f t="shared" si="5"/>
        <v>0</v>
      </c>
      <c r="R22" s="96">
        <f t="shared" si="5"/>
        <v>0</v>
      </c>
      <c r="S22" s="96">
        <f t="shared" si="5"/>
        <v>0</v>
      </c>
      <c r="T22" s="96">
        <f t="shared" si="5"/>
        <v>0</v>
      </c>
      <c r="U22" s="96">
        <f t="shared" si="5"/>
        <v>0</v>
      </c>
      <c r="V22" s="96">
        <f t="shared" si="5"/>
        <v>0</v>
      </c>
    </row>
    <row r="23" spans="1:22" x14ac:dyDescent="0.3">
      <c r="A23" s="101" t="s">
        <v>407</v>
      </c>
      <c r="B23" s="96">
        <f>Valuation!$F$9</f>
        <v>12900000</v>
      </c>
      <c r="C23" s="96">
        <f>Valuation!$F$9*POWER(1+Control!$B$78,C$5)</f>
        <v>13545000</v>
      </c>
      <c r="D23" s="96">
        <f>Valuation!$F$9*POWER(1+Control!$B$78,D$5)</f>
        <v>14222250</v>
      </c>
      <c r="E23" s="96">
        <f>Valuation!$F$9*POWER(1+Control!$B$78,E$5)</f>
        <v>14933362.500000002</v>
      </c>
      <c r="F23" s="96">
        <f>Valuation!$F$9*POWER(1+Control!$B$78,F$5)</f>
        <v>15680030.625</v>
      </c>
      <c r="G23" s="96">
        <f>Valuation!$F$9*POWER(1+Control!$B$78,G$5)</f>
        <v>16464032.156250002</v>
      </c>
      <c r="H23" s="96">
        <f>Valuation!$F$9*POWER(1+Control!$B$78,H$5)</f>
        <v>17287233.764062501</v>
      </c>
      <c r="I23" s="96">
        <f>Valuation!$F$9*POWER(1+Control!$B$78,I$5)</f>
        <v>18151595.452265628</v>
      </c>
      <c r="J23" s="96">
        <f>Valuation!$F$9*POWER(1+Control!$B$78,J$5)</f>
        <v>19059175.224878907</v>
      </c>
      <c r="K23" s="96">
        <f>Valuation!$F$9*POWER(1+Control!$B$78,K$5)</f>
        <v>20012133.986122854</v>
      </c>
      <c r="L23" s="96">
        <f>Valuation!$F$9*POWER(1+Control!$B$78,L$5)</f>
        <v>21012740.685428996</v>
      </c>
      <c r="M23" s="96">
        <f>Valuation!$F$9*POWER(1+Control!$B$78,M$5)</f>
        <v>22063377.719700448</v>
      </c>
      <c r="N23" s="96">
        <f>Valuation!$F$9*POWER(1+Control!$B$78,N$5)</f>
        <v>23166546.605685465</v>
      </c>
      <c r="O23" s="96">
        <f>Valuation!$F$9*POWER(1+Control!$B$78,O$5)</f>
        <v>24324873.935969744</v>
      </c>
      <c r="P23" s="96">
        <f>Valuation!$F$9*POWER(1+Control!$B$78,P$5)</f>
        <v>25541117.632768225</v>
      </c>
      <c r="Q23" s="96">
        <f>Valuation!$F$9*POWER(1+Control!$B$78,Q$5)</f>
        <v>26818173.514406644</v>
      </c>
      <c r="R23" s="96">
        <f>Valuation!$F$9*POWER(1+Control!$B$78,R$5)</f>
        <v>28159082.190126974</v>
      </c>
      <c r="S23" s="96">
        <f>Valuation!$F$9*POWER(1+Control!$B$78,S$5)</f>
        <v>29567036.299633328</v>
      </c>
      <c r="T23" s="96">
        <f>Valuation!$F$9*POWER(1+Control!$B$78,T$5)</f>
        <v>31045388.114614993</v>
      </c>
      <c r="U23" s="96">
        <f>Valuation!$F$9*POWER(1+Control!$B$78,U$5)</f>
        <v>32597657.520345744</v>
      </c>
      <c r="V23" s="96">
        <f>Valuation!$F$9*POWER(1+Control!$B$78,V$5)</f>
        <v>34227540.396363027</v>
      </c>
    </row>
    <row r="24" spans="1:22" x14ac:dyDescent="0.3">
      <c r="A24" s="103" t="s">
        <v>408</v>
      </c>
      <c r="B24" s="97">
        <f t="shared" ref="B24:V24" si="6">SUM(B22:B23)</f>
        <v>12900000</v>
      </c>
      <c r="C24" s="97">
        <f t="shared" si="6"/>
        <v>13545000</v>
      </c>
      <c r="D24" s="97">
        <f t="shared" si="6"/>
        <v>14222250</v>
      </c>
      <c r="E24" s="97">
        <f t="shared" si="6"/>
        <v>14933362.500000002</v>
      </c>
      <c r="F24" s="97">
        <f t="shared" si="6"/>
        <v>15680030.625</v>
      </c>
      <c r="G24" s="97">
        <f t="shared" si="6"/>
        <v>16464032.156250002</v>
      </c>
      <c r="H24" s="97">
        <f t="shared" si="6"/>
        <v>17287233.764062501</v>
      </c>
      <c r="I24" s="97">
        <f t="shared" si="6"/>
        <v>18151595.452265628</v>
      </c>
      <c r="J24" s="97">
        <f t="shared" si="6"/>
        <v>19059175.224878907</v>
      </c>
      <c r="K24" s="97">
        <f t="shared" si="6"/>
        <v>20012133.986122854</v>
      </c>
      <c r="L24" s="97">
        <f t="shared" si="6"/>
        <v>21012740.685428996</v>
      </c>
      <c r="M24" s="97">
        <f t="shared" si="6"/>
        <v>22063377.719700448</v>
      </c>
      <c r="N24" s="97">
        <f t="shared" si="6"/>
        <v>23166546.605685465</v>
      </c>
      <c r="O24" s="97">
        <f t="shared" si="6"/>
        <v>24324873.935969744</v>
      </c>
      <c r="P24" s="97">
        <f t="shared" si="6"/>
        <v>25541117.632768225</v>
      </c>
      <c r="Q24" s="97">
        <f t="shared" si="6"/>
        <v>26818173.514406644</v>
      </c>
      <c r="R24" s="97">
        <f t="shared" si="6"/>
        <v>28159082.190126974</v>
      </c>
      <c r="S24" s="97">
        <f t="shared" si="6"/>
        <v>29567036.299633328</v>
      </c>
      <c r="T24" s="97">
        <f t="shared" si="6"/>
        <v>31045388.114614993</v>
      </c>
      <c r="U24" s="97">
        <f t="shared" si="6"/>
        <v>32597657.520345744</v>
      </c>
      <c r="V24" s="97">
        <f t="shared" si="6"/>
        <v>34227540.396363027</v>
      </c>
    </row>
    <row r="25" spans="1:22" x14ac:dyDescent="0.3">
      <c r="A25" s="101" t="s">
        <v>409</v>
      </c>
      <c r="B25" s="96">
        <f>0</f>
        <v>0</v>
      </c>
      <c r="C25" s="96">
        <f>0</f>
        <v>0</v>
      </c>
      <c r="D25" s="96">
        <f>0</f>
        <v>0</v>
      </c>
      <c r="E25" s="96">
        <f>0</f>
        <v>0</v>
      </c>
      <c r="F25" s="96">
        <f>0</f>
        <v>0</v>
      </c>
      <c r="G25" s="96">
        <f>0</f>
        <v>0</v>
      </c>
      <c r="H25" s="96">
        <f>0</f>
        <v>0</v>
      </c>
      <c r="I25" s="96">
        <f>0</f>
        <v>0</v>
      </c>
      <c r="J25" s="96">
        <f>0</f>
        <v>0</v>
      </c>
      <c r="K25" s="96">
        <f>0</f>
        <v>0</v>
      </c>
      <c r="L25" s="96">
        <f>0</f>
        <v>0</v>
      </c>
      <c r="M25" s="96">
        <f>0</f>
        <v>0</v>
      </c>
      <c r="N25" s="96">
        <f>0</f>
        <v>0</v>
      </c>
      <c r="O25" s="96">
        <f>0</f>
        <v>0</v>
      </c>
      <c r="P25" s="96">
        <f>0</f>
        <v>0</v>
      </c>
      <c r="Q25" s="96">
        <f>0</f>
        <v>0</v>
      </c>
      <c r="R25" s="96">
        <f>0</f>
        <v>0</v>
      </c>
      <c r="S25" s="96">
        <f>0</f>
        <v>0</v>
      </c>
      <c r="T25" s="96">
        <f>0</f>
        <v>0</v>
      </c>
      <c r="U25" s="96">
        <f>0</f>
        <v>0</v>
      </c>
      <c r="V25" s="96">
        <f>0</f>
        <v>0</v>
      </c>
    </row>
    <row r="26" spans="1:22" x14ac:dyDescent="0.3">
      <c r="A26" s="101" t="s">
        <v>410</v>
      </c>
      <c r="B26" s="96">
        <f t="shared" ref="B26:V26" si="7">B25</f>
        <v>0</v>
      </c>
      <c r="C26" s="96">
        <f t="shared" si="7"/>
        <v>0</v>
      </c>
      <c r="D26" s="96">
        <f t="shared" si="7"/>
        <v>0</v>
      </c>
      <c r="E26" s="96">
        <f t="shared" si="7"/>
        <v>0</v>
      </c>
      <c r="F26" s="96">
        <f t="shared" si="7"/>
        <v>0</v>
      </c>
      <c r="G26" s="96">
        <f t="shared" si="7"/>
        <v>0</v>
      </c>
      <c r="H26" s="96">
        <f t="shared" si="7"/>
        <v>0</v>
      </c>
      <c r="I26" s="96">
        <f t="shared" si="7"/>
        <v>0</v>
      </c>
      <c r="J26" s="96">
        <f t="shared" si="7"/>
        <v>0</v>
      </c>
      <c r="K26" s="96">
        <f t="shared" si="7"/>
        <v>0</v>
      </c>
      <c r="L26" s="96">
        <f t="shared" si="7"/>
        <v>0</v>
      </c>
      <c r="M26" s="96">
        <f t="shared" si="7"/>
        <v>0</v>
      </c>
      <c r="N26" s="96">
        <f t="shared" si="7"/>
        <v>0</v>
      </c>
      <c r="O26" s="96">
        <f t="shared" si="7"/>
        <v>0</v>
      </c>
      <c r="P26" s="96">
        <f t="shared" si="7"/>
        <v>0</v>
      </c>
      <c r="Q26" s="96">
        <f t="shared" si="7"/>
        <v>0</v>
      </c>
      <c r="R26" s="96">
        <f t="shared" si="7"/>
        <v>0</v>
      </c>
      <c r="S26" s="96">
        <f t="shared" si="7"/>
        <v>0</v>
      </c>
      <c r="T26" s="96">
        <f t="shared" si="7"/>
        <v>0</v>
      </c>
      <c r="U26" s="96">
        <f t="shared" si="7"/>
        <v>0</v>
      </c>
      <c r="V26" s="96">
        <f t="shared" si="7"/>
        <v>0</v>
      </c>
    </row>
    <row r="27" spans="1:22" x14ac:dyDescent="0.3">
      <c r="A27" s="101" t="s">
        <v>411</v>
      </c>
      <c r="B27" s="96">
        <f>Valuation!$F$9</f>
        <v>12900000</v>
      </c>
      <c r="C27" s="96">
        <f>Valuation!$F$9</f>
        <v>12900000</v>
      </c>
      <c r="D27" s="96">
        <f>Valuation!$F$9</f>
        <v>12900000</v>
      </c>
      <c r="E27" s="96">
        <f>Valuation!$F$9</f>
        <v>12900000</v>
      </c>
      <c r="F27" s="96">
        <f>Valuation!$F$9</f>
        <v>12900000</v>
      </c>
      <c r="G27" s="96">
        <f>Valuation!$F$9</f>
        <v>12900000</v>
      </c>
      <c r="H27" s="96">
        <f>Valuation!$F$9</f>
        <v>12900000</v>
      </c>
      <c r="I27" s="96">
        <f>Valuation!$F$9</f>
        <v>12900000</v>
      </c>
      <c r="J27" s="96">
        <f>Valuation!$F$9</f>
        <v>12900000</v>
      </c>
      <c r="K27" s="96">
        <f>Valuation!$F$9</f>
        <v>12900000</v>
      </c>
      <c r="L27" s="96">
        <f>Valuation!$F$9</f>
        <v>12900000</v>
      </c>
      <c r="M27" s="96">
        <f>Valuation!$F$9</f>
        <v>12900000</v>
      </c>
      <c r="N27" s="96">
        <f>Valuation!$F$9</f>
        <v>12900000</v>
      </c>
      <c r="O27" s="96">
        <f>Valuation!$F$9</f>
        <v>12900000</v>
      </c>
      <c r="P27" s="96">
        <f>Valuation!$F$9</f>
        <v>12900000</v>
      </c>
      <c r="Q27" s="96">
        <f>Valuation!$F$9</f>
        <v>12900000</v>
      </c>
      <c r="R27" s="96">
        <f>Valuation!$F$9</f>
        <v>12900000</v>
      </c>
      <c r="S27" s="96">
        <f>Valuation!$F$9</f>
        <v>12900000</v>
      </c>
      <c r="T27" s="96">
        <f>Valuation!$F$9</f>
        <v>12900000</v>
      </c>
      <c r="U27" s="96">
        <f>Valuation!$F$9</f>
        <v>12900000</v>
      </c>
      <c r="V27" s="96">
        <f>Valuation!$F$9</f>
        <v>12900000</v>
      </c>
    </row>
    <row r="28" spans="1:22" x14ac:dyDescent="0.3">
      <c r="A28" s="101" t="s">
        <v>412</v>
      </c>
      <c r="B28" s="96">
        <f>0</f>
        <v>0</v>
      </c>
      <c r="C28" s="96">
        <f t="shared" ref="C28:V28" si="8">B28+C42+C44</f>
        <v>0</v>
      </c>
      <c r="D28" s="96">
        <f t="shared" si="8"/>
        <v>0</v>
      </c>
      <c r="E28" s="96">
        <f t="shared" si="8"/>
        <v>0</v>
      </c>
      <c r="F28" s="96">
        <f t="shared" si="8"/>
        <v>0</v>
      </c>
      <c r="G28" s="96">
        <f t="shared" si="8"/>
        <v>0</v>
      </c>
      <c r="H28" s="96">
        <f t="shared" si="8"/>
        <v>0</v>
      </c>
      <c r="I28" s="96">
        <f t="shared" si="8"/>
        <v>0</v>
      </c>
      <c r="J28" s="96">
        <f t="shared" si="8"/>
        <v>0</v>
      </c>
      <c r="K28" s="96">
        <f t="shared" si="8"/>
        <v>0</v>
      </c>
      <c r="L28" s="96">
        <f t="shared" si="8"/>
        <v>0</v>
      </c>
      <c r="M28" s="96">
        <f t="shared" si="8"/>
        <v>0</v>
      </c>
      <c r="N28" s="96">
        <f t="shared" si="8"/>
        <v>0</v>
      </c>
      <c r="O28" s="96">
        <f t="shared" si="8"/>
        <v>0</v>
      </c>
      <c r="P28" s="96">
        <f t="shared" si="8"/>
        <v>0</v>
      </c>
      <c r="Q28" s="96">
        <f t="shared" si="8"/>
        <v>0</v>
      </c>
      <c r="R28" s="96">
        <f t="shared" si="8"/>
        <v>0</v>
      </c>
      <c r="S28" s="96">
        <f t="shared" si="8"/>
        <v>0</v>
      </c>
      <c r="T28" s="96">
        <f t="shared" si="8"/>
        <v>0</v>
      </c>
      <c r="U28" s="96">
        <f t="shared" si="8"/>
        <v>0</v>
      </c>
      <c r="V28" s="96">
        <f t="shared" si="8"/>
        <v>0</v>
      </c>
    </row>
    <row r="29" spans="1:22" x14ac:dyDescent="0.3">
      <c r="A29" s="101" t="s">
        <v>413</v>
      </c>
      <c r="B29" s="96">
        <f t="shared" ref="B29:V29" si="9">B30-B27-B28</f>
        <v>0</v>
      </c>
      <c r="C29" s="96">
        <f t="shared" si="9"/>
        <v>645000</v>
      </c>
      <c r="D29" s="96">
        <f t="shared" si="9"/>
        <v>1322250</v>
      </c>
      <c r="E29" s="96">
        <f t="shared" si="9"/>
        <v>2033362.5000000019</v>
      </c>
      <c r="F29" s="96">
        <f t="shared" si="9"/>
        <v>2780030.625</v>
      </c>
      <c r="G29" s="96">
        <f t="shared" si="9"/>
        <v>3564032.1562500019</v>
      </c>
      <c r="H29" s="96">
        <f t="shared" si="9"/>
        <v>4387233.7640625015</v>
      </c>
      <c r="I29" s="96">
        <f t="shared" si="9"/>
        <v>5251595.4522656277</v>
      </c>
      <c r="J29" s="96">
        <f t="shared" si="9"/>
        <v>6159175.2248789072</v>
      </c>
      <c r="K29" s="96">
        <f t="shared" si="9"/>
        <v>7112133.9861228541</v>
      </c>
      <c r="L29" s="96">
        <f t="shared" si="9"/>
        <v>8112740.6854289956</v>
      </c>
      <c r="M29" s="96">
        <f t="shared" si="9"/>
        <v>9163377.7197004482</v>
      </c>
      <c r="N29" s="96">
        <f t="shared" si="9"/>
        <v>10266546.605685465</v>
      </c>
      <c r="O29" s="96">
        <f t="shared" si="9"/>
        <v>11424873.935969744</v>
      </c>
      <c r="P29" s="96">
        <f t="shared" si="9"/>
        <v>12641117.632768225</v>
      </c>
      <c r="Q29" s="96">
        <f t="shared" si="9"/>
        <v>13918173.514406644</v>
      </c>
      <c r="R29" s="96">
        <f t="shared" si="9"/>
        <v>15259082.190126974</v>
      </c>
      <c r="S29" s="96">
        <f t="shared" si="9"/>
        <v>16667036.299633328</v>
      </c>
      <c r="T29" s="96">
        <f t="shared" si="9"/>
        <v>18145388.114614993</v>
      </c>
      <c r="U29" s="96">
        <f t="shared" si="9"/>
        <v>19697657.520345744</v>
      </c>
      <c r="V29" s="96">
        <f t="shared" si="9"/>
        <v>21327540.396363027</v>
      </c>
    </row>
    <row r="30" spans="1:22" x14ac:dyDescent="0.3">
      <c r="A30" s="103" t="s">
        <v>414</v>
      </c>
      <c r="B30" s="97">
        <f t="shared" ref="B30:V30" si="10">B24-B26</f>
        <v>12900000</v>
      </c>
      <c r="C30" s="97">
        <f t="shared" si="10"/>
        <v>13545000</v>
      </c>
      <c r="D30" s="97">
        <f t="shared" si="10"/>
        <v>14222250</v>
      </c>
      <c r="E30" s="97">
        <f t="shared" si="10"/>
        <v>14933362.500000002</v>
      </c>
      <c r="F30" s="97">
        <f t="shared" si="10"/>
        <v>15680030.625</v>
      </c>
      <c r="G30" s="97">
        <f t="shared" si="10"/>
        <v>16464032.156250002</v>
      </c>
      <c r="H30" s="97">
        <f t="shared" si="10"/>
        <v>17287233.764062501</v>
      </c>
      <c r="I30" s="97">
        <f t="shared" si="10"/>
        <v>18151595.452265628</v>
      </c>
      <c r="J30" s="97">
        <f t="shared" si="10"/>
        <v>19059175.224878907</v>
      </c>
      <c r="K30" s="97">
        <f t="shared" si="10"/>
        <v>20012133.986122854</v>
      </c>
      <c r="L30" s="97">
        <f t="shared" si="10"/>
        <v>21012740.685428996</v>
      </c>
      <c r="M30" s="97">
        <f t="shared" si="10"/>
        <v>22063377.719700448</v>
      </c>
      <c r="N30" s="97">
        <f t="shared" si="10"/>
        <v>23166546.605685465</v>
      </c>
      <c r="O30" s="97">
        <f t="shared" si="10"/>
        <v>24324873.935969744</v>
      </c>
      <c r="P30" s="97">
        <f t="shared" si="10"/>
        <v>25541117.632768225</v>
      </c>
      <c r="Q30" s="97">
        <f t="shared" si="10"/>
        <v>26818173.514406644</v>
      </c>
      <c r="R30" s="97">
        <f t="shared" si="10"/>
        <v>28159082.190126974</v>
      </c>
      <c r="S30" s="97">
        <f t="shared" si="10"/>
        <v>29567036.299633328</v>
      </c>
      <c r="T30" s="97">
        <f t="shared" si="10"/>
        <v>31045388.114614993</v>
      </c>
      <c r="U30" s="97">
        <f t="shared" si="10"/>
        <v>32597657.520345744</v>
      </c>
      <c r="V30" s="97">
        <f t="shared" si="10"/>
        <v>34227540.396363027</v>
      </c>
    </row>
    <row r="31" spans="1:22" x14ac:dyDescent="0.3">
      <c r="A31" s="103" t="s">
        <v>415</v>
      </c>
      <c r="B31" s="97">
        <f t="shared" ref="B31:V31" si="11">B26+B30</f>
        <v>12900000</v>
      </c>
      <c r="C31" s="97">
        <f t="shared" si="11"/>
        <v>13545000</v>
      </c>
      <c r="D31" s="97">
        <f t="shared" si="11"/>
        <v>14222250</v>
      </c>
      <c r="E31" s="97">
        <f t="shared" si="11"/>
        <v>14933362.500000002</v>
      </c>
      <c r="F31" s="97">
        <f t="shared" si="11"/>
        <v>15680030.625</v>
      </c>
      <c r="G31" s="97">
        <f t="shared" si="11"/>
        <v>16464032.156250002</v>
      </c>
      <c r="H31" s="97">
        <f t="shared" si="11"/>
        <v>17287233.764062501</v>
      </c>
      <c r="I31" s="97">
        <f t="shared" si="11"/>
        <v>18151595.452265628</v>
      </c>
      <c r="J31" s="97">
        <f t="shared" si="11"/>
        <v>19059175.224878907</v>
      </c>
      <c r="K31" s="97">
        <f t="shared" si="11"/>
        <v>20012133.986122854</v>
      </c>
      <c r="L31" s="97">
        <f t="shared" si="11"/>
        <v>21012740.685428996</v>
      </c>
      <c r="M31" s="97">
        <f t="shared" si="11"/>
        <v>22063377.719700448</v>
      </c>
      <c r="N31" s="97">
        <f t="shared" si="11"/>
        <v>23166546.605685465</v>
      </c>
      <c r="O31" s="97">
        <f t="shared" si="11"/>
        <v>24324873.935969744</v>
      </c>
      <c r="P31" s="97">
        <f t="shared" si="11"/>
        <v>25541117.632768225</v>
      </c>
      <c r="Q31" s="97">
        <f t="shared" si="11"/>
        <v>26818173.514406644</v>
      </c>
      <c r="R31" s="97">
        <f t="shared" si="11"/>
        <v>28159082.190126974</v>
      </c>
      <c r="S31" s="97">
        <f t="shared" si="11"/>
        <v>29567036.299633328</v>
      </c>
      <c r="T31" s="97">
        <f t="shared" si="11"/>
        <v>31045388.114614993</v>
      </c>
      <c r="U31" s="97">
        <f t="shared" si="11"/>
        <v>32597657.520345744</v>
      </c>
      <c r="V31" s="97">
        <f t="shared" si="11"/>
        <v>34227540.396363027</v>
      </c>
    </row>
    <row r="32" spans="1:22" x14ac:dyDescent="0.3">
      <c r="A32" s="101" t="s">
        <v>416</v>
      </c>
      <c r="B32" s="94">
        <f t="shared" ref="B32:V32" si="12">B24-B31</f>
        <v>0</v>
      </c>
      <c r="C32" s="94">
        <f t="shared" si="12"/>
        <v>0</v>
      </c>
      <c r="D32" s="94">
        <f t="shared" si="12"/>
        <v>0</v>
      </c>
      <c r="E32" s="94">
        <f t="shared" si="12"/>
        <v>0</v>
      </c>
      <c r="F32" s="94">
        <f t="shared" si="12"/>
        <v>0</v>
      </c>
      <c r="G32" s="94">
        <f t="shared" si="12"/>
        <v>0</v>
      </c>
      <c r="H32" s="94">
        <f t="shared" si="12"/>
        <v>0</v>
      </c>
      <c r="I32" s="94">
        <f t="shared" si="12"/>
        <v>0</v>
      </c>
      <c r="J32" s="94">
        <f t="shared" si="12"/>
        <v>0</v>
      </c>
      <c r="K32" s="94">
        <f t="shared" si="12"/>
        <v>0</v>
      </c>
      <c r="L32" s="94">
        <f t="shared" si="12"/>
        <v>0</v>
      </c>
      <c r="M32" s="94">
        <f t="shared" si="12"/>
        <v>0</v>
      </c>
      <c r="N32" s="94">
        <f t="shared" si="12"/>
        <v>0</v>
      </c>
      <c r="O32" s="94">
        <f t="shared" si="12"/>
        <v>0</v>
      </c>
      <c r="P32" s="94">
        <f t="shared" si="12"/>
        <v>0</v>
      </c>
      <c r="Q32" s="94">
        <f t="shared" si="12"/>
        <v>0</v>
      </c>
      <c r="R32" s="94">
        <f t="shared" si="12"/>
        <v>0</v>
      </c>
      <c r="S32" s="94">
        <f t="shared" si="12"/>
        <v>0</v>
      </c>
      <c r="T32" s="94">
        <f t="shared" si="12"/>
        <v>0</v>
      </c>
      <c r="U32" s="94">
        <f t="shared" si="12"/>
        <v>0</v>
      </c>
      <c r="V32" s="94">
        <f t="shared" si="12"/>
        <v>0</v>
      </c>
    </row>
    <row r="33" spans="1:22" x14ac:dyDescent="0.3">
      <c r="A33" s="101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</row>
    <row r="34" spans="1:22" x14ac:dyDescent="0.3">
      <c r="A34" s="414" t="s">
        <v>417</v>
      </c>
      <c r="B34" s="409"/>
      <c r="C34" s="409"/>
      <c r="D34" s="409"/>
      <c r="E34" s="409"/>
      <c r="F34" s="409"/>
      <c r="G34" s="409"/>
      <c r="H34" s="409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</row>
    <row r="35" spans="1:22" x14ac:dyDescent="0.3">
      <c r="A35" s="105" t="s">
        <v>418</v>
      </c>
      <c r="B35" s="97">
        <f>Valuation!$F$10</f>
        <v>6450000</v>
      </c>
      <c r="C35" s="97">
        <f>'INV - Investor KPIs'!C11</f>
        <v>6366150</v>
      </c>
      <c r="D35" s="97">
        <f>'INV - Investor KPIs'!D11</f>
        <v>6684457.5</v>
      </c>
      <c r="E35" s="97">
        <f>'INV - Investor KPIs'!E11</f>
        <v>7018680.3750000009</v>
      </c>
      <c r="F35" s="97">
        <f>'INV - Investor KPIs'!F11</f>
        <v>7369614.3937499998</v>
      </c>
      <c r="G35" s="97">
        <f>'INV - Investor KPIs'!G11</f>
        <v>7738095.1134375008</v>
      </c>
      <c r="H35" s="97">
        <f>'INV - Investor KPIs'!H11</f>
        <v>8124999.8691093754</v>
      </c>
      <c r="I35" s="97">
        <f>'INV - Investor KPIs'!I11</f>
        <v>8531249.862564845</v>
      </c>
      <c r="J35" s="97">
        <f>'INV - Investor KPIs'!J11</f>
        <v>8957812.3556930851</v>
      </c>
      <c r="K35" s="97">
        <f>'INV - Investor KPIs'!K11</f>
        <v>9405702.9734777417</v>
      </c>
      <c r="L35" s="97">
        <f>'INV - Investor KPIs'!L11</f>
        <v>9875988.1221516281</v>
      </c>
      <c r="M35" s="97">
        <f>'INV - Investor KPIs'!M11</f>
        <v>10369787.52825921</v>
      </c>
      <c r="N35" s="97">
        <f>'INV - Investor KPIs'!N11</f>
        <v>10888276.904672168</v>
      </c>
      <c r="O35" s="97">
        <f>'INV - Investor KPIs'!O11</f>
        <v>11432690.749905778</v>
      </c>
      <c r="P35" s="97">
        <f>'INV - Investor KPIs'!P11</f>
        <v>12004325.287401065</v>
      </c>
      <c r="Q35" s="97">
        <f>'INV - Investor KPIs'!Q11</f>
        <v>12604541.551771121</v>
      </c>
      <c r="R35" s="97">
        <f>'INV - Investor KPIs'!R11</f>
        <v>13234768.629359677</v>
      </c>
      <c r="S35" s="97">
        <f>'INV - Investor KPIs'!S11</f>
        <v>13896507.060827663</v>
      </c>
      <c r="T35" s="97">
        <f>'INV - Investor KPIs'!T11</f>
        <v>14591332.413869046</v>
      </c>
      <c r="U35" s="97">
        <f>'INV - Investor KPIs'!U11</f>
        <v>15320899.034562498</v>
      </c>
      <c r="V35" s="97">
        <f>'INV - Investor KPIs'!V11</f>
        <v>16086943.986290623</v>
      </c>
    </row>
    <row r="36" spans="1:22" x14ac:dyDescent="0.3">
      <c r="A36" s="104" t="s">
        <v>419</v>
      </c>
      <c r="B36" s="96">
        <f>Control!$B$15</f>
        <v>6400000</v>
      </c>
      <c r="C36" s="96">
        <f>'INV - Investor KPIs'!C8</f>
        <v>5447479.6024501026</v>
      </c>
      <c r="D36" s="96">
        <f>'INV - Investor KPIs'!D8</f>
        <v>4447333.1850227108</v>
      </c>
      <c r="E36" s="96">
        <f>'INV - Investor KPIs'!E8</f>
        <v>3397179.4467239492</v>
      </c>
      <c r="F36" s="96">
        <f>'INV - Investor KPIs'!F8</f>
        <v>2294518.0215102495</v>
      </c>
      <c r="G36" s="96">
        <f>'INV - Investor KPIs'!G8</f>
        <v>1136723.5250358656</v>
      </c>
      <c r="H36" s="96">
        <f>'INV - Investor KPIs'!H8</f>
        <v>0</v>
      </c>
      <c r="I36" s="96">
        <f>'INV - Investor KPIs'!I8</f>
        <v>0</v>
      </c>
      <c r="J36" s="96">
        <f>'INV - Investor KPIs'!J8</f>
        <v>0</v>
      </c>
      <c r="K36" s="96">
        <f>'INV - Investor KPIs'!K8</f>
        <v>0</v>
      </c>
      <c r="L36" s="96">
        <f>'INV - Investor KPIs'!L8</f>
        <v>0</v>
      </c>
      <c r="M36" s="96">
        <f>'INV - Investor KPIs'!M8</f>
        <v>0</v>
      </c>
      <c r="N36" s="96">
        <f>'INV - Investor KPIs'!N8</f>
        <v>0</v>
      </c>
      <c r="O36" s="96">
        <f>'INV - Investor KPIs'!O8</f>
        <v>0</v>
      </c>
      <c r="P36" s="96">
        <f>'INV - Investor KPIs'!P8</f>
        <v>0</v>
      </c>
      <c r="Q36" s="96">
        <f>'INV - Investor KPIs'!Q8</f>
        <v>0</v>
      </c>
      <c r="R36" s="96">
        <f>'INV - Investor KPIs'!R8</f>
        <v>0</v>
      </c>
      <c r="S36" s="96">
        <f>'INV - Investor KPIs'!S8</f>
        <v>0</v>
      </c>
      <c r="T36" s="96">
        <f>'INV - Investor KPIs'!T8</f>
        <v>0</v>
      </c>
      <c r="U36" s="96">
        <f>'INV - Investor KPIs'!U8</f>
        <v>0</v>
      </c>
      <c r="V36" s="96">
        <f>'INV - Investor KPIs'!V8</f>
        <v>0</v>
      </c>
    </row>
    <row r="37" spans="1:22" x14ac:dyDescent="0.3">
      <c r="A37" s="105" t="s">
        <v>420</v>
      </c>
      <c r="B37" s="97">
        <f>B35</f>
        <v>6450000</v>
      </c>
      <c r="C37" s="97">
        <f>'INV - Investor KPIs'!C12</f>
        <v>7318670.3975498974</v>
      </c>
      <c r="D37" s="97">
        <f>'INV - Investor KPIs'!D12</f>
        <v>8637124.3149772882</v>
      </c>
      <c r="E37" s="97">
        <f>'INV - Investor KPIs'!E12</f>
        <v>10021500.928276051</v>
      </c>
      <c r="F37" s="97">
        <f>'INV - Investor KPIs'!F12</f>
        <v>11475096.37223975</v>
      </c>
      <c r="G37" s="97">
        <f>'INV - Investor KPIs'!G12</f>
        <v>13001371.588401634</v>
      </c>
      <c r="H37" s="97">
        <f>'INV - Investor KPIs'!H12</f>
        <v>14603960.565371614</v>
      </c>
      <c r="I37" s="97">
        <f>'INV - Investor KPIs'!I12</f>
        <v>16286678.991190093</v>
      </c>
      <c r="J37" s="97">
        <f>'INV - Investor KPIs'!J12</f>
        <v>18053533.338299491</v>
      </c>
      <c r="K37" s="97">
        <f>'INV - Investor KPIs'!K12</f>
        <v>19908730.402764365</v>
      </c>
      <c r="L37" s="97">
        <f>'INV - Investor KPIs'!L12</f>
        <v>21856687.320452482</v>
      </c>
      <c r="M37" s="97">
        <f>'INV - Investor KPIs'!M12</f>
        <v>23902042.084025003</v>
      </c>
      <c r="N37" s="97">
        <f>'INV - Investor KPIs'!N12</f>
        <v>26049664.58577615</v>
      </c>
      <c r="O37" s="97">
        <f>'INV - Investor KPIs'!O12</f>
        <v>28304668.212614857</v>
      </c>
      <c r="P37" s="97">
        <f>'INV - Investor KPIs'!P12</f>
        <v>30672422.020795494</v>
      </c>
      <c r="Q37" s="97">
        <f>'INV - Investor KPIs'!Q12</f>
        <v>33158563.519385166</v>
      </c>
      <c r="R37" s="97">
        <f>'INV - Investor KPIs'!R12</f>
        <v>35769012.092904329</v>
      </c>
      <c r="S37" s="97">
        <f>'INV - Investor KPIs'!S12</f>
        <v>38509983.095099442</v>
      </c>
      <c r="T37" s="97">
        <f>'INV - Investor KPIs'!T12</f>
        <v>41388002.647404313</v>
      </c>
      <c r="U37" s="97">
        <f>'INV - Investor KPIs'!U12</f>
        <v>44409923.177324422</v>
      </c>
      <c r="V37" s="97">
        <f>'INV - Investor KPIs'!V12</f>
        <v>47582939.733740538</v>
      </c>
    </row>
    <row r="38" spans="1:22" x14ac:dyDescent="0.3">
      <c r="A38" s="104" t="s">
        <v>421</v>
      </c>
      <c r="B38" s="99">
        <f>B37/Control!$B$15</f>
        <v>1.0078125</v>
      </c>
      <c r="C38" s="99">
        <f>'INV - Investor KPIs'!C13</f>
        <v>1.1435422496171714</v>
      </c>
      <c r="D38" s="99">
        <f>'INV - Investor KPIs'!D13</f>
        <v>1.3495506742152013</v>
      </c>
      <c r="E38" s="99">
        <f>'INV - Investor KPIs'!E13</f>
        <v>1.5658595200431329</v>
      </c>
      <c r="F38" s="99">
        <f>'INV - Investor KPIs'!F13</f>
        <v>1.7929838081624609</v>
      </c>
      <c r="G38" s="99">
        <f>'INV - Investor KPIs'!G13</f>
        <v>2.0314643106877552</v>
      </c>
      <c r="H38" s="99">
        <f>'INV - Investor KPIs'!H13</f>
        <v>2.2818688383393146</v>
      </c>
      <c r="I38" s="99">
        <f>'INV - Investor KPIs'!I13</f>
        <v>2.5447935923734519</v>
      </c>
      <c r="J38" s="99">
        <f>'INV - Investor KPIs'!J13</f>
        <v>2.8208645841092954</v>
      </c>
      <c r="K38" s="99">
        <f>'INV - Investor KPIs'!K13</f>
        <v>3.1107391254319321</v>
      </c>
      <c r="L38" s="99">
        <f>'INV - Investor KPIs'!L13</f>
        <v>3.4151073938207004</v>
      </c>
      <c r="M38" s="99">
        <f>'INV - Investor KPIs'!M13</f>
        <v>3.7346940756289069</v>
      </c>
      <c r="N38" s="99">
        <f>'INV - Investor KPIs'!N13</f>
        <v>4.0702600915275235</v>
      </c>
      <c r="O38" s="99">
        <f>'INV - Investor KPIs'!O13</f>
        <v>4.4226044082210709</v>
      </c>
      <c r="P38" s="99">
        <f>'INV - Investor KPIs'!P13</f>
        <v>4.792565940749296</v>
      </c>
      <c r="Q38" s="99">
        <f>'INV - Investor KPIs'!Q13</f>
        <v>5.1810255499039322</v>
      </c>
      <c r="R38" s="99">
        <f>'INV - Investor KPIs'!R13</f>
        <v>5.5889081395163016</v>
      </c>
      <c r="S38" s="99">
        <f>'INV - Investor KPIs'!S13</f>
        <v>6.017184858609288</v>
      </c>
      <c r="T38" s="99">
        <f>'INV - Investor KPIs'!T13</f>
        <v>6.4668754136569238</v>
      </c>
      <c r="U38" s="99">
        <f>'INV - Investor KPIs'!U13</f>
        <v>6.9390504964569413</v>
      </c>
      <c r="V38" s="99">
        <f>'INV - Investor KPIs'!V13</f>
        <v>7.4348343333969593</v>
      </c>
    </row>
    <row r="39" spans="1:22" x14ac:dyDescent="0.3">
      <c r="A39" s="101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</row>
    <row r="40" spans="1:22" x14ac:dyDescent="0.3">
      <c r="A40" s="414" t="s">
        <v>422</v>
      </c>
      <c r="B40" s="409"/>
      <c r="C40" s="409"/>
      <c r="D40" s="409"/>
      <c r="E40" s="409"/>
      <c r="F40" s="409"/>
      <c r="G40" s="409"/>
      <c r="H40" s="409"/>
      <c r="I40" s="409"/>
      <c r="J40" s="409"/>
      <c r="K40" s="409"/>
      <c r="L40" s="409"/>
      <c r="M40" s="409"/>
      <c r="N40" s="409"/>
      <c r="O40" s="409"/>
      <c r="P40" s="409"/>
      <c r="Q40" s="409"/>
      <c r="R40" s="409"/>
      <c r="S40" s="409"/>
      <c r="T40" s="409"/>
      <c r="U40" s="409"/>
      <c r="V40" s="409"/>
    </row>
    <row r="41" spans="1:22" x14ac:dyDescent="0.3">
      <c r="A41" s="101" t="s">
        <v>423</v>
      </c>
      <c r="B41" s="96">
        <f>0</f>
        <v>0</v>
      </c>
      <c r="C41" s="96">
        <f t="shared" ref="C41:V41" si="13">B46</f>
        <v>0</v>
      </c>
      <c r="D41" s="96">
        <f t="shared" si="13"/>
        <v>0</v>
      </c>
      <c r="E41" s="96">
        <f t="shared" si="13"/>
        <v>0</v>
      </c>
      <c r="F41" s="96">
        <f t="shared" si="13"/>
        <v>0</v>
      </c>
      <c r="G41" s="96">
        <f t="shared" si="13"/>
        <v>0</v>
      </c>
      <c r="H41" s="96">
        <f t="shared" si="13"/>
        <v>0</v>
      </c>
      <c r="I41" s="96">
        <f t="shared" si="13"/>
        <v>0</v>
      </c>
      <c r="J41" s="96">
        <f t="shared" si="13"/>
        <v>0</v>
      </c>
      <c r="K41" s="96">
        <f t="shared" si="13"/>
        <v>0</v>
      </c>
      <c r="L41" s="96">
        <f t="shared" si="13"/>
        <v>0</v>
      </c>
      <c r="M41" s="96">
        <f t="shared" si="13"/>
        <v>0</v>
      </c>
      <c r="N41" s="96">
        <f t="shared" si="13"/>
        <v>0</v>
      </c>
      <c r="O41" s="96">
        <f t="shared" si="13"/>
        <v>0</v>
      </c>
      <c r="P41" s="96">
        <f t="shared" si="13"/>
        <v>0</v>
      </c>
      <c r="Q41" s="96">
        <f t="shared" si="13"/>
        <v>0</v>
      </c>
      <c r="R41" s="96">
        <f t="shared" si="13"/>
        <v>0</v>
      </c>
      <c r="S41" s="96">
        <f t="shared" si="13"/>
        <v>0</v>
      </c>
      <c r="T41" s="96">
        <f t="shared" si="13"/>
        <v>0</v>
      </c>
      <c r="U41" s="96">
        <f t="shared" si="13"/>
        <v>0</v>
      </c>
      <c r="V41" s="96">
        <f t="shared" si="13"/>
        <v>0</v>
      </c>
    </row>
    <row r="42" spans="1:22" x14ac:dyDescent="0.3">
      <c r="A42" s="101" t="s">
        <v>424</v>
      </c>
      <c r="B42" s="96">
        <f>0</f>
        <v>0</v>
      </c>
      <c r="C42" s="96">
        <f t="shared" ref="C42:V42" si="14">C12</f>
        <v>1905040.7950997942</v>
      </c>
      <c r="D42" s="96">
        <f t="shared" si="14"/>
        <v>2000292.834854784</v>
      </c>
      <c r="E42" s="96">
        <f t="shared" si="14"/>
        <v>2100307.4765975229</v>
      </c>
      <c r="F42" s="96">
        <f t="shared" si="14"/>
        <v>2205322.8504273994</v>
      </c>
      <c r="G42" s="96">
        <f t="shared" si="14"/>
        <v>2315588.9929487687</v>
      </c>
      <c r="H42" s="96">
        <f t="shared" si="14"/>
        <v>2431368.4425962088</v>
      </c>
      <c r="I42" s="96">
        <f t="shared" si="14"/>
        <v>2552936.8647260186</v>
      </c>
      <c r="J42" s="96">
        <f t="shared" si="14"/>
        <v>2680583.7079623197</v>
      </c>
      <c r="K42" s="96">
        <f t="shared" si="14"/>
        <v>2814612.8933604341</v>
      </c>
      <c r="L42" s="96">
        <f t="shared" si="14"/>
        <v>2955343.5380284558</v>
      </c>
      <c r="M42" s="96">
        <f t="shared" si="14"/>
        <v>3103110.7149298796</v>
      </c>
      <c r="N42" s="96">
        <f t="shared" si="14"/>
        <v>3258266.250676374</v>
      </c>
      <c r="O42" s="96">
        <f t="shared" si="14"/>
        <v>3421179.5632101926</v>
      </c>
      <c r="P42" s="96">
        <f t="shared" si="14"/>
        <v>3592238.541370702</v>
      </c>
      <c r="Q42" s="96">
        <f t="shared" si="14"/>
        <v>3771850.4684392363</v>
      </c>
      <c r="R42" s="96">
        <f t="shared" si="14"/>
        <v>3960442.9918611995</v>
      </c>
      <c r="S42" s="96">
        <f t="shared" si="14"/>
        <v>4158465.1414542589</v>
      </c>
      <c r="T42" s="96">
        <f t="shared" si="14"/>
        <v>4366388.3985269731</v>
      </c>
      <c r="U42" s="96">
        <f t="shared" si="14"/>
        <v>4584707.8184533222</v>
      </c>
      <c r="V42" s="96">
        <f t="shared" si="14"/>
        <v>4813943.2093759868</v>
      </c>
    </row>
    <row r="43" spans="1:22" x14ac:dyDescent="0.3">
      <c r="A43" s="101" t="s">
        <v>425</v>
      </c>
      <c r="B43" s="96">
        <f>0</f>
        <v>0</v>
      </c>
      <c r="C43" s="96">
        <f>'Portfolio NewCo'!B14</f>
        <v>0</v>
      </c>
      <c r="D43" s="96">
        <f>'Portfolio NewCo'!C14</f>
        <v>0</v>
      </c>
      <c r="E43" s="96">
        <f>'Portfolio NewCo'!D14</f>
        <v>0</v>
      </c>
      <c r="F43" s="96">
        <f>'Portfolio NewCo'!E14</f>
        <v>0</v>
      </c>
      <c r="G43" s="96">
        <f>'Portfolio NewCo'!F14</f>
        <v>0</v>
      </c>
      <c r="H43" s="96">
        <f>'Portfolio NewCo'!G14</f>
        <v>0</v>
      </c>
      <c r="I43" s="96">
        <f>'Portfolio NewCo'!H14</f>
        <v>0</v>
      </c>
      <c r="J43" s="96">
        <f>'Portfolio NewCo'!I14</f>
        <v>0</v>
      </c>
      <c r="K43" s="96">
        <f>'Portfolio NewCo'!J14</f>
        <v>0</v>
      </c>
      <c r="L43" s="96">
        <f>'Portfolio NewCo'!K14</f>
        <v>0</v>
      </c>
      <c r="M43" s="96">
        <f>'Portfolio NewCo'!L14</f>
        <v>0</v>
      </c>
      <c r="N43" s="96">
        <f>'Portfolio NewCo'!M14</f>
        <v>0</v>
      </c>
      <c r="O43" s="96">
        <f>'Portfolio NewCo'!N14</f>
        <v>0</v>
      </c>
      <c r="P43" s="96">
        <f>'Portfolio NewCo'!O14</f>
        <v>0</v>
      </c>
      <c r="Q43" s="96">
        <f>'Portfolio NewCo'!P14</f>
        <v>0</v>
      </c>
      <c r="R43" s="96">
        <f>'Portfolio NewCo'!Q14</f>
        <v>0</v>
      </c>
      <c r="S43" s="96">
        <f>'Portfolio NewCo'!R14</f>
        <v>0</v>
      </c>
      <c r="T43" s="96">
        <f>'Portfolio NewCo'!S14</f>
        <v>0</v>
      </c>
      <c r="U43" s="96">
        <f>'Portfolio NewCo'!T14</f>
        <v>0</v>
      </c>
      <c r="V43" s="96">
        <f>'Portfolio NewCo'!U14</f>
        <v>0</v>
      </c>
    </row>
    <row r="44" spans="1:22" x14ac:dyDescent="0.3">
      <c r="A44" s="101" t="s">
        <v>426</v>
      </c>
      <c r="B44" s="96">
        <f>0</f>
        <v>0</v>
      </c>
      <c r="C44" s="96">
        <f>-'Portfolio NewCo'!B15</f>
        <v>-1905040.7950997942</v>
      </c>
      <c r="D44" s="96">
        <f>-'Portfolio NewCo'!C15</f>
        <v>-2000292.834854784</v>
      </c>
      <c r="E44" s="96">
        <f>-'Portfolio NewCo'!D15</f>
        <v>-2100307.4765975229</v>
      </c>
      <c r="F44" s="96">
        <f>-'Portfolio NewCo'!E15</f>
        <v>-2205322.8504273994</v>
      </c>
      <c r="G44" s="96">
        <f>-'Portfolio NewCo'!F15</f>
        <v>-2315588.9929487687</v>
      </c>
      <c r="H44" s="96">
        <f>-'Portfolio NewCo'!G15</f>
        <v>-2431368.4425962088</v>
      </c>
      <c r="I44" s="96">
        <f>-'Portfolio NewCo'!H15</f>
        <v>-2552936.8647260186</v>
      </c>
      <c r="J44" s="96">
        <f>-'Portfolio NewCo'!I15</f>
        <v>-2680583.7079623197</v>
      </c>
      <c r="K44" s="96">
        <f>-'Portfolio NewCo'!J15</f>
        <v>-2814612.8933604341</v>
      </c>
      <c r="L44" s="96">
        <f>-'Portfolio NewCo'!K15</f>
        <v>-2955343.5380284558</v>
      </c>
      <c r="M44" s="96">
        <f>-'Portfolio NewCo'!L15</f>
        <v>-3103110.7149298796</v>
      </c>
      <c r="N44" s="96">
        <f>-'Portfolio NewCo'!M15</f>
        <v>-3258266.250676374</v>
      </c>
      <c r="O44" s="96">
        <f>-'Portfolio NewCo'!N15</f>
        <v>-3421179.5632101926</v>
      </c>
      <c r="P44" s="96">
        <f>-'Portfolio NewCo'!O15</f>
        <v>-3592238.541370702</v>
      </c>
      <c r="Q44" s="96">
        <f>-'Portfolio NewCo'!P15</f>
        <v>-3771850.4684392363</v>
      </c>
      <c r="R44" s="96">
        <f>-'Portfolio NewCo'!Q15</f>
        <v>-3960442.9918611995</v>
      </c>
      <c r="S44" s="96">
        <f>-'Portfolio NewCo'!R15</f>
        <v>-4158465.1414542589</v>
      </c>
      <c r="T44" s="96">
        <f>-'Portfolio NewCo'!S15</f>
        <v>-4366388.3985269731</v>
      </c>
      <c r="U44" s="96">
        <f>-'Portfolio NewCo'!T15</f>
        <v>-4584707.8184533222</v>
      </c>
      <c r="V44" s="96">
        <f>-'Portfolio NewCo'!U15</f>
        <v>-4813943.2093759868</v>
      </c>
    </row>
    <row r="45" spans="1:22" x14ac:dyDescent="0.3">
      <c r="A45" s="101" t="s">
        <v>427</v>
      </c>
      <c r="B45" s="96">
        <f t="shared" ref="B45:V45" si="15">SUM(B42:B44)</f>
        <v>0</v>
      </c>
      <c r="C45" s="96">
        <f t="shared" si="15"/>
        <v>0</v>
      </c>
      <c r="D45" s="96">
        <f t="shared" si="15"/>
        <v>0</v>
      </c>
      <c r="E45" s="96">
        <f t="shared" si="15"/>
        <v>0</v>
      </c>
      <c r="F45" s="96">
        <f t="shared" si="15"/>
        <v>0</v>
      </c>
      <c r="G45" s="96">
        <f t="shared" si="15"/>
        <v>0</v>
      </c>
      <c r="H45" s="96">
        <f t="shared" si="15"/>
        <v>0</v>
      </c>
      <c r="I45" s="96">
        <f t="shared" si="15"/>
        <v>0</v>
      </c>
      <c r="J45" s="96">
        <f t="shared" si="15"/>
        <v>0</v>
      </c>
      <c r="K45" s="96">
        <f t="shared" si="15"/>
        <v>0</v>
      </c>
      <c r="L45" s="96">
        <f t="shared" si="15"/>
        <v>0</v>
      </c>
      <c r="M45" s="96">
        <f t="shared" si="15"/>
        <v>0</v>
      </c>
      <c r="N45" s="96">
        <f t="shared" si="15"/>
        <v>0</v>
      </c>
      <c r="O45" s="96">
        <f t="shared" si="15"/>
        <v>0</v>
      </c>
      <c r="P45" s="96">
        <f t="shared" si="15"/>
        <v>0</v>
      </c>
      <c r="Q45" s="96">
        <f t="shared" si="15"/>
        <v>0</v>
      </c>
      <c r="R45" s="96">
        <f t="shared" si="15"/>
        <v>0</v>
      </c>
      <c r="S45" s="96">
        <f t="shared" si="15"/>
        <v>0</v>
      </c>
      <c r="T45" s="96">
        <f t="shared" si="15"/>
        <v>0</v>
      </c>
      <c r="U45" s="96">
        <f t="shared" si="15"/>
        <v>0</v>
      </c>
      <c r="V45" s="96">
        <f t="shared" si="15"/>
        <v>0</v>
      </c>
    </row>
    <row r="46" spans="1:22" x14ac:dyDescent="0.3">
      <c r="A46" s="103" t="s">
        <v>428</v>
      </c>
      <c r="B46" s="97">
        <f t="shared" ref="B46:V46" si="16">B41+B45</f>
        <v>0</v>
      </c>
      <c r="C46" s="97">
        <f t="shared" si="16"/>
        <v>0</v>
      </c>
      <c r="D46" s="97">
        <f t="shared" si="16"/>
        <v>0</v>
      </c>
      <c r="E46" s="97">
        <f t="shared" si="16"/>
        <v>0</v>
      </c>
      <c r="F46" s="97">
        <f t="shared" si="16"/>
        <v>0</v>
      </c>
      <c r="G46" s="97">
        <f t="shared" si="16"/>
        <v>0</v>
      </c>
      <c r="H46" s="97">
        <f t="shared" si="16"/>
        <v>0</v>
      </c>
      <c r="I46" s="97">
        <f t="shared" si="16"/>
        <v>0</v>
      </c>
      <c r="J46" s="97">
        <f t="shared" si="16"/>
        <v>0</v>
      </c>
      <c r="K46" s="97">
        <f t="shared" si="16"/>
        <v>0</v>
      </c>
      <c r="L46" s="97">
        <f t="shared" si="16"/>
        <v>0</v>
      </c>
      <c r="M46" s="97">
        <f t="shared" si="16"/>
        <v>0</v>
      </c>
      <c r="N46" s="97">
        <f t="shared" si="16"/>
        <v>0</v>
      </c>
      <c r="O46" s="97">
        <f t="shared" si="16"/>
        <v>0</v>
      </c>
      <c r="P46" s="97">
        <f t="shared" si="16"/>
        <v>0</v>
      </c>
      <c r="Q46" s="97">
        <f t="shared" si="16"/>
        <v>0</v>
      </c>
      <c r="R46" s="97">
        <f t="shared" si="16"/>
        <v>0</v>
      </c>
      <c r="S46" s="97">
        <f t="shared" si="16"/>
        <v>0</v>
      </c>
      <c r="T46" s="97">
        <f t="shared" si="16"/>
        <v>0</v>
      </c>
      <c r="U46" s="97">
        <f t="shared" si="16"/>
        <v>0</v>
      </c>
      <c r="V46" s="97">
        <f t="shared" si="16"/>
        <v>0</v>
      </c>
    </row>
    <row r="47" spans="1:22" x14ac:dyDescent="0.3">
      <c r="A47" s="101" t="s">
        <v>429</v>
      </c>
      <c r="B47" s="96">
        <f t="shared" ref="B47:V47" si="17">B46-B22</f>
        <v>0</v>
      </c>
      <c r="C47" s="96">
        <f t="shared" si="17"/>
        <v>0</v>
      </c>
      <c r="D47" s="96">
        <f t="shared" si="17"/>
        <v>0</v>
      </c>
      <c r="E47" s="96">
        <f t="shared" si="17"/>
        <v>0</v>
      </c>
      <c r="F47" s="96">
        <f t="shared" si="17"/>
        <v>0</v>
      </c>
      <c r="G47" s="96">
        <f t="shared" si="17"/>
        <v>0</v>
      </c>
      <c r="H47" s="96">
        <f t="shared" si="17"/>
        <v>0</v>
      </c>
      <c r="I47" s="96">
        <f t="shared" si="17"/>
        <v>0</v>
      </c>
      <c r="J47" s="96">
        <f t="shared" si="17"/>
        <v>0</v>
      </c>
      <c r="K47" s="96">
        <f t="shared" si="17"/>
        <v>0</v>
      </c>
      <c r="L47" s="96">
        <f t="shared" si="17"/>
        <v>0</v>
      </c>
      <c r="M47" s="96">
        <f t="shared" si="17"/>
        <v>0</v>
      </c>
      <c r="N47" s="96">
        <f t="shared" si="17"/>
        <v>0</v>
      </c>
      <c r="O47" s="96">
        <f t="shared" si="17"/>
        <v>0</v>
      </c>
      <c r="P47" s="96">
        <f t="shared" si="17"/>
        <v>0</v>
      </c>
      <c r="Q47" s="96">
        <f t="shared" si="17"/>
        <v>0</v>
      </c>
      <c r="R47" s="96">
        <f t="shared" si="17"/>
        <v>0</v>
      </c>
      <c r="S47" s="96">
        <f t="shared" si="17"/>
        <v>0</v>
      </c>
      <c r="T47" s="96">
        <f t="shared" si="17"/>
        <v>0</v>
      </c>
      <c r="U47" s="96">
        <f t="shared" si="17"/>
        <v>0</v>
      </c>
      <c r="V47" s="96">
        <f t="shared" si="17"/>
        <v>0</v>
      </c>
    </row>
    <row r="48" spans="1:22" x14ac:dyDescent="0.3">
      <c r="A48" s="101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</row>
    <row r="49" spans="1:22" x14ac:dyDescent="0.3">
      <c r="A49" s="414" t="s">
        <v>430</v>
      </c>
      <c r="B49" s="409"/>
      <c r="C49" s="409"/>
      <c r="D49" s="409"/>
      <c r="E49" s="409"/>
      <c r="F49" s="409"/>
      <c r="G49" s="409"/>
      <c r="H49" s="409"/>
      <c r="I49" s="409"/>
      <c r="J49" s="409"/>
      <c r="K49" s="409"/>
      <c r="L49" s="409"/>
      <c r="M49" s="409"/>
      <c r="N49" s="409"/>
      <c r="O49" s="409"/>
      <c r="P49" s="409"/>
      <c r="Q49" s="409"/>
      <c r="R49" s="409"/>
      <c r="S49" s="409"/>
      <c r="T49" s="409"/>
      <c r="U49" s="409"/>
      <c r="V49" s="409"/>
    </row>
    <row r="50" spans="1:22" x14ac:dyDescent="0.3">
      <c r="A50" s="104" t="s">
        <v>431</v>
      </c>
      <c r="B50" s="96">
        <f>-Control!$B$15</f>
        <v>-6400000</v>
      </c>
      <c r="C50" s="96">
        <f>0</f>
        <v>0</v>
      </c>
      <c r="D50" s="96">
        <f>0</f>
        <v>0</v>
      </c>
      <c r="E50" s="96">
        <f>0</f>
        <v>0</v>
      </c>
      <c r="F50" s="96">
        <f>0</f>
        <v>0</v>
      </c>
      <c r="G50" s="96">
        <f>0</f>
        <v>0</v>
      </c>
      <c r="H50" s="96">
        <f>0</f>
        <v>0</v>
      </c>
      <c r="I50" s="96">
        <f>0</f>
        <v>0</v>
      </c>
      <c r="J50" s="96">
        <f>0</f>
        <v>0</v>
      </c>
      <c r="K50" s="96">
        <f>0</f>
        <v>0</v>
      </c>
      <c r="L50" s="96">
        <f>0</f>
        <v>0</v>
      </c>
      <c r="M50" s="96">
        <f>0</f>
        <v>0</v>
      </c>
      <c r="N50" s="96">
        <f>0</f>
        <v>0</v>
      </c>
      <c r="O50" s="96">
        <f>0</f>
        <v>0</v>
      </c>
      <c r="P50" s="96">
        <f>0</f>
        <v>0</v>
      </c>
      <c r="Q50" s="96">
        <f>0</f>
        <v>0</v>
      </c>
      <c r="R50" s="96">
        <f>0</f>
        <v>0</v>
      </c>
      <c r="S50" s="96">
        <f>0</f>
        <v>0</v>
      </c>
      <c r="T50" s="96">
        <f>0</f>
        <v>0</v>
      </c>
      <c r="U50" s="96">
        <f>0</f>
        <v>0</v>
      </c>
      <c r="V50" s="96">
        <f>0</f>
        <v>0</v>
      </c>
    </row>
    <row r="51" spans="1:22" x14ac:dyDescent="0.3">
      <c r="A51" s="104" t="s">
        <v>432</v>
      </c>
      <c r="B51" s="96">
        <f>0</f>
        <v>0</v>
      </c>
      <c r="C51" s="96">
        <f>'INV - Investor KPIs'!C6</f>
        <v>952520.39754989708</v>
      </c>
      <c r="D51" s="96">
        <f>'INV - Investor KPIs'!D6</f>
        <v>1000146.417427392</v>
      </c>
      <c r="E51" s="96">
        <f>'INV - Investor KPIs'!E6</f>
        <v>1050153.7382987614</v>
      </c>
      <c r="F51" s="96">
        <f>'INV - Investor KPIs'!F6</f>
        <v>1102661.4252136997</v>
      </c>
      <c r="G51" s="96">
        <f>'INV - Investor KPIs'!G6</f>
        <v>1157794.4964743843</v>
      </c>
      <c r="H51" s="96">
        <f>'INV - Investor KPIs'!H6</f>
        <v>1215684.2212981044</v>
      </c>
      <c r="I51" s="96">
        <f>'INV - Investor KPIs'!I6</f>
        <v>1276468.4323630093</v>
      </c>
      <c r="J51" s="96">
        <f>'INV - Investor KPIs'!J6</f>
        <v>1340291.8539811599</v>
      </c>
      <c r="K51" s="96">
        <f>'INV - Investor KPIs'!K6</f>
        <v>1407306.4466802171</v>
      </c>
      <c r="L51" s="96">
        <f>'INV - Investor KPIs'!L6</f>
        <v>1477671.7690142279</v>
      </c>
      <c r="M51" s="96">
        <f>'INV - Investor KPIs'!M6</f>
        <v>1551555.3574649398</v>
      </c>
      <c r="N51" s="96">
        <f>'INV - Investor KPIs'!N6</f>
        <v>1629133.125338187</v>
      </c>
      <c r="O51" s="96">
        <f>'INV - Investor KPIs'!O6</f>
        <v>1710589.7816050963</v>
      </c>
      <c r="P51" s="96">
        <f>'INV - Investor KPIs'!P6</f>
        <v>1796119.270685351</v>
      </c>
      <c r="Q51" s="96">
        <f>'INV - Investor KPIs'!Q6</f>
        <v>1885925.2342196181</v>
      </c>
      <c r="R51" s="96">
        <f>'INV - Investor KPIs'!R6</f>
        <v>1980221.4959305997</v>
      </c>
      <c r="S51" s="96">
        <f>'INV - Investor KPIs'!S6</f>
        <v>2079232.5707271295</v>
      </c>
      <c r="T51" s="96">
        <f>'INV - Investor KPIs'!T6</f>
        <v>2183194.1992634865</v>
      </c>
      <c r="U51" s="96">
        <f>'INV - Investor KPIs'!U6</f>
        <v>2292353.9092266611</v>
      </c>
      <c r="V51" s="96">
        <f>'INV - Investor KPIs'!V6</f>
        <v>2406971.6046879934</v>
      </c>
    </row>
    <row r="52" spans="1:22" x14ac:dyDescent="0.3">
      <c r="A52" s="105" t="s">
        <v>433</v>
      </c>
      <c r="B52" s="97">
        <f>0</f>
        <v>0</v>
      </c>
      <c r="C52" s="97">
        <f>'INV - Investor KPIs'!C7</f>
        <v>952520.39754989708</v>
      </c>
      <c r="D52" s="97">
        <f>'INV - Investor KPIs'!D7</f>
        <v>1952666.8149772892</v>
      </c>
      <c r="E52" s="97">
        <f>'INV - Investor KPIs'!E7</f>
        <v>3002820.5532760508</v>
      </c>
      <c r="F52" s="97">
        <f>'INV - Investor KPIs'!F7</f>
        <v>4105481.9784897505</v>
      </c>
      <c r="G52" s="97">
        <f>'INV - Investor KPIs'!G7</f>
        <v>5263276.4749641344</v>
      </c>
      <c r="H52" s="97">
        <f>'INV - Investor KPIs'!H7</f>
        <v>6478960.6962622385</v>
      </c>
      <c r="I52" s="97">
        <f>'INV - Investor KPIs'!I7</f>
        <v>7755429.1286252476</v>
      </c>
      <c r="J52" s="97">
        <f>'INV - Investor KPIs'!J7</f>
        <v>9095720.9826064073</v>
      </c>
      <c r="K52" s="97">
        <f>'INV - Investor KPIs'!K7</f>
        <v>10503027.429286625</v>
      </c>
      <c r="L52" s="97">
        <f>'INV - Investor KPIs'!L7</f>
        <v>11980699.198300853</v>
      </c>
      <c r="M52" s="97">
        <f>'INV - Investor KPIs'!M7</f>
        <v>13532254.555765793</v>
      </c>
      <c r="N52" s="97">
        <f>'INV - Investor KPIs'!N7</f>
        <v>15161387.68110398</v>
      </c>
      <c r="O52" s="97">
        <f>'INV - Investor KPIs'!O7</f>
        <v>16871977.462709077</v>
      </c>
      <c r="P52" s="97">
        <f>'INV - Investor KPIs'!P7</f>
        <v>18668096.733394429</v>
      </c>
      <c r="Q52" s="97">
        <f>'INV - Investor KPIs'!Q7</f>
        <v>20554021.967614047</v>
      </c>
      <c r="R52" s="97">
        <f>'INV - Investor KPIs'!R7</f>
        <v>22534243.463544648</v>
      </c>
      <c r="S52" s="97">
        <f>'INV - Investor KPIs'!S7</f>
        <v>24613476.034271777</v>
      </c>
      <c r="T52" s="97">
        <f>'INV - Investor KPIs'!T7</f>
        <v>26796670.233535264</v>
      </c>
      <c r="U52" s="97">
        <f>'INV - Investor KPIs'!U7</f>
        <v>29089024.142761923</v>
      </c>
      <c r="V52" s="97">
        <f>'INV - Investor KPIs'!V7</f>
        <v>31495995.747449916</v>
      </c>
    </row>
    <row r="53" spans="1:22" x14ac:dyDescent="0.3">
      <c r="A53" s="104" t="s">
        <v>434</v>
      </c>
      <c r="B53" s="99">
        <f>0</f>
        <v>0</v>
      </c>
      <c r="C53" s="99">
        <f>'INV - Investor KPIs'!C10</f>
        <v>0.14883131211717143</v>
      </c>
      <c r="D53" s="99">
        <f>'INV - Investor KPIs'!D10</f>
        <v>0.30510418984020143</v>
      </c>
      <c r="E53" s="99">
        <f>'INV - Investor KPIs'!E10</f>
        <v>0.46919071144938296</v>
      </c>
      <c r="F53" s="99">
        <f>'INV - Investor KPIs'!F10</f>
        <v>0.64148155913902349</v>
      </c>
      <c r="G53" s="99">
        <f>'INV - Investor KPIs'!G10</f>
        <v>0.82238694921314603</v>
      </c>
      <c r="H53" s="99">
        <f>'INV - Investor KPIs'!H10</f>
        <v>1.0123376087909748</v>
      </c>
      <c r="I53" s="99">
        <f>'INV - Investor KPIs'!I10</f>
        <v>1.211785801347695</v>
      </c>
      <c r="J53" s="99">
        <f>'INV - Investor KPIs'!J10</f>
        <v>1.4212064035322511</v>
      </c>
      <c r="K53" s="99">
        <f>'INV - Investor KPIs'!K10</f>
        <v>1.6410980358260352</v>
      </c>
      <c r="L53" s="99">
        <f>'INV - Investor KPIs'!L10</f>
        <v>1.8719842497345083</v>
      </c>
      <c r="M53" s="99">
        <f>'INV - Investor KPIs'!M10</f>
        <v>2.114414774338405</v>
      </c>
      <c r="N53" s="99">
        <f>'INV - Investor KPIs'!N10</f>
        <v>2.3689668251724969</v>
      </c>
      <c r="O53" s="99">
        <f>'INV - Investor KPIs'!O10</f>
        <v>2.6362464785482933</v>
      </c>
      <c r="P53" s="99">
        <f>'INV - Investor KPIs'!P10</f>
        <v>2.9168901145928796</v>
      </c>
      <c r="Q53" s="99">
        <f>'INV - Investor KPIs'!Q10</f>
        <v>3.211565932439695</v>
      </c>
      <c r="R53" s="99">
        <f>'INV - Investor KPIs'!R10</f>
        <v>3.5209755411788515</v>
      </c>
      <c r="S53" s="99">
        <f>'INV - Investor KPIs'!S10</f>
        <v>3.8458556303549649</v>
      </c>
      <c r="T53" s="99">
        <f>'INV - Investor KPIs'!T10</f>
        <v>4.1869797239898849</v>
      </c>
      <c r="U53" s="99">
        <f>'INV - Investor KPIs'!U10</f>
        <v>4.5451600223065505</v>
      </c>
      <c r="V53" s="99">
        <f>'INV - Investor KPIs'!V10</f>
        <v>4.9212493355390494</v>
      </c>
    </row>
    <row r="54" spans="1:22" x14ac:dyDescent="0.3">
      <c r="A54" s="104" t="s">
        <v>435</v>
      </c>
      <c r="B54" s="94" t="str">
        <f>"No"</f>
        <v>No</v>
      </c>
      <c r="C54" s="94" t="str">
        <f>IF(C52&gt;=Control!$B$15,"Yes","No")</f>
        <v>No</v>
      </c>
      <c r="D54" s="94" t="str">
        <f>IF(D52&gt;=Control!$B$15,"Yes","No")</f>
        <v>No</v>
      </c>
      <c r="E54" s="94" t="str">
        <f>IF(E52&gt;=Control!$B$15,"Yes","No")</f>
        <v>No</v>
      </c>
      <c r="F54" s="94" t="str">
        <f>IF(F52&gt;=Control!$B$15,"Yes","No")</f>
        <v>No</v>
      </c>
      <c r="G54" s="94" t="str">
        <f>IF(G52&gt;=Control!$B$15,"Yes","No")</f>
        <v>No</v>
      </c>
      <c r="H54" s="94" t="str">
        <f>IF(H52&gt;=Control!$B$15,"Yes","No")</f>
        <v>Yes</v>
      </c>
      <c r="I54" s="94" t="str">
        <f>IF(I52&gt;=Control!$B$15,"Yes","No")</f>
        <v>Yes</v>
      </c>
      <c r="J54" s="94" t="str">
        <f>IF(J52&gt;=Control!$B$15,"Yes","No")</f>
        <v>Yes</v>
      </c>
      <c r="K54" s="94" t="str">
        <f>IF(K52&gt;=Control!$B$15,"Yes","No")</f>
        <v>Yes</v>
      </c>
      <c r="L54" s="94" t="str">
        <f>IF(L52&gt;=Control!$B$15,"Yes","No")</f>
        <v>Yes</v>
      </c>
      <c r="M54" s="94" t="str">
        <f>IF(M52&gt;=Control!$B$15,"Yes","No")</f>
        <v>Yes</v>
      </c>
      <c r="N54" s="94" t="str">
        <f>IF(N52&gt;=Control!$B$15,"Yes","No")</f>
        <v>Yes</v>
      </c>
      <c r="O54" s="94" t="str">
        <f>IF(O52&gt;=Control!$B$15,"Yes","No")</f>
        <v>Yes</v>
      </c>
      <c r="P54" s="94" t="str">
        <f>IF(P52&gt;=Control!$B$15,"Yes","No")</f>
        <v>Yes</v>
      </c>
      <c r="Q54" s="94" t="str">
        <f>IF(Q52&gt;=Control!$B$15,"Yes","No")</f>
        <v>Yes</v>
      </c>
      <c r="R54" s="94" t="str">
        <f>IF(R52&gt;=Control!$B$15,"Yes","No")</f>
        <v>Yes</v>
      </c>
      <c r="S54" s="94" t="str">
        <f>IF(S52&gt;=Control!$B$15,"Yes","No")</f>
        <v>Yes</v>
      </c>
      <c r="T54" s="94" t="str">
        <f>IF(T52&gt;=Control!$B$15,"Yes","No")</f>
        <v>Yes</v>
      </c>
      <c r="U54" s="94" t="str">
        <f>IF(U52&gt;=Control!$B$15,"Yes","No")</f>
        <v>Yes</v>
      </c>
      <c r="V54" s="94" t="str">
        <f>IF(V52&gt;=Control!$B$15,"Yes","No")</f>
        <v>Yes</v>
      </c>
    </row>
    <row r="55" spans="1:22" x14ac:dyDescent="0.3">
      <c r="A55" s="101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</row>
    <row r="56" spans="1:22" x14ac:dyDescent="0.3">
      <c r="A56" s="414" t="s">
        <v>436</v>
      </c>
      <c r="B56" s="409"/>
      <c r="C56" s="409"/>
      <c r="D56" s="409"/>
      <c r="E56" s="409"/>
      <c r="F56" s="409"/>
      <c r="G56" s="409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</row>
    <row r="57" spans="1:22" x14ac:dyDescent="0.3">
      <c r="A57" s="101" t="s">
        <v>437</v>
      </c>
      <c r="B57" s="107" t="str">
        <f t="shared" ref="B57:V57" si="18">IF(ABS(B32)&lt;1,"OK","ERROR")</f>
        <v>OK</v>
      </c>
      <c r="C57" s="107" t="str">
        <f t="shared" si="18"/>
        <v>OK</v>
      </c>
      <c r="D57" s="107" t="str">
        <f t="shared" si="18"/>
        <v>OK</v>
      </c>
      <c r="E57" s="107" t="str">
        <f t="shared" si="18"/>
        <v>OK</v>
      </c>
      <c r="F57" s="107" t="str">
        <f t="shared" si="18"/>
        <v>OK</v>
      </c>
      <c r="G57" s="107" t="str">
        <f t="shared" si="18"/>
        <v>OK</v>
      </c>
      <c r="H57" s="107" t="str">
        <f t="shared" si="18"/>
        <v>OK</v>
      </c>
      <c r="I57" s="107" t="str">
        <f t="shared" si="18"/>
        <v>OK</v>
      </c>
      <c r="J57" s="107" t="str">
        <f t="shared" si="18"/>
        <v>OK</v>
      </c>
      <c r="K57" s="107" t="str">
        <f t="shared" si="18"/>
        <v>OK</v>
      </c>
      <c r="L57" s="107" t="str">
        <f t="shared" si="18"/>
        <v>OK</v>
      </c>
      <c r="M57" s="107" t="str">
        <f t="shared" si="18"/>
        <v>OK</v>
      </c>
      <c r="N57" s="107" t="str">
        <f t="shared" si="18"/>
        <v>OK</v>
      </c>
      <c r="O57" s="107" t="str">
        <f t="shared" si="18"/>
        <v>OK</v>
      </c>
      <c r="P57" s="107" t="str">
        <f t="shared" si="18"/>
        <v>OK</v>
      </c>
      <c r="Q57" s="107" t="str">
        <f t="shared" si="18"/>
        <v>OK</v>
      </c>
      <c r="R57" s="107" t="str">
        <f t="shared" si="18"/>
        <v>OK</v>
      </c>
      <c r="S57" s="107" t="str">
        <f t="shared" si="18"/>
        <v>OK</v>
      </c>
      <c r="T57" s="107" t="str">
        <f t="shared" si="18"/>
        <v>OK</v>
      </c>
      <c r="U57" s="107" t="str">
        <f t="shared" si="18"/>
        <v>OK</v>
      </c>
      <c r="V57" s="107" t="str">
        <f t="shared" si="18"/>
        <v>OK</v>
      </c>
    </row>
    <row r="58" spans="1:22" x14ac:dyDescent="0.3">
      <c r="A58" s="101" t="s">
        <v>438</v>
      </c>
      <c r="B58" s="107" t="str">
        <f t="shared" ref="B58:V58" si="19">IF(ABS(B47)&lt;1,"OK","ERROR")</f>
        <v>OK</v>
      </c>
      <c r="C58" s="107" t="str">
        <f t="shared" si="19"/>
        <v>OK</v>
      </c>
      <c r="D58" s="107" t="str">
        <f t="shared" si="19"/>
        <v>OK</v>
      </c>
      <c r="E58" s="107" t="str">
        <f t="shared" si="19"/>
        <v>OK</v>
      </c>
      <c r="F58" s="107" t="str">
        <f t="shared" si="19"/>
        <v>OK</v>
      </c>
      <c r="G58" s="107" t="str">
        <f t="shared" si="19"/>
        <v>OK</v>
      </c>
      <c r="H58" s="107" t="str">
        <f t="shared" si="19"/>
        <v>OK</v>
      </c>
      <c r="I58" s="107" t="str">
        <f t="shared" si="19"/>
        <v>OK</v>
      </c>
      <c r="J58" s="107" t="str">
        <f t="shared" si="19"/>
        <v>OK</v>
      </c>
      <c r="K58" s="107" t="str">
        <f t="shared" si="19"/>
        <v>OK</v>
      </c>
      <c r="L58" s="107" t="str">
        <f t="shared" si="19"/>
        <v>OK</v>
      </c>
      <c r="M58" s="107" t="str">
        <f t="shared" si="19"/>
        <v>OK</v>
      </c>
      <c r="N58" s="107" t="str">
        <f t="shared" si="19"/>
        <v>OK</v>
      </c>
      <c r="O58" s="107" t="str">
        <f t="shared" si="19"/>
        <v>OK</v>
      </c>
      <c r="P58" s="107" t="str">
        <f t="shared" si="19"/>
        <v>OK</v>
      </c>
      <c r="Q58" s="107" t="str">
        <f t="shared" si="19"/>
        <v>OK</v>
      </c>
      <c r="R58" s="107" t="str">
        <f t="shared" si="19"/>
        <v>OK</v>
      </c>
      <c r="S58" s="107" t="str">
        <f t="shared" si="19"/>
        <v>OK</v>
      </c>
      <c r="T58" s="107" t="str">
        <f t="shared" si="19"/>
        <v>OK</v>
      </c>
      <c r="U58" s="107" t="str">
        <f t="shared" si="19"/>
        <v>OK</v>
      </c>
      <c r="V58" s="107" t="str">
        <f t="shared" si="19"/>
        <v>OK</v>
      </c>
    </row>
    <row r="59" spans="1:22" x14ac:dyDescent="0.3">
      <c r="A59" s="101" t="s">
        <v>439</v>
      </c>
      <c r="B59" s="107" t="str">
        <f t="shared" ref="B59:V59" si="20">IF(ABS(B12-B42)&lt;1,"OK","ERROR")</f>
        <v>OK</v>
      </c>
      <c r="C59" s="107" t="str">
        <f t="shared" si="20"/>
        <v>OK</v>
      </c>
      <c r="D59" s="107" t="str">
        <f t="shared" si="20"/>
        <v>OK</v>
      </c>
      <c r="E59" s="107" t="str">
        <f t="shared" si="20"/>
        <v>OK</v>
      </c>
      <c r="F59" s="107" t="str">
        <f t="shared" si="20"/>
        <v>OK</v>
      </c>
      <c r="G59" s="107" t="str">
        <f t="shared" si="20"/>
        <v>OK</v>
      </c>
      <c r="H59" s="107" t="str">
        <f t="shared" si="20"/>
        <v>OK</v>
      </c>
      <c r="I59" s="107" t="str">
        <f t="shared" si="20"/>
        <v>OK</v>
      </c>
      <c r="J59" s="107" t="str">
        <f t="shared" si="20"/>
        <v>OK</v>
      </c>
      <c r="K59" s="107" t="str">
        <f t="shared" si="20"/>
        <v>OK</v>
      </c>
      <c r="L59" s="107" t="str">
        <f t="shared" si="20"/>
        <v>OK</v>
      </c>
      <c r="M59" s="107" t="str">
        <f t="shared" si="20"/>
        <v>OK</v>
      </c>
      <c r="N59" s="107" t="str">
        <f t="shared" si="20"/>
        <v>OK</v>
      </c>
      <c r="O59" s="107" t="str">
        <f t="shared" si="20"/>
        <v>OK</v>
      </c>
      <c r="P59" s="107" t="str">
        <f t="shared" si="20"/>
        <v>OK</v>
      </c>
      <c r="Q59" s="107" t="str">
        <f t="shared" si="20"/>
        <v>OK</v>
      </c>
      <c r="R59" s="107" t="str">
        <f t="shared" si="20"/>
        <v>OK</v>
      </c>
      <c r="S59" s="107" t="str">
        <f t="shared" si="20"/>
        <v>OK</v>
      </c>
      <c r="T59" s="107" t="str">
        <f t="shared" si="20"/>
        <v>OK</v>
      </c>
      <c r="U59" s="107" t="str">
        <f t="shared" si="20"/>
        <v>OK</v>
      </c>
      <c r="V59" s="107" t="str">
        <f t="shared" si="20"/>
        <v>OK</v>
      </c>
    </row>
    <row r="60" spans="1:22" x14ac:dyDescent="0.3">
      <c r="A60" s="106" t="s">
        <v>440</v>
      </c>
      <c r="B60" s="108" t="str">
        <f>IF(COUNTIF(B57:V59,"ERROR")=0,"✓ ALL CHECKS PASS","✗ REVIEW CHECKS")</f>
        <v>✓ ALL CHECKS PASS</v>
      </c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</row>
  </sheetData>
  <mergeCells count="10">
    <mergeCell ref="A2:V2"/>
    <mergeCell ref="A49:V49"/>
    <mergeCell ref="A1:V1"/>
    <mergeCell ref="A40:V40"/>
    <mergeCell ref="A56:V56"/>
    <mergeCell ref="A3:V3"/>
    <mergeCell ref="A21:V21"/>
    <mergeCell ref="A34:V34"/>
    <mergeCell ref="A15:V15"/>
    <mergeCell ref="A7:V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E79"/>
  </sheetPr>
  <dimension ref="A1:V43"/>
  <sheetViews>
    <sheetView topLeftCell="A19" workbookViewId="0">
      <selection activeCell="A6" sqref="A6"/>
    </sheetView>
  </sheetViews>
  <sheetFormatPr defaultRowHeight="14.4" x14ac:dyDescent="0.3"/>
  <cols>
    <col min="1" max="1" width="61.109375" bestFit="1" customWidth="1"/>
    <col min="2" max="2" width="10.5546875" bestFit="1" customWidth="1"/>
    <col min="3" max="3" width="10" bestFit="1" customWidth="1"/>
    <col min="4" max="5" width="8.6640625" bestFit="1" customWidth="1"/>
    <col min="6" max="6" width="13.33203125" bestFit="1" customWidth="1"/>
    <col min="7" max="10" width="8.6640625" bestFit="1" customWidth="1"/>
    <col min="11" max="21" width="9.6640625" bestFit="1" customWidth="1"/>
    <col min="22" max="22" width="8.6640625" bestFit="1" customWidth="1"/>
  </cols>
  <sheetData>
    <row r="1" spans="1:22" x14ac:dyDescent="0.3">
      <c r="A1" s="109" t="s">
        <v>441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</row>
    <row r="2" spans="1:22" x14ac:dyDescent="0.3">
      <c r="A2" s="417" t="s">
        <v>442</v>
      </c>
      <c r="B2" s="392"/>
      <c r="C2" s="392"/>
      <c r="D2" s="392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</row>
    <row r="3" spans="1:22" x14ac:dyDescent="0.3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</row>
    <row r="4" spans="1:22" x14ac:dyDescent="0.3">
      <c r="A4" s="119" t="s">
        <v>25</v>
      </c>
      <c r="B4" s="119" t="s">
        <v>284</v>
      </c>
      <c r="C4" s="119" t="s">
        <v>285</v>
      </c>
      <c r="D4" s="119" t="s">
        <v>286</v>
      </c>
      <c r="F4" s="119" t="s">
        <v>443</v>
      </c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</row>
    <row r="5" spans="1:22" x14ac:dyDescent="0.3">
      <c r="A5" s="110" t="s">
        <v>345</v>
      </c>
      <c r="B5" s="114">
        <f>IF(Control!$B$5&gt;0,Control!$B$12/Control!$B$11*Control!$B$5,0)</f>
        <v>3000000</v>
      </c>
      <c r="C5" s="114">
        <f>IF(Control!$B$7&gt;0,Control!$B$13/Control!$B$11*Control!$B$7,0)</f>
        <v>2000000</v>
      </c>
      <c r="D5" s="114">
        <f>IF(Control!$B$8&gt;0,Control!$B$14/Control!$B$11*Control!$B$8,0)</f>
        <v>1400000</v>
      </c>
      <c r="F5" s="165">
        <f>Control!$B$15</f>
        <v>6400000</v>
      </c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</row>
    <row r="6" spans="1:22" x14ac:dyDescent="0.3">
      <c r="A6" s="110" t="s">
        <v>340</v>
      </c>
      <c r="B6" s="114">
        <f>Valuation!C9</f>
        <v>6000000</v>
      </c>
      <c r="C6" s="114">
        <f>Valuation!D9</f>
        <v>4000000</v>
      </c>
      <c r="D6" s="114">
        <f>Valuation!E9</f>
        <v>2900000</v>
      </c>
      <c r="F6" s="165">
        <f>Valuation!$F$9</f>
        <v>12900000</v>
      </c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</row>
    <row r="7" spans="1:22" x14ac:dyDescent="0.3">
      <c r="A7" s="110" t="s">
        <v>293</v>
      </c>
      <c r="B7" s="114">
        <f>Valuation!C10</f>
        <v>3000000</v>
      </c>
      <c r="C7" s="114">
        <f>Valuation!D10</f>
        <v>2000000</v>
      </c>
      <c r="D7" s="114">
        <f>Valuation!E10</f>
        <v>1450000</v>
      </c>
      <c r="F7" s="165">
        <f>Valuation!$F$10</f>
        <v>6450000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</row>
    <row r="8" spans="1:22" x14ac:dyDescent="0.3">
      <c r="A8" s="110" t="s">
        <v>444</v>
      </c>
      <c r="B8" s="114">
        <f>AVERAGE('African Sky P&amp;L'!C26:E26)</f>
        <v>2047869.1751379457</v>
      </c>
      <c r="C8" s="114">
        <f>AVERAGE('Beachside P&amp;L'!C16:E16)</f>
        <v>423569.89999999997</v>
      </c>
      <c r="D8" s="114">
        <f>AVERAGE('Menlyn P&amp;L'!C13:E13)</f>
        <v>270862.8</v>
      </c>
      <c r="F8" s="165">
        <f>AVERAGE('Portfolio NewCo'!B9:D9)</f>
        <v>2742301.8751379456</v>
      </c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</row>
    <row r="9" spans="1:22" x14ac:dyDescent="0.3">
      <c r="A9" s="110" t="s">
        <v>295</v>
      </c>
      <c r="B9" s="115">
        <f>IFERROR(B8/B6,"")</f>
        <v>0.34131152918965763</v>
      </c>
      <c r="C9" s="115">
        <f>IFERROR(C8/C6,"")</f>
        <v>0.10589247499999999</v>
      </c>
      <c r="D9" s="115">
        <f>IFERROR(D8/D6,"")</f>
        <v>9.3400965517241377E-2</v>
      </c>
      <c r="F9" s="166">
        <f>IFERROR(F8/F6,"")</f>
        <v>0.21258154070836788</v>
      </c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</row>
    <row r="10" spans="1:22" x14ac:dyDescent="0.3">
      <c r="A10" s="110" t="s">
        <v>445</v>
      </c>
      <c r="B10" s="116">
        <f>IFERROR(B6/B8,"")</f>
        <v>2.9298746584218871</v>
      </c>
      <c r="C10" s="116">
        <f>IFERROR(C6/C8,"")</f>
        <v>9.4435416680930349</v>
      </c>
      <c r="D10" s="116">
        <f>IFERROR(D6/D8,"")</f>
        <v>10.706527437507107</v>
      </c>
      <c r="F10" s="167">
        <f>IFERROR(F6/F8,"")</f>
        <v>4.7040772997870972</v>
      </c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</row>
    <row r="11" spans="1:22" x14ac:dyDescent="0.3">
      <c r="A11" s="154" t="s">
        <v>446</v>
      </c>
      <c r="B11" s="158">
        <f>IF(B5=0,"",INDEX($B$28:$U$28,1,5)/B5)</f>
        <v>1.3101525827659615</v>
      </c>
      <c r="C11" s="158">
        <f>IF(C5=0,"",INDEX($B$29:$U$29,1,5)/C5)</f>
        <v>0.40647703857562506</v>
      </c>
      <c r="D11" s="158">
        <f>IF(D5=0,"",INDEX($B$30:$U$30,1,5)/D5)</f>
        <v>0.3713318925107143</v>
      </c>
      <c r="F11" s="167">
        <f>IFERROR(INDEX('INV - Investor KPIs'!$C$10:$V$10,1,5),"")</f>
        <v>0.82238694921314603</v>
      </c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</row>
    <row r="12" spans="1:22" x14ac:dyDescent="0.3">
      <c r="A12" s="154" t="s">
        <v>447</v>
      </c>
      <c r="B12" s="158">
        <f>IF(B5=0,"",(INDEX($B$28:$U$28,1,5)+B7*POWER(1+Control!$B$78,5)*(1-Control!$B$79))/B5)</f>
        <v>2.5098572515159616</v>
      </c>
      <c r="C12" s="158">
        <f>IF(C5=0,"",(INDEX($B$29:$U$29,1,5)+C7*POWER(1+Control!$B$78,5)*(1-Control!$B$79))/C5)</f>
        <v>1.6061817073256253</v>
      </c>
      <c r="D12" s="158">
        <f>IF(D5=0,"",(INDEX($B$30:$U$30,1,5)+D7*POWER(1+Control!$B$78,5)*(1-Control!$B$79))/D5)</f>
        <v>1.6138831565732144</v>
      </c>
      <c r="F12" s="167">
        <f>IFERROR(INDEX('INV - Investor KPIs'!$C$13:$V$13,1,5),"")</f>
        <v>2.0314643106877552</v>
      </c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</row>
    <row r="13" spans="1:22" x14ac:dyDescent="0.3">
      <c r="A13" s="154" t="s">
        <v>448</v>
      </c>
      <c r="B13" s="155">
        <f>IF(B5=0,"",IFERROR(IRR(B32:G32),""))</f>
        <v>0.27893315658884643</v>
      </c>
      <c r="C13" s="155">
        <f>IF(C5=0,"",IFERROR(IRR(B33:G33),""))</f>
        <v>0.11237278970030395</v>
      </c>
      <c r="D13" s="155">
        <f>IF(D5=0,"",IFERROR(IRR(B34:G34),""))</f>
        <v>0.11227214617910186</v>
      </c>
      <c r="F13" s="166">
        <f>'INV - Investor KPIs'!C18</f>
        <v>0.1903614437955532</v>
      </c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</row>
    <row r="14" spans="1:22" x14ac:dyDescent="0.3">
      <c r="A14" s="156" t="s">
        <v>449</v>
      </c>
      <c r="B14" s="158">
        <f>IF(B5=0,"",INDEX($B$28:$U$28,1,10)/B5)</f>
        <v>2.9822761682119134</v>
      </c>
      <c r="C14" s="158">
        <f>IF(C5=0,"",INDEX($B$29:$U$29,1,10)/C5)</f>
        <v>0.92525618848929636</v>
      </c>
      <c r="D14" s="158">
        <f>IF(D5=0,"",INDEX($B$30:$U$30,1,10)/D5)</f>
        <v>0.84525594049037089</v>
      </c>
      <c r="F14" s="167">
        <f>IFERROR(INDEX('INV - Investor KPIs'!$C$10:$V$10,1,10),"")</f>
        <v>1.8719842497345083</v>
      </c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</row>
    <row r="15" spans="1:22" x14ac:dyDescent="0.3">
      <c r="A15" s="156" t="s">
        <v>450</v>
      </c>
      <c r="B15" s="158">
        <f>IF(B5=0,"",(INDEX($B$28:$U$28,1,10)+B7*POWER(1+Control!$B$78,10)*(1-Control!$B$79))/B5)</f>
        <v>4.5134371173827086</v>
      </c>
      <c r="C15" s="158">
        <f>IF(C5=0,"",(INDEX($B$29:$U$29,1,10)+C7*POWER(1+Control!$B$78,10)*(1-Control!$B$79))/C5)</f>
        <v>2.4564171376600914</v>
      </c>
      <c r="D15" s="158">
        <f>IF(D5=0,"",(INDEX($B$30:$U$30,1,10)+D7*POWER(1+Control!$B$78,10)*(1-Control!$B$79))/D5)</f>
        <v>2.4311012092744089</v>
      </c>
      <c r="F15" s="167">
        <f>IFERROR(INDEX('INV - Investor KPIs'!$C$13:$V$13,1,10),"")</f>
        <v>3.4151073938207004</v>
      </c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</row>
    <row r="16" spans="1:22" x14ac:dyDescent="0.3">
      <c r="A16" s="156" t="s">
        <v>451</v>
      </c>
      <c r="B16" s="157">
        <f>IF(B5=0,"",IFERROR(IRR(B35:L35),""))</f>
        <v>0.28494675963867078</v>
      </c>
      <c r="C16" s="157">
        <f>IF(C5=0,"",IFERROR(IRR(B36:L36),""))</f>
        <v>0.1189072507381228</v>
      </c>
      <c r="D16" s="157">
        <f>IF(D5=0,"",IFERROR(IRR(B37:L37),""))</f>
        <v>0.1151162232027898</v>
      </c>
      <c r="F16" s="166">
        <f>'INV - Investor KPIs'!D18</f>
        <v>0.19595827526478482</v>
      </c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</row>
    <row r="17" spans="1:22" x14ac:dyDescent="0.3">
      <c r="A17" s="156" t="s">
        <v>452</v>
      </c>
      <c r="B17" s="158">
        <f>IF(B5=0,"",INDEX($B$28:$U$28,1,15)/B5)</f>
        <v>5.1163766705379752</v>
      </c>
      <c r="C17" s="158">
        <f>IF(C5=0,"",INDEX($B$29:$U$29,1,15)/C5)</f>
        <v>1.5873644525335386</v>
      </c>
      <c r="D17" s="158">
        <f>IF(D5=0,"",INDEX($B$30:$U$30,1,15)/D5)</f>
        <v>1.4501164649521718</v>
      </c>
      <c r="F17" s="167">
        <f>IFERROR(INDEX('INV - Investor KPIs'!$C$10:$V$10,1,15),"")</f>
        <v>3.211565932439695</v>
      </c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</row>
    <row r="18" spans="1:22" x14ac:dyDescent="0.3">
      <c r="A18" s="156" t="s">
        <v>453</v>
      </c>
      <c r="B18" s="158">
        <f>IF(B5=0,"",(INDEX($B$28:$U$28,1,15)+B7*POWER(1+Control!$B$78,15)*(1-Control!$B$79))/B5)</f>
        <v>7.0705691591846609</v>
      </c>
      <c r="C18" s="158">
        <f>IF(C5=0,"",(INDEX($B$29:$U$29,1,15)+C7*POWER(1+Control!$B$78,15)*(1-Control!$B$79))/C5)</f>
        <v>3.5415569411802243</v>
      </c>
      <c r="D18" s="158">
        <f>IF(D5=0,"",(INDEX($B$30:$U$30,1,15)+D7*POWER(1+Control!$B$78,15)*(1-Control!$B$79))/D5)</f>
        <v>3.4741015424790964</v>
      </c>
      <c r="F18" s="167">
        <f>IFERROR(INDEX('INV - Investor KPIs'!$C$13:$V$13,1,15),"")</f>
        <v>5.1810255499039322</v>
      </c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</row>
    <row r="19" spans="1:22" x14ac:dyDescent="0.3">
      <c r="A19" s="156" t="s">
        <v>454</v>
      </c>
      <c r="B19" s="157">
        <f>IF(B5=0,"",IFERROR(IRR(B38:Q38),""))</f>
        <v>0.28639637527130368</v>
      </c>
      <c r="C19" s="157">
        <f>IF(C5=0,"",IFERROR(IRR(B39:Q39),""))</f>
        <v>0.12100886247434706</v>
      </c>
      <c r="D19" s="157">
        <f>IF(D5=0,"",IFERROR(IRR(B40:Q40),""))</f>
        <v>0.11603550647222871</v>
      </c>
      <c r="F19" s="166">
        <f>'INV - Investor KPIs'!E18</f>
        <v>0.19757585701617097</v>
      </c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</row>
    <row r="20" spans="1:22" x14ac:dyDescent="0.3">
      <c r="A20" s="156" t="s">
        <v>455</v>
      </c>
      <c r="B20" s="158">
        <f>IF(B5=0,"",INDEX($B$28:$U$28,1,20)/B5)</f>
        <v>7.8400897941787164</v>
      </c>
      <c r="C20" s="158">
        <f>IF(C5=0,"",INDEX($B$29:$U$29,1,20)/C5)</f>
        <v>2.4324010223120869</v>
      </c>
      <c r="D20" s="158">
        <f>IF(D5=0,"",INDEX($B$30:$U$30,1,20)/D5)</f>
        <v>2.2220888002068486</v>
      </c>
      <c r="F20" s="167">
        <f>IFERROR(INDEX('INV - Investor KPIs'!$C$10:$V$10,1,20),"")</f>
        <v>4.9212493355390494</v>
      </c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</row>
    <row r="21" spans="1:22" x14ac:dyDescent="0.3">
      <c r="A21" s="156" t="s">
        <v>456</v>
      </c>
      <c r="B21" s="158">
        <f>IF(B5=0,"",(INDEX($B$28:$U$28,1,20)+B7*POWER(1+Control!$B$78,20)*(1-Control!$B$79))/B5)</f>
        <v>10.334189637014472</v>
      </c>
      <c r="C21" s="158">
        <f>IF(C5=0,"",(INDEX($B$29:$U$29,1,20)+C7*POWER(1+Control!$B$78,20)*(1-Control!$B$79))/C5)</f>
        <v>4.9265008651478421</v>
      </c>
      <c r="D21" s="158">
        <f>IF(D5=0,"",(INDEX($B$30:$U$30,1,20)+D7*POWER(1+Control!$B$78,20)*(1-Control!$B$79))/D5)</f>
        <v>4.8052636374295954</v>
      </c>
      <c r="F21" s="167">
        <f>IFERROR(INDEX('INV - Investor KPIs'!$C$13:$V$13,1,20),"")</f>
        <v>7.4348343333969593</v>
      </c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</row>
    <row r="22" spans="1:22" x14ac:dyDescent="0.3">
      <c r="A22" s="156" t="s">
        <v>457</v>
      </c>
      <c r="B22" s="157">
        <f>IF(B5=0,"",IFERROR(IRR(B41:V41),""))</f>
        <v>0.28685725011450436</v>
      </c>
      <c r="C22" s="157">
        <f>IF(C5=0,"",IFERROR(IRR(B42:V42),""))</f>
        <v>0.1220012319062973</v>
      </c>
      <c r="D22" s="157">
        <f>IF(D5=0,"",IFERROR(IRR(B43:V43),""))</f>
        <v>0.11647376943190912</v>
      </c>
      <c r="F22" s="166">
        <f>'INV - Investor KPIs'!F18</f>
        <v>0.19823224759730951</v>
      </c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</row>
    <row r="23" spans="1:22" x14ac:dyDescent="0.3">
      <c r="A23" s="133"/>
      <c r="B23" s="159"/>
      <c r="C23" s="159"/>
      <c r="D23" s="159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</row>
    <row r="24" spans="1:22" x14ac:dyDescent="0.3">
      <c r="A24" s="110" t="s">
        <v>458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</row>
    <row r="25" spans="1:22" x14ac:dyDescent="0.3">
      <c r="A25" s="110" t="s">
        <v>459</v>
      </c>
      <c r="B25" s="114">
        <f>'Portfolio NewCo'!B24</f>
        <v>711313.79754989711</v>
      </c>
      <c r="C25" s="114">
        <f>'Portfolio NewCo'!C24</f>
        <v>746879.48742739193</v>
      </c>
      <c r="D25" s="114">
        <f>'Portfolio NewCo'!D24</f>
        <v>784223.46179876151</v>
      </c>
      <c r="E25" s="114">
        <f>'Portfolio NewCo'!E24</f>
        <v>823434.63488869974</v>
      </c>
      <c r="F25" s="114">
        <f>'Portfolio NewCo'!F24</f>
        <v>864606.3666331342</v>
      </c>
      <c r="G25" s="114">
        <f>'Portfolio NewCo'!G24</f>
        <v>907836.68496479187</v>
      </c>
      <c r="H25" s="114">
        <f>'Portfolio NewCo'!H24</f>
        <v>953228.51921303105</v>
      </c>
      <c r="I25" s="114">
        <f>'Portfolio NewCo'!I24</f>
        <v>1000889.9451736826</v>
      </c>
      <c r="J25" s="114">
        <f>'Portfolio NewCo'!J24</f>
        <v>1050934.4424323663</v>
      </c>
      <c r="K25" s="114">
        <f>'Portfolio NewCo'!K24</f>
        <v>1103481.1645539845</v>
      </c>
      <c r="L25" s="114">
        <f>'Portfolio NewCo'!L24</f>
        <v>1158655.2227816842</v>
      </c>
      <c r="M25" s="114">
        <f>'Portfolio NewCo'!M24</f>
        <v>1216587.9839207686</v>
      </c>
      <c r="N25" s="114">
        <f>'Portfolio NewCo'!N24</f>
        <v>1277417.3831168071</v>
      </c>
      <c r="O25" s="114">
        <f>'Portfolio NewCo'!O24</f>
        <v>1341288.2522726473</v>
      </c>
      <c r="P25" s="114">
        <f>'Portfolio NewCo'!P24</f>
        <v>1408352.6648862793</v>
      </c>
      <c r="Q25" s="114">
        <f>'Portfolio NewCo'!Q24</f>
        <v>1478770.2981305937</v>
      </c>
      <c r="R25" s="114">
        <f>'Portfolio NewCo'!R24</f>
        <v>1552708.8130371233</v>
      </c>
      <c r="S25" s="114">
        <f>'Portfolio NewCo'!S24</f>
        <v>1630344.2536889799</v>
      </c>
      <c r="T25" s="114">
        <f>'Portfolio NewCo'!T24</f>
        <v>1711861.4663734292</v>
      </c>
      <c r="U25" s="114">
        <f>'Portfolio NewCo'!U24</f>
        <v>1797454.5396920997</v>
      </c>
      <c r="V25" s="114"/>
    </row>
    <row r="26" spans="1:22" x14ac:dyDescent="0.3">
      <c r="A26" s="110" t="s">
        <v>460</v>
      </c>
      <c r="B26" s="114">
        <f>'Portfolio NewCo'!B25</f>
        <v>147124.20000000001</v>
      </c>
      <c r="C26" s="114">
        <f>'Portfolio NewCo'!C25</f>
        <v>154480.41</v>
      </c>
      <c r="D26" s="114">
        <f>'Portfolio NewCo'!D25</f>
        <v>162204.43050000002</v>
      </c>
      <c r="E26" s="114">
        <f>'Portfolio NewCo'!E25</f>
        <v>170314.65202500002</v>
      </c>
      <c r="F26" s="114">
        <f>'Portfolio NewCo'!F25</f>
        <v>178830.38462625002</v>
      </c>
      <c r="G26" s="114">
        <f>'Portfolio NewCo'!G25</f>
        <v>187771.90385756252</v>
      </c>
      <c r="H26" s="114">
        <f>'Portfolio NewCo'!H25</f>
        <v>197160.49905044062</v>
      </c>
      <c r="I26" s="114">
        <f>'Portfolio NewCo'!I25</f>
        <v>207018.52400296269</v>
      </c>
      <c r="J26" s="114">
        <f>'Portfolio NewCo'!J25</f>
        <v>217369.45020311075</v>
      </c>
      <c r="K26" s="114">
        <f>'Portfolio NewCo'!K25</f>
        <v>228237.92271326631</v>
      </c>
      <c r="L26" s="114">
        <f>'Portfolio NewCo'!L25</f>
        <v>239649.81884892966</v>
      </c>
      <c r="M26" s="114">
        <f>'Portfolio NewCo'!M25</f>
        <v>251632.30979137614</v>
      </c>
      <c r="N26" s="114">
        <f>'Portfolio NewCo'!N25</f>
        <v>264213.92528094491</v>
      </c>
      <c r="O26" s="114">
        <f>'Portfolio NewCo'!O25</f>
        <v>277424.6215449922</v>
      </c>
      <c r="P26" s="114">
        <f>'Portfolio NewCo'!P25</f>
        <v>291295.85262224171</v>
      </c>
      <c r="Q26" s="114">
        <f>'Portfolio NewCo'!Q25</f>
        <v>305860.64525335393</v>
      </c>
      <c r="R26" s="114">
        <f>'Portfolio NewCo'!R25</f>
        <v>321153.67751602165</v>
      </c>
      <c r="S26" s="114">
        <f>'Portfolio NewCo'!S25</f>
        <v>337211.36139182275</v>
      </c>
      <c r="T26" s="114">
        <f>'Portfolio NewCo'!T25</f>
        <v>354071.92946141388</v>
      </c>
      <c r="U26" s="114">
        <f>'Portfolio NewCo'!U25</f>
        <v>371775.52593448461</v>
      </c>
      <c r="V26" s="114"/>
    </row>
    <row r="27" spans="1:22" x14ac:dyDescent="0.3">
      <c r="A27" s="110" t="s">
        <v>461</v>
      </c>
      <c r="B27" s="114">
        <f>'Portfolio NewCo'!B26</f>
        <v>94082.4</v>
      </c>
      <c r="C27" s="114">
        <f>'Portfolio NewCo'!C26</f>
        <v>98786.51999999999</v>
      </c>
      <c r="D27" s="114">
        <f>'Portfolio NewCo'!D26</f>
        <v>103725.84600000001</v>
      </c>
      <c r="E27" s="114">
        <f>'Portfolio NewCo'!E26</f>
        <v>108912.13830000002</v>
      </c>
      <c r="F27" s="114">
        <f>'Portfolio NewCo'!F26</f>
        <v>114357.745215</v>
      </c>
      <c r="G27" s="114">
        <f>'Portfolio NewCo'!G26</f>
        <v>120075.63247575</v>
      </c>
      <c r="H27" s="114">
        <f>'Portfolio NewCo'!H26</f>
        <v>126079.41409953751</v>
      </c>
      <c r="I27" s="114">
        <f>'Portfolio NewCo'!I26</f>
        <v>132383.38480451441</v>
      </c>
      <c r="J27" s="114">
        <f>'Portfolio NewCo'!J26</f>
        <v>139002.55404474007</v>
      </c>
      <c r="K27" s="114">
        <f>'Portfolio NewCo'!K26</f>
        <v>145952.68174697712</v>
      </c>
      <c r="L27" s="114">
        <f>'Portfolio NewCo'!L26</f>
        <v>153250.31583432597</v>
      </c>
      <c r="M27" s="114">
        <f>'Portfolio NewCo'!M26</f>
        <v>160912.83162604229</v>
      </c>
      <c r="N27" s="114">
        <f>'Portfolio NewCo'!N26</f>
        <v>168958.47320734436</v>
      </c>
      <c r="O27" s="114">
        <f>'Portfolio NewCo'!O26</f>
        <v>177406.39686771162</v>
      </c>
      <c r="P27" s="114">
        <f>'Portfolio NewCo'!P26</f>
        <v>186276.71671109713</v>
      </c>
      <c r="Q27" s="114">
        <f>'Portfolio NewCo'!Q26</f>
        <v>195590.55254665209</v>
      </c>
      <c r="R27" s="114">
        <f>'Portfolio NewCo'!R26</f>
        <v>205370.08017398466</v>
      </c>
      <c r="S27" s="114">
        <f>'Portfolio NewCo'!S26</f>
        <v>215638.58418268393</v>
      </c>
      <c r="T27" s="114">
        <f>'Portfolio NewCo'!T26</f>
        <v>226420.51339181809</v>
      </c>
      <c r="U27" s="114">
        <f>'Portfolio NewCo'!U26</f>
        <v>237741.53906140901</v>
      </c>
      <c r="V27" s="114"/>
    </row>
    <row r="28" spans="1:22" x14ac:dyDescent="0.3">
      <c r="A28" s="110" t="s">
        <v>462</v>
      </c>
      <c r="B28" s="114">
        <f>'Portfolio NewCo'!B27</f>
        <v>711313.79754989711</v>
      </c>
      <c r="C28" s="114">
        <f>'Portfolio NewCo'!C27</f>
        <v>1458193.2849772889</v>
      </c>
      <c r="D28" s="114">
        <f>'Portfolio NewCo'!D27</f>
        <v>2242416.7467760504</v>
      </c>
      <c r="E28" s="114">
        <f>'Portfolio NewCo'!E27</f>
        <v>3065851.3816647502</v>
      </c>
      <c r="F28" s="114">
        <f>'Portfolio NewCo'!F27</f>
        <v>3930457.7482978841</v>
      </c>
      <c r="G28" s="114">
        <f>'Portfolio NewCo'!G27</f>
        <v>4838294.433262676</v>
      </c>
      <c r="H28" s="114">
        <f>'Portfolio NewCo'!H27</f>
        <v>5791522.952475707</v>
      </c>
      <c r="I28" s="114">
        <f>'Portfolio NewCo'!I27</f>
        <v>6792412.8976493897</v>
      </c>
      <c r="J28" s="114">
        <f>'Portfolio NewCo'!J27</f>
        <v>7843347.340081756</v>
      </c>
      <c r="K28" s="114">
        <f>'Portfolio NewCo'!K27</f>
        <v>8946828.5046357401</v>
      </c>
      <c r="L28" s="114">
        <f>'Portfolio NewCo'!L27</f>
        <v>10105483.727417424</v>
      </c>
      <c r="M28" s="114">
        <f>'Portfolio NewCo'!M27</f>
        <v>11322071.711338192</v>
      </c>
      <c r="N28" s="114">
        <f>'Portfolio NewCo'!N27</f>
        <v>12599489.094455</v>
      </c>
      <c r="O28" s="114">
        <f>'Portfolio NewCo'!O27</f>
        <v>13940777.346727647</v>
      </c>
      <c r="P28" s="114">
        <f>'Portfolio NewCo'!P27</f>
        <v>15349130.011613926</v>
      </c>
      <c r="Q28" s="114">
        <f>'Portfolio NewCo'!Q27</f>
        <v>16827900.309744518</v>
      </c>
      <c r="R28" s="114">
        <f>'Portfolio NewCo'!R27</f>
        <v>18380609.122781642</v>
      </c>
      <c r="S28" s="114">
        <f>'Portfolio NewCo'!S27</f>
        <v>20010953.376470622</v>
      </c>
      <c r="T28" s="114">
        <f>'Portfolio NewCo'!T27</f>
        <v>21722814.84284405</v>
      </c>
      <c r="U28" s="114">
        <f>'Portfolio NewCo'!U27</f>
        <v>23520269.382536151</v>
      </c>
      <c r="V28" s="114"/>
    </row>
    <row r="29" spans="1:22" x14ac:dyDescent="0.3">
      <c r="A29" s="110" t="s">
        <v>463</v>
      </c>
      <c r="B29" s="114">
        <f>'Portfolio NewCo'!B28</f>
        <v>147124.20000000001</v>
      </c>
      <c r="C29" s="114">
        <f>'Portfolio NewCo'!C28</f>
        <v>301604.61</v>
      </c>
      <c r="D29" s="114">
        <f>'Portfolio NewCo'!D28</f>
        <v>463809.0405</v>
      </c>
      <c r="E29" s="114">
        <f>'Portfolio NewCo'!E28</f>
        <v>634123.69252500008</v>
      </c>
      <c r="F29" s="114">
        <f>'Portfolio NewCo'!F28</f>
        <v>812954.07715125009</v>
      </c>
      <c r="G29" s="114">
        <f>'Portfolio NewCo'!G28</f>
        <v>1000725.9810088126</v>
      </c>
      <c r="H29" s="114">
        <f>'Portfolio NewCo'!H28</f>
        <v>1197886.4800592531</v>
      </c>
      <c r="I29" s="114">
        <f>'Portfolio NewCo'!I28</f>
        <v>1404905.0040622158</v>
      </c>
      <c r="J29" s="114">
        <f>'Portfolio NewCo'!J28</f>
        <v>1622274.4542653265</v>
      </c>
      <c r="K29" s="114">
        <f>'Portfolio NewCo'!K28</f>
        <v>1850512.3769785927</v>
      </c>
      <c r="L29" s="114">
        <f>'Portfolio NewCo'!L28</f>
        <v>2090162.1958275223</v>
      </c>
      <c r="M29" s="114">
        <f>'Portfolio NewCo'!M28</f>
        <v>2341794.5056188987</v>
      </c>
      <c r="N29" s="114">
        <f>'Portfolio NewCo'!N28</f>
        <v>2606008.4308998436</v>
      </c>
      <c r="O29" s="114">
        <f>'Portfolio NewCo'!O28</f>
        <v>2883433.0524448357</v>
      </c>
      <c r="P29" s="114">
        <f>'Portfolio NewCo'!P28</f>
        <v>3174728.9050670774</v>
      </c>
      <c r="Q29" s="114">
        <f>'Portfolio NewCo'!Q28</f>
        <v>3480589.5503204311</v>
      </c>
      <c r="R29" s="114">
        <f>'Portfolio NewCo'!R28</f>
        <v>3801743.2278364529</v>
      </c>
      <c r="S29" s="114">
        <f>'Portfolio NewCo'!S28</f>
        <v>4138954.5892282757</v>
      </c>
      <c r="T29" s="114">
        <f>'Portfolio NewCo'!T28</f>
        <v>4493026.5186896892</v>
      </c>
      <c r="U29" s="114">
        <f>'Portfolio NewCo'!U28</f>
        <v>4864802.044624174</v>
      </c>
      <c r="V29" s="114"/>
    </row>
    <row r="30" spans="1:22" x14ac:dyDescent="0.3">
      <c r="A30" s="110" t="s">
        <v>464</v>
      </c>
      <c r="B30" s="114">
        <f>'Portfolio NewCo'!B29</f>
        <v>94082.4</v>
      </c>
      <c r="C30" s="114">
        <f>'Portfolio NewCo'!C29</f>
        <v>192868.91999999998</v>
      </c>
      <c r="D30" s="114">
        <f>'Portfolio NewCo'!D29</f>
        <v>296594.766</v>
      </c>
      <c r="E30" s="114">
        <f>'Portfolio NewCo'!E29</f>
        <v>405506.90430000005</v>
      </c>
      <c r="F30" s="114">
        <f>'Portfolio NewCo'!F29</f>
        <v>519864.64951500006</v>
      </c>
      <c r="G30" s="114">
        <f>'Portfolio NewCo'!G29</f>
        <v>639940.28199074999</v>
      </c>
      <c r="H30" s="114">
        <f>'Portfolio NewCo'!H29</f>
        <v>766019.69609028753</v>
      </c>
      <c r="I30" s="114">
        <f>'Portfolio NewCo'!I29</f>
        <v>898403.080894802</v>
      </c>
      <c r="J30" s="114">
        <f>'Portfolio NewCo'!J29</f>
        <v>1037405.634939542</v>
      </c>
      <c r="K30" s="114">
        <f>'Portfolio NewCo'!K29</f>
        <v>1183358.3166865192</v>
      </c>
      <c r="L30" s="114">
        <f>'Portfolio NewCo'!L29</f>
        <v>1336608.6325208452</v>
      </c>
      <c r="M30" s="114">
        <f>'Portfolio NewCo'!M29</f>
        <v>1497521.4641468874</v>
      </c>
      <c r="N30" s="114">
        <f>'Portfolio NewCo'!N29</f>
        <v>1666479.9373542317</v>
      </c>
      <c r="O30" s="114">
        <f>'Portfolio NewCo'!O29</f>
        <v>1843886.3342219433</v>
      </c>
      <c r="P30" s="114">
        <f>'Portfolio NewCo'!P29</f>
        <v>2030163.0509330404</v>
      </c>
      <c r="Q30" s="114">
        <f>'Portfolio NewCo'!Q29</f>
        <v>2225753.6034796927</v>
      </c>
      <c r="R30" s="114">
        <f>'Portfolio NewCo'!R29</f>
        <v>2431123.6836536773</v>
      </c>
      <c r="S30" s="114">
        <f>'Portfolio NewCo'!S29</f>
        <v>2646762.2678363612</v>
      </c>
      <c r="T30" s="114">
        <f>'Portfolio NewCo'!T29</f>
        <v>2873182.7812281791</v>
      </c>
      <c r="U30" s="114">
        <f>'Portfolio NewCo'!U29</f>
        <v>3110924.3202895881</v>
      </c>
      <c r="V30" s="114"/>
    </row>
    <row r="31" spans="1:22" x14ac:dyDescent="0.3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</row>
    <row r="32" spans="1:22" x14ac:dyDescent="0.3">
      <c r="A32" s="110" t="s">
        <v>465</v>
      </c>
      <c r="B32" s="114">
        <f>-B5</f>
        <v>-3000000</v>
      </c>
      <c r="C32" s="114">
        <f>INDEX($B$25:$U$25,1,1)</f>
        <v>711313.79754989711</v>
      </c>
      <c r="D32" s="114">
        <f>INDEX($B$25:$U$25,1,2)</f>
        <v>746879.48742739193</v>
      </c>
      <c r="E32" s="114">
        <f>INDEX($B$25:$U$25,1,3)</f>
        <v>784223.46179876151</v>
      </c>
      <c r="F32" s="114">
        <f>INDEX($B$25:$U$25,1,4)</f>
        <v>823434.63488869974</v>
      </c>
      <c r="G32" s="114">
        <f>INDEX($B$25:$U$25,1,5)+B7*POWER(1+Control!$B$78,5)*(1-Control!$B$79)</f>
        <v>4463720.3728831345</v>
      </c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</row>
    <row r="33" spans="1:22" x14ac:dyDescent="0.3">
      <c r="A33" s="110" t="s">
        <v>466</v>
      </c>
      <c r="B33" s="114">
        <f>-C5</f>
        <v>-2000000</v>
      </c>
      <c r="C33" s="114">
        <f>INDEX($B$26:$U$26,1,1)</f>
        <v>147124.20000000001</v>
      </c>
      <c r="D33" s="114">
        <f>INDEX($B$26:$U$26,1,2)</f>
        <v>154480.41</v>
      </c>
      <c r="E33" s="114">
        <f>INDEX($B$26:$U$26,1,3)</f>
        <v>162204.43050000002</v>
      </c>
      <c r="F33" s="114">
        <f>INDEX($B$26:$U$26,1,4)</f>
        <v>170314.65202500002</v>
      </c>
      <c r="G33" s="114">
        <f>INDEX($B$26:$U$26,1,5)+C7*POWER(1+Control!$B$78,5)*(1-Control!$B$79)</f>
        <v>2578239.7221262502</v>
      </c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</row>
    <row r="34" spans="1:22" x14ac:dyDescent="0.3">
      <c r="A34" s="110" t="s">
        <v>467</v>
      </c>
      <c r="B34" s="114">
        <f>-D5</f>
        <v>-1400000</v>
      </c>
      <c r="C34" s="114">
        <f>INDEX($B$27:$U$27,1,1)</f>
        <v>94082.4</v>
      </c>
      <c r="D34" s="114">
        <f>INDEX($B$27:$U$27,1,2)</f>
        <v>98786.51999999999</v>
      </c>
      <c r="E34" s="114">
        <f>INDEX($B$27:$U$27,1,3)</f>
        <v>103725.84600000001</v>
      </c>
      <c r="F34" s="114">
        <f>INDEX($B$27:$U$27,1,4)</f>
        <v>108912.13830000002</v>
      </c>
      <c r="G34" s="114">
        <f>INDEX($B$27:$U$27,1,5)+D7*POWER(1+Control!$B$78,5)*(1-Control!$B$79)</f>
        <v>1853929.5149025</v>
      </c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</row>
    <row r="35" spans="1:22" x14ac:dyDescent="0.3">
      <c r="A35" s="110" t="s">
        <v>468</v>
      </c>
      <c r="B35" s="114">
        <f>-B5</f>
        <v>-3000000</v>
      </c>
      <c r="C35" s="114">
        <f>INDEX($B$25:$U$25,1,1)</f>
        <v>711313.79754989711</v>
      </c>
      <c r="D35" s="114">
        <f>INDEX($B$25:$U$25,1,2)</f>
        <v>746879.48742739193</v>
      </c>
      <c r="E35" s="114">
        <f>INDEX($B$25:$U$25,1,3)</f>
        <v>784223.46179876151</v>
      </c>
      <c r="F35" s="114">
        <f>INDEX($B$25:$U$25,1,4)</f>
        <v>823434.63488869974</v>
      </c>
      <c r="G35" s="114">
        <f>INDEX($B$25:$U$25,1,5)</f>
        <v>864606.3666331342</v>
      </c>
      <c r="H35" s="114">
        <f>INDEX($B$25:$U$25,1,6)</f>
        <v>907836.68496479187</v>
      </c>
      <c r="I35" s="114">
        <f>INDEX($B$25:$U$25,1,7)</f>
        <v>953228.51921303105</v>
      </c>
      <c r="J35" s="114">
        <f>INDEX($B$25:$U$25,1,8)</f>
        <v>1000889.9451736826</v>
      </c>
      <c r="K35" s="114">
        <f>INDEX($B$25:$U$25,1,9)</f>
        <v>1050934.4424323663</v>
      </c>
      <c r="L35" s="114">
        <f>INDEX($B$25:$U$25,1,10)+B7*POWER(1+Control!$B$78,10)*(1-Control!$B$79)</f>
        <v>5696964.0120663699</v>
      </c>
      <c r="M35" s="114"/>
      <c r="N35" s="114"/>
      <c r="O35" s="114"/>
      <c r="P35" s="114"/>
      <c r="Q35" s="114"/>
      <c r="R35" s="114"/>
      <c r="S35" s="114"/>
      <c r="T35" s="114"/>
      <c r="U35" s="114"/>
      <c r="V35" s="114"/>
    </row>
    <row r="36" spans="1:22" x14ac:dyDescent="0.3">
      <c r="A36" s="110" t="s">
        <v>469</v>
      </c>
      <c r="B36" s="114">
        <f>-C5</f>
        <v>-2000000</v>
      </c>
      <c r="C36" s="114">
        <f>INDEX($B$26:$U$26,1,1)</f>
        <v>147124.20000000001</v>
      </c>
      <c r="D36" s="114">
        <f>INDEX($B$26:$U$26,1,2)</f>
        <v>154480.41</v>
      </c>
      <c r="E36" s="114">
        <f>INDEX($B$26:$U$26,1,3)</f>
        <v>162204.43050000002</v>
      </c>
      <c r="F36" s="114">
        <f>INDEX($B$26:$U$26,1,4)</f>
        <v>170314.65202500002</v>
      </c>
      <c r="G36" s="114">
        <f>INDEX($B$26:$U$26,1,5)</f>
        <v>178830.38462625002</v>
      </c>
      <c r="H36" s="114">
        <f>INDEX($B$26:$U$26,1,6)</f>
        <v>187771.90385756252</v>
      </c>
      <c r="I36" s="114">
        <f>INDEX($B$26:$U$26,1,7)</f>
        <v>197160.49905044062</v>
      </c>
      <c r="J36" s="114">
        <f>INDEX($B$26:$U$26,1,8)</f>
        <v>207018.52400296269</v>
      </c>
      <c r="K36" s="114">
        <f>INDEX($B$26:$U$26,1,9)</f>
        <v>217369.45020311075</v>
      </c>
      <c r="L36" s="114">
        <f>INDEX($B$26:$U$26,1,10)+C7*POWER(1+Control!$B$78,10)*(1-Control!$B$79)</f>
        <v>3290559.8210548558</v>
      </c>
      <c r="M36" s="114"/>
      <c r="N36" s="114"/>
      <c r="O36" s="114"/>
      <c r="P36" s="114"/>
      <c r="Q36" s="114"/>
      <c r="R36" s="114"/>
      <c r="S36" s="114"/>
      <c r="T36" s="114"/>
      <c r="U36" s="114"/>
      <c r="V36" s="114"/>
    </row>
    <row r="37" spans="1:22" x14ac:dyDescent="0.3">
      <c r="A37" s="110" t="s">
        <v>470</v>
      </c>
      <c r="B37" s="114">
        <f>-D5</f>
        <v>-1400000</v>
      </c>
      <c r="C37" s="114">
        <f>INDEX($B$27:$U$27,1,1)</f>
        <v>94082.4</v>
      </c>
      <c r="D37" s="114">
        <f>INDEX($B$27:$U$27,1,2)</f>
        <v>98786.51999999999</v>
      </c>
      <c r="E37" s="114">
        <f>INDEX($B$27:$U$27,1,3)</f>
        <v>103725.84600000001</v>
      </c>
      <c r="F37" s="114">
        <f>INDEX($B$27:$U$27,1,4)</f>
        <v>108912.13830000002</v>
      </c>
      <c r="G37" s="114">
        <f>INDEX($B$27:$U$27,1,5)</f>
        <v>114357.745215</v>
      </c>
      <c r="H37" s="114">
        <f>INDEX($B$27:$U$27,1,6)</f>
        <v>120075.63247575</v>
      </c>
      <c r="I37" s="114">
        <f>INDEX($B$27:$U$27,1,7)</f>
        <v>126079.41409953751</v>
      </c>
      <c r="J37" s="114">
        <f>INDEX($B$27:$U$27,1,8)</f>
        <v>132383.38480451441</v>
      </c>
      <c r="K37" s="114">
        <f>INDEX($B$27:$U$27,1,9)</f>
        <v>139002.55404474007</v>
      </c>
      <c r="L37" s="114">
        <f>INDEX($B$27:$U$27,1,10)+D7*POWER(1+Control!$B$78,10)*(1-Control!$B$79)</f>
        <v>2366136.0580446296</v>
      </c>
      <c r="M37" s="114"/>
      <c r="N37" s="114"/>
      <c r="O37" s="114"/>
      <c r="P37" s="114"/>
      <c r="Q37" s="114"/>
      <c r="R37" s="114"/>
      <c r="S37" s="114"/>
      <c r="T37" s="114"/>
      <c r="U37" s="114"/>
      <c r="V37" s="114"/>
    </row>
    <row r="38" spans="1:22" x14ac:dyDescent="0.3">
      <c r="A38" s="110" t="s">
        <v>471</v>
      </c>
      <c r="B38" s="114">
        <f>-B5</f>
        <v>-3000000</v>
      </c>
      <c r="C38" s="114">
        <f>INDEX($B$25:$U$25,1,1)</f>
        <v>711313.79754989711</v>
      </c>
      <c r="D38" s="114">
        <f>INDEX($B$25:$U$25,1,2)</f>
        <v>746879.48742739193</v>
      </c>
      <c r="E38" s="114">
        <f>INDEX($B$25:$U$25,1,3)</f>
        <v>784223.46179876151</v>
      </c>
      <c r="F38" s="114">
        <f>INDEX($B$25:$U$25,1,4)</f>
        <v>823434.63488869974</v>
      </c>
      <c r="G38" s="114">
        <f>INDEX($B$25:$U$25,1,5)</f>
        <v>864606.3666331342</v>
      </c>
      <c r="H38" s="114">
        <f>INDEX($B$25:$U$25,1,6)</f>
        <v>907836.68496479187</v>
      </c>
      <c r="I38" s="114">
        <f>INDEX($B$25:$U$25,1,7)</f>
        <v>953228.51921303105</v>
      </c>
      <c r="J38" s="114">
        <f>INDEX($B$25:$U$25,1,8)</f>
        <v>1000889.9451736826</v>
      </c>
      <c r="K38" s="114">
        <f>INDEX($B$25:$U$25,1,9)</f>
        <v>1050934.4424323663</v>
      </c>
      <c r="L38" s="114">
        <f>INDEX($B$25:$U$25,1,10)</f>
        <v>1103481.1645539845</v>
      </c>
      <c r="M38" s="114">
        <f>INDEX($B$25:$U$25,1,11)</f>
        <v>1158655.2227816842</v>
      </c>
      <c r="N38" s="114">
        <f>INDEX($B$25:$U$25,1,12)</f>
        <v>1216587.9839207686</v>
      </c>
      <c r="O38" s="114">
        <f>INDEX($B$25:$U$25,1,13)</f>
        <v>1277417.3831168071</v>
      </c>
      <c r="P38" s="114">
        <f>INDEX($B$25:$U$25,1,14)</f>
        <v>1341288.2522726473</v>
      </c>
      <c r="Q38" s="114">
        <f>INDEX($B$25:$U$25,1,15)+B7*POWER(1+Control!$B$78,15)*(1-Control!$B$79)</f>
        <v>7270930.1308263363</v>
      </c>
      <c r="R38" s="114"/>
      <c r="S38" s="114"/>
      <c r="T38" s="114"/>
      <c r="U38" s="114"/>
      <c r="V38" s="114"/>
    </row>
    <row r="39" spans="1:22" x14ac:dyDescent="0.3">
      <c r="A39" s="110" t="s">
        <v>472</v>
      </c>
      <c r="B39" s="114">
        <f>-C5</f>
        <v>-2000000</v>
      </c>
      <c r="C39" s="114">
        <f>INDEX($B$26:$U$26,1,1)</f>
        <v>147124.20000000001</v>
      </c>
      <c r="D39" s="114">
        <f>INDEX($B$26:$U$26,1,2)</f>
        <v>154480.41</v>
      </c>
      <c r="E39" s="114">
        <f>INDEX($B$26:$U$26,1,3)</f>
        <v>162204.43050000002</v>
      </c>
      <c r="F39" s="114">
        <f>INDEX($B$26:$U$26,1,4)</f>
        <v>170314.65202500002</v>
      </c>
      <c r="G39" s="114">
        <f>INDEX($B$26:$U$26,1,5)</f>
        <v>178830.38462625002</v>
      </c>
      <c r="H39" s="114">
        <f>INDEX($B$26:$U$26,1,6)</f>
        <v>187771.90385756252</v>
      </c>
      <c r="I39" s="114">
        <f>INDEX($B$26:$U$26,1,7)</f>
        <v>197160.49905044062</v>
      </c>
      <c r="J39" s="114">
        <f>INDEX($B$26:$U$26,1,8)</f>
        <v>207018.52400296269</v>
      </c>
      <c r="K39" s="114">
        <f>INDEX($B$26:$U$26,1,9)</f>
        <v>217369.45020311075</v>
      </c>
      <c r="L39" s="114">
        <f>INDEX($B$26:$U$26,1,10)</f>
        <v>228237.92271326631</v>
      </c>
      <c r="M39" s="114">
        <f>INDEX($B$26:$U$26,1,11)</f>
        <v>239649.81884892966</v>
      </c>
      <c r="N39" s="114">
        <f>INDEX($B$26:$U$26,1,12)</f>
        <v>251632.30979137614</v>
      </c>
      <c r="O39" s="114">
        <f>INDEX($B$26:$U$26,1,13)</f>
        <v>264213.92528094491</v>
      </c>
      <c r="P39" s="114">
        <f>INDEX($B$26:$U$26,1,14)</f>
        <v>277424.6215449922</v>
      </c>
      <c r="Q39" s="114">
        <f>INDEX($B$26:$U$26,1,15)+C7*POWER(1+Control!$B$78,15)*(1-Control!$B$79)</f>
        <v>4199680.8299156129</v>
      </c>
      <c r="R39" s="114"/>
      <c r="S39" s="114"/>
      <c r="T39" s="114"/>
      <c r="U39" s="114"/>
      <c r="V39" s="114"/>
    </row>
    <row r="40" spans="1:22" x14ac:dyDescent="0.3">
      <c r="A40" s="110" t="s">
        <v>473</v>
      </c>
      <c r="B40" s="114">
        <f>-D5</f>
        <v>-1400000</v>
      </c>
      <c r="C40" s="114">
        <f>INDEX($B$27:$U$27,1,1)</f>
        <v>94082.4</v>
      </c>
      <c r="D40" s="114">
        <f>INDEX($B$27:$U$27,1,2)</f>
        <v>98786.51999999999</v>
      </c>
      <c r="E40" s="114">
        <f>INDEX($B$27:$U$27,1,3)</f>
        <v>103725.84600000001</v>
      </c>
      <c r="F40" s="114">
        <f>INDEX($B$27:$U$27,1,4)</f>
        <v>108912.13830000002</v>
      </c>
      <c r="G40" s="114">
        <f>INDEX($B$27:$U$27,1,5)</f>
        <v>114357.745215</v>
      </c>
      <c r="H40" s="114">
        <f>INDEX($B$27:$U$27,1,6)</f>
        <v>120075.63247575</v>
      </c>
      <c r="I40" s="114">
        <f>INDEX($B$27:$U$27,1,7)</f>
        <v>126079.41409953751</v>
      </c>
      <c r="J40" s="114">
        <f>INDEX($B$27:$U$27,1,8)</f>
        <v>132383.38480451441</v>
      </c>
      <c r="K40" s="114">
        <f>INDEX($B$27:$U$27,1,9)</f>
        <v>139002.55404474007</v>
      </c>
      <c r="L40" s="114">
        <f>INDEX($B$27:$U$27,1,10)</f>
        <v>145952.68174697712</v>
      </c>
      <c r="M40" s="114">
        <f>INDEX($B$27:$U$27,1,11)</f>
        <v>153250.31583432597</v>
      </c>
      <c r="N40" s="114">
        <f>INDEX($B$27:$U$27,1,12)</f>
        <v>160912.83162604229</v>
      </c>
      <c r="O40" s="114">
        <f>INDEX($B$27:$U$27,1,13)</f>
        <v>168958.47320734436</v>
      </c>
      <c r="P40" s="114">
        <f>INDEX($B$27:$U$27,1,14)</f>
        <v>177406.39686771162</v>
      </c>
      <c r="Q40" s="114">
        <f>INDEX($B$27:$U$27,1,15)+D7*POWER(1+Control!$B$78,15)*(1-Control!$B$79)</f>
        <v>3019855.8252487914</v>
      </c>
      <c r="R40" s="114"/>
      <c r="S40" s="114"/>
      <c r="T40" s="114"/>
      <c r="U40" s="114"/>
      <c r="V40" s="114"/>
    </row>
    <row r="41" spans="1:22" x14ac:dyDescent="0.3">
      <c r="A41" s="110" t="s">
        <v>474</v>
      </c>
      <c r="B41" s="114">
        <f>-B5</f>
        <v>-3000000</v>
      </c>
      <c r="C41" s="114">
        <f>INDEX($B$25:$U$25,1,1)</f>
        <v>711313.79754989711</v>
      </c>
      <c r="D41" s="114">
        <f>INDEX($B$25:$U$25,1,2)</f>
        <v>746879.48742739193</v>
      </c>
      <c r="E41" s="114">
        <f>INDEX($B$25:$U$25,1,3)</f>
        <v>784223.46179876151</v>
      </c>
      <c r="F41" s="114">
        <f>INDEX($B$25:$U$25,1,4)</f>
        <v>823434.63488869974</v>
      </c>
      <c r="G41" s="114">
        <f>INDEX($B$25:$U$25,1,5)</f>
        <v>864606.3666331342</v>
      </c>
      <c r="H41" s="114">
        <f>INDEX($B$25:$U$25,1,6)</f>
        <v>907836.68496479187</v>
      </c>
      <c r="I41" s="114">
        <f>INDEX($B$25:$U$25,1,7)</f>
        <v>953228.51921303105</v>
      </c>
      <c r="J41" s="114">
        <f>INDEX($B$25:$U$25,1,8)</f>
        <v>1000889.9451736826</v>
      </c>
      <c r="K41" s="114">
        <f>INDEX($B$25:$U$25,1,9)</f>
        <v>1050934.4424323663</v>
      </c>
      <c r="L41" s="114">
        <f>INDEX($B$25:$U$25,1,10)</f>
        <v>1103481.1645539845</v>
      </c>
      <c r="M41" s="114">
        <f>INDEX($B$25:$U$25,1,11)</f>
        <v>1158655.2227816842</v>
      </c>
      <c r="N41" s="114">
        <f>INDEX($B$25:$U$25,1,12)</f>
        <v>1216587.9839207686</v>
      </c>
      <c r="O41" s="114">
        <f>INDEX($B$25:$U$25,1,13)</f>
        <v>1277417.3831168071</v>
      </c>
      <c r="P41" s="114">
        <f>INDEX($B$25:$U$25,1,14)</f>
        <v>1341288.2522726473</v>
      </c>
      <c r="Q41" s="114">
        <f>INDEX($B$25:$U$25,1,15)</f>
        <v>1408352.6648862793</v>
      </c>
      <c r="R41" s="114">
        <f>INDEX($B$25:$U$25,1,16)</f>
        <v>1478770.2981305937</v>
      </c>
      <c r="S41" s="114">
        <f>INDEX($B$25:$U$25,1,17)</f>
        <v>1552708.8130371233</v>
      </c>
      <c r="T41" s="114">
        <f>INDEX($B$25:$U$25,1,18)</f>
        <v>1630344.2536889799</v>
      </c>
      <c r="U41" s="114">
        <f>INDEX($B$25:$U$25,1,19)</f>
        <v>1711861.4663734292</v>
      </c>
      <c r="V41" s="114">
        <f>INDEX($B$25:$U$25,1,20)+B7*POWER(1+Control!$B$78,20)*(1-Control!$B$79)</f>
        <v>9279754.0681993663</v>
      </c>
    </row>
    <row r="42" spans="1:22" x14ac:dyDescent="0.3">
      <c r="A42" s="110" t="s">
        <v>475</v>
      </c>
      <c r="B42" s="114">
        <f>-C5</f>
        <v>-2000000</v>
      </c>
      <c r="C42" s="114">
        <f>INDEX($B$26:$U$26,1,1)</f>
        <v>147124.20000000001</v>
      </c>
      <c r="D42" s="114">
        <f>INDEX($B$26:$U$26,1,2)</f>
        <v>154480.41</v>
      </c>
      <c r="E42" s="114">
        <f>INDEX($B$26:$U$26,1,3)</f>
        <v>162204.43050000002</v>
      </c>
      <c r="F42" s="114">
        <f>INDEX($B$26:$U$26,1,4)</f>
        <v>170314.65202500002</v>
      </c>
      <c r="G42" s="114">
        <f>INDEX($B$26:$U$26,1,5)</f>
        <v>178830.38462625002</v>
      </c>
      <c r="H42" s="114">
        <f>INDEX($B$26:$U$26,1,6)</f>
        <v>187771.90385756252</v>
      </c>
      <c r="I42" s="114">
        <f>INDEX($B$26:$U$26,1,7)</f>
        <v>197160.49905044062</v>
      </c>
      <c r="J42" s="114">
        <f>INDEX($B$26:$U$26,1,8)</f>
        <v>207018.52400296269</v>
      </c>
      <c r="K42" s="114">
        <f>INDEX($B$26:$U$26,1,9)</f>
        <v>217369.45020311075</v>
      </c>
      <c r="L42" s="114">
        <f>INDEX($B$26:$U$26,1,10)</f>
        <v>228237.92271326631</v>
      </c>
      <c r="M42" s="114">
        <f>INDEX($B$26:$U$26,1,11)</f>
        <v>239649.81884892966</v>
      </c>
      <c r="N42" s="114">
        <f>INDEX($B$26:$U$26,1,12)</f>
        <v>251632.30979137614</v>
      </c>
      <c r="O42" s="114">
        <f>INDEX($B$26:$U$26,1,13)</f>
        <v>264213.92528094491</v>
      </c>
      <c r="P42" s="114">
        <f>INDEX($B$26:$U$26,1,14)</f>
        <v>277424.6215449922</v>
      </c>
      <c r="Q42" s="114">
        <f>INDEX($B$26:$U$26,1,15)</f>
        <v>291295.85262224171</v>
      </c>
      <c r="R42" s="114">
        <f>INDEX($B$26:$U$26,1,16)</f>
        <v>305860.64525335393</v>
      </c>
      <c r="S42" s="114">
        <f>INDEX($B$26:$U$26,1,17)</f>
        <v>321153.67751602165</v>
      </c>
      <c r="T42" s="114">
        <f>INDEX($B$26:$U$26,1,18)</f>
        <v>337211.36139182275</v>
      </c>
      <c r="U42" s="114">
        <f>INDEX($B$26:$U$26,1,19)</f>
        <v>354071.92946141388</v>
      </c>
      <c r="V42" s="114">
        <f>INDEX($B$26:$U$26,1,20)+C7*POWER(1+Control!$B$78,20)*(1-Control!$B$79)</f>
        <v>5359975.2116059959</v>
      </c>
    </row>
    <row r="43" spans="1:22" x14ac:dyDescent="0.3">
      <c r="A43" s="110" t="s">
        <v>476</v>
      </c>
      <c r="B43" s="114">
        <f>-D5</f>
        <v>-1400000</v>
      </c>
      <c r="C43" s="114">
        <f>INDEX($B$27:$U$27,1,1)</f>
        <v>94082.4</v>
      </c>
      <c r="D43" s="114">
        <f>INDEX($B$27:$U$27,1,2)</f>
        <v>98786.51999999999</v>
      </c>
      <c r="E43" s="114">
        <f>INDEX($B$27:$U$27,1,3)</f>
        <v>103725.84600000001</v>
      </c>
      <c r="F43" s="114">
        <f>INDEX($B$27:$U$27,1,4)</f>
        <v>108912.13830000002</v>
      </c>
      <c r="G43" s="114">
        <f>INDEX($B$27:$U$27,1,5)</f>
        <v>114357.745215</v>
      </c>
      <c r="H43" s="114">
        <f>INDEX($B$27:$U$27,1,6)</f>
        <v>120075.63247575</v>
      </c>
      <c r="I43" s="114">
        <f>INDEX($B$27:$U$27,1,7)</f>
        <v>126079.41409953751</v>
      </c>
      <c r="J43" s="114">
        <f>INDEX($B$27:$U$27,1,8)</f>
        <v>132383.38480451441</v>
      </c>
      <c r="K43" s="114">
        <f>INDEX($B$27:$U$27,1,9)</f>
        <v>139002.55404474007</v>
      </c>
      <c r="L43" s="114">
        <f>INDEX($B$27:$U$27,1,10)</f>
        <v>145952.68174697712</v>
      </c>
      <c r="M43" s="114">
        <f>INDEX($B$27:$U$27,1,11)</f>
        <v>153250.31583432597</v>
      </c>
      <c r="N43" s="114">
        <f>INDEX($B$27:$U$27,1,12)</f>
        <v>160912.83162604229</v>
      </c>
      <c r="O43" s="114">
        <f>INDEX($B$27:$U$27,1,13)</f>
        <v>168958.47320734436</v>
      </c>
      <c r="P43" s="114">
        <f>INDEX($B$27:$U$27,1,14)</f>
        <v>177406.39686771162</v>
      </c>
      <c r="Q43" s="114">
        <f>INDEX($B$27:$U$27,1,15)</f>
        <v>186276.71671109713</v>
      </c>
      <c r="R43" s="114">
        <f>INDEX($B$27:$U$27,1,16)</f>
        <v>195590.55254665209</v>
      </c>
      <c r="S43" s="114">
        <f>INDEX($B$27:$U$27,1,17)</f>
        <v>205370.08017398466</v>
      </c>
      <c r="T43" s="114">
        <f>INDEX($B$27:$U$27,1,18)</f>
        <v>215638.58418268393</v>
      </c>
      <c r="U43" s="114">
        <f>INDEX($B$27:$U$27,1,19)</f>
        <v>226420.51339181809</v>
      </c>
      <c r="V43" s="114">
        <f>INDEX($B$27:$U$27,1,20)+D7*POWER(1+Control!$B$78,20)*(1-Control!$B$79)</f>
        <v>3854186.3111732542</v>
      </c>
    </row>
  </sheetData>
  <mergeCells count="1"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4E79"/>
  </sheetPr>
  <dimension ref="A1:W39"/>
  <sheetViews>
    <sheetView topLeftCell="A10" workbookViewId="0">
      <selection activeCell="F17" sqref="F17:F18"/>
    </sheetView>
  </sheetViews>
  <sheetFormatPr defaultRowHeight="14.4" x14ac:dyDescent="0.3"/>
  <cols>
    <col min="1" max="1" width="51.21875" bestFit="1" customWidth="1"/>
    <col min="2" max="2" width="10.21875" bestFit="1" customWidth="1"/>
    <col min="3" max="3" width="9.33203125" bestFit="1" customWidth="1"/>
    <col min="4" max="4" width="11" bestFit="1" customWidth="1"/>
    <col min="5" max="11" width="12" bestFit="1" customWidth="1"/>
    <col min="12" max="12" width="11" bestFit="1" customWidth="1"/>
    <col min="13" max="15" width="12" bestFit="1" customWidth="1"/>
    <col min="16" max="16" width="11" bestFit="1" customWidth="1"/>
    <col min="17" max="18" width="12" bestFit="1" customWidth="1"/>
    <col min="19" max="19" width="11" bestFit="1" customWidth="1"/>
    <col min="20" max="23" width="12" bestFit="1" customWidth="1"/>
  </cols>
  <sheetData>
    <row r="1" spans="1:23" x14ac:dyDescent="0.3">
      <c r="A1" s="109" t="s">
        <v>477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</row>
    <row r="2" spans="1:23" ht="41.4" customHeight="1" x14ac:dyDescent="0.3">
      <c r="A2" s="111" t="s">
        <v>478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</row>
    <row r="3" spans="1:23" x14ac:dyDescent="0.3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</row>
    <row r="4" spans="1:23" x14ac:dyDescent="0.3">
      <c r="A4" s="112" t="s">
        <v>247</v>
      </c>
      <c r="B4" s="110"/>
      <c r="C4" s="113">
        <v>1</v>
      </c>
      <c r="D4" s="113">
        <v>2</v>
      </c>
      <c r="E4" s="113">
        <v>3</v>
      </c>
      <c r="F4" s="113">
        <v>4</v>
      </c>
      <c r="G4" s="113">
        <v>5</v>
      </c>
      <c r="H4" s="113">
        <v>6</v>
      </c>
      <c r="I4" s="113">
        <v>7</v>
      </c>
      <c r="J4" s="113">
        <v>8</v>
      </c>
      <c r="K4" s="113">
        <v>9</v>
      </c>
      <c r="L4" s="113">
        <v>10</v>
      </c>
      <c r="M4" s="113">
        <v>11</v>
      </c>
      <c r="N4" s="113">
        <v>12</v>
      </c>
      <c r="O4" s="113">
        <v>13</v>
      </c>
      <c r="P4" s="113">
        <v>14</v>
      </c>
      <c r="Q4" s="113">
        <v>15</v>
      </c>
      <c r="R4" s="113">
        <v>16</v>
      </c>
      <c r="S4" s="113">
        <v>17</v>
      </c>
      <c r="T4" s="113">
        <v>18</v>
      </c>
      <c r="U4" s="113">
        <v>19</v>
      </c>
      <c r="V4" s="113">
        <v>20</v>
      </c>
      <c r="W4" s="110"/>
    </row>
    <row r="5" spans="1:23" x14ac:dyDescent="0.3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</row>
    <row r="6" spans="1:23" x14ac:dyDescent="0.3">
      <c r="A6" s="110" t="s">
        <v>479</v>
      </c>
      <c r="B6" s="110"/>
      <c r="C6" s="114">
        <f>'Portfolio NewCo'!B16</f>
        <v>952520.39754989708</v>
      </c>
      <c r="D6" s="114">
        <f>'Portfolio NewCo'!C16</f>
        <v>1000146.417427392</v>
      </c>
      <c r="E6" s="114">
        <f>'Portfolio NewCo'!D16</f>
        <v>1050153.7382987614</v>
      </c>
      <c r="F6" s="114">
        <f>'Portfolio NewCo'!E16</f>
        <v>1102661.4252136997</v>
      </c>
      <c r="G6" s="114">
        <f>'Portfolio NewCo'!F16</f>
        <v>1157794.4964743843</v>
      </c>
      <c r="H6" s="114">
        <f>'Portfolio NewCo'!G16</f>
        <v>1215684.2212981044</v>
      </c>
      <c r="I6" s="114">
        <f>'Portfolio NewCo'!H16</f>
        <v>1276468.4323630093</v>
      </c>
      <c r="J6" s="114">
        <f>'Portfolio NewCo'!I16</f>
        <v>1340291.8539811599</v>
      </c>
      <c r="K6" s="114">
        <f>'Portfolio NewCo'!J16</f>
        <v>1407306.4466802171</v>
      </c>
      <c r="L6" s="114">
        <f>'Portfolio NewCo'!K16</f>
        <v>1477671.7690142279</v>
      </c>
      <c r="M6" s="114">
        <f>'Portfolio NewCo'!L16</f>
        <v>1551555.3574649398</v>
      </c>
      <c r="N6" s="114">
        <f>'Portfolio NewCo'!M16</f>
        <v>1629133.125338187</v>
      </c>
      <c r="O6" s="114">
        <f>'Portfolio NewCo'!N16</f>
        <v>1710589.7816050963</v>
      </c>
      <c r="P6" s="114">
        <f>'Portfolio NewCo'!O16</f>
        <v>1796119.270685351</v>
      </c>
      <c r="Q6" s="114">
        <f>'Portfolio NewCo'!P16</f>
        <v>1885925.2342196181</v>
      </c>
      <c r="R6" s="114">
        <f>'Portfolio NewCo'!Q16</f>
        <v>1980221.4959305997</v>
      </c>
      <c r="S6" s="114">
        <f>'Portfolio NewCo'!R16</f>
        <v>2079232.5707271295</v>
      </c>
      <c r="T6" s="114">
        <f>'Portfolio NewCo'!S16</f>
        <v>2183194.1992634865</v>
      </c>
      <c r="U6" s="114">
        <f>'Portfolio NewCo'!T16</f>
        <v>2292353.9092266611</v>
      </c>
      <c r="V6" s="114">
        <f>'Portfolio NewCo'!U16</f>
        <v>2406971.6046879934</v>
      </c>
      <c r="W6" s="110"/>
    </row>
    <row r="7" spans="1:23" x14ac:dyDescent="0.3">
      <c r="A7" s="110" t="s">
        <v>480</v>
      </c>
      <c r="B7" s="110"/>
      <c r="C7" s="114">
        <f>'Portfolio NewCo'!B17</f>
        <v>952520.39754989708</v>
      </c>
      <c r="D7" s="114">
        <f>'Portfolio NewCo'!C17</f>
        <v>1952666.8149772892</v>
      </c>
      <c r="E7" s="114">
        <f>'Portfolio NewCo'!D17</f>
        <v>3002820.5532760508</v>
      </c>
      <c r="F7" s="114">
        <f>'Portfolio NewCo'!E17</f>
        <v>4105481.9784897505</v>
      </c>
      <c r="G7" s="114">
        <f>'Portfolio NewCo'!F17</f>
        <v>5263276.4749641344</v>
      </c>
      <c r="H7" s="114">
        <f>'Portfolio NewCo'!G17</f>
        <v>6478960.6962622385</v>
      </c>
      <c r="I7" s="114">
        <f>'Portfolio NewCo'!H17</f>
        <v>7755429.1286252476</v>
      </c>
      <c r="J7" s="114">
        <f>'Portfolio NewCo'!I17</f>
        <v>9095720.9826064073</v>
      </c>
      <c r="K7" s="114">
        <f>'Portfolio NewCo'!J17</f>
        <v>10503027.429286625</v>
      </c>
      <c r="L7" s="114">
        <f>'Portfolio NewCo'!K17</f>
        <v>11980699.198300853</v>
      </c>
      <c r="M7" s="114">
        <f>'Portfolio NewCo'!L17</f>
        <v>13532254.555765793</v>
      </c>
      <c r="N7" s="114">
        <f>'Portfolio NewCo'!M17</f>
        <v>15161387.68110398</v>
      </c>
      <c r="O7" s="114">
        <f>'Portfolio NewCo'!N17</f>
        <v>16871977.462709077</v>
      </c>
      <c r="P7" s="114">
        <f>'Portfolio NewCo'!O17</f>
        <v>18668096.733394429</v>
      </c>
      <c r="Q7" s="114">
        <f>'Portfolio NewCo'!P17</f>
        <v>20554021.967614047</v>
      </c>
      <c r="R7" s="114">
        <f>'Portfolio NewCo'!Q17</f>
        <v>22534243.463544648</v>
      </c>
      <c r="S7" s="114">
        <f>'Portfolio NewCo'!R17</f>
        <v>24613476.034271777</v>
      </c>
      <c r="T7" s="114">
        <f>'Portfolio NewCo'!S17</f>
        <v>26796670.233535264</v>
      </c>
      <c r="U7" s="114">
        <f>'Portfolio NewCo'!T17</f>
        <v>29089024.142761923</v>
      </c>
      <c r="V7" s="114">
        <f>'Portfolio NewCo'!U17</f>
        <v>31495995.747449916</v>
      </c>
      <c r="W7" s="110"/>
    </row>
    <row r="8" spans="1:23" x14ac:dyDescent="0.3">
      <c r="A8" s="110" t="s">
        <v>419</v>
      </c>
      <c r="B8" s="110"/>
      <c r="C8" s="114">
        <f>MAX(0,Control!$B$15-C7)</f>
        <v>5447479.6024501026</v>
      </c>
      <c r="D8" s="114">
        <f>MAX(0,Control!$B$15-D7)</f>
        <v>4447333.1850227108</v>
      </c>
      <c r="E8" s="114">
        <f>MAX(0,Control!$B$15-E7)</f>
        <v>3397179.4467239492</v>
      </c>
      <c r="F8" s="114">
        <f>MAX(0,Control!$B$15-F7)</f>
        <v>2294518.0215102495</v>
      </c>
      <c r="G8" s="114">
        <f>MAX(0,Control!$B$15-G7)</f>
        <v>1136723.5250358656</v>
      </c>
      <c r="H8" s="114">
        <f>MAX(0,Control!$B$15-H7)</f>
        <v>0</v>
      </c>
      <c r="I8" s="114">
        <f>MAX(0,Control!$B$15-I7)</f>
        <v>0</v>
      </c>
      <c r="J8" s="114">
        <f>MAX(0,Control!$B$15-J7)</f>
        <v>0</v>
      </c>
      <c r="K8" s="114">
        <f>MAX(0,Control!$B$15-K7)</f>
        <v>0</v>
      </c>
      <c r="L8" s="114">
        <f>MAX(0,Control!$B$15-L7)</f>
        <v>0</v>
      </c>
      <c r="M8" s="114">
        <f>MAX(0,Control!$B$15-M7)</f>
        <v>0</v>
      </c>
      <c r="N8" s="114">
        <f>MAX(0,Control!$B$15-N7)</f>
        <v>0</v>
      </c>
      <c r="O8" s="114">
        <f>MAX(0,Control!$B$15-O7)</f>
        <v>0</v>
      </c>
      <c r="P8" s="114">
        <f>MAX(0,Control!$B$15-P7)</f>
        <v>0</v>
      </c>
      <c r="Q8" s="114">
        <f>MAX(0,Control!$B$15-Q7)</f>
        <v>0</v>
      </c>
      <c r="R8" s="114">
        <f>MAX(0,Control!$B$15-R7)</f>
        <v>0</v>
      </c>
      <c r="S8" s="114">
        <f>MAX(0,Control!$B$15-S7)</f>
        <v>0</v>
      </c>
      <c r="T8" s="114">
        <f>MAX(0,Control!$B$15-T7)</f>
        <v>0</v>
      </c>
      <c r="U8" s="114">
        <f>MAX(0,Control!$B$15-U7)</f>
        <v>0</v>
      </c>
      <c r="V8" s="114">
        <f>MAX(0,Control!$B$15-V7)</f>
        <v>0</v>
      </c>
      <c r="W8" s="110"/>
    </row>
    <row r="9" spans="1:23" x14ac:dyDescent="0.3">
      <c r="A9" s="110" t="s">
        <v>404</v>
      </c>
      <c r="B9" s="110"/>
      <c r="C9" s="115">
        <f>IF(Control!$B$15=0,"",C6/Control!$B$15)</f>
        <v>0.14883131211717143</v>
      </c>
      <c r="D9" s="115">
        <f>IF(Control!$B$15=0,"",D6/Control!$B$15)</f>
        <v>0.15627287772303</v>
      </c>
      <c r="E9" s="115">
        <f>IF(Control!$B$15=0,"",E6/Control!$B$15)</f>
        <v>0.16408652160918147</v>
      </c>
      <c r="F9" s="115">
        <f>IF(Control!$B$15=0,"",F6/Control!$B$15)</f>
        <v>0.17229084768964056</v>
      </c>
      <c r="G9" s="115">
        <f>IF(Control!$B$15=0,"",G6/Control!$B$15)</f>
        <v>0.18090539007412254</v>
      </c>
      <c r="H9" s="115">
        <f>IF(Control!$B$15=0,"",H6/Control!$B$15)</f>
        <v>0.18995065957782881</v>
      </c>
      <c r="I9" s="115">
        <f>IF(Control!$B$15=0,"",I6/Control!$B$15)</f>
        <v>0.19944819255672019</v>
      </c>
      <c r="J9" s="115">
        <f>IF(Control!$B$15=0,"",J6/Control!$B$15)</f>
        <v>0.20942060218455621</v>
      </c>
      <c r="K9" s="115">
        <f>IF(Control!$B$15=0,"",K6/Control!$B$15)</f>
        <v>0.21989163229378392</v>
      </c>
      <c r="L9" s="115">
        <f>IF(Control!$B$15=0,"",L6/Control!$B$15)</f>
        <v>0.23088621390847311</v>
      </c>
      <c r="M9" s="115">
        <f>IF(Control!$B$15=0,"",M6/Control!$B$15)</f>
        <v>0.24243052460389686</v>
      </c>
      <c r="N9" s="115">
        <f>IF(Control!$B$15=0,"",N6/Control!$B$15)</f>
        <v>0.25455205083409171</v>
      </c>
      <c r="O9" s="115">
        <f>IF(Control!$B$15=0,"",O6/Control!$B$15)</f>
        <v>0.26727965337579629</v>
      </c>
      <c r="P9" s="115">
        <f>IF(Control!$B$15=0,"",P6/Control!$B$15)</f>
        <v>0.28064363604458609</v>
      </c>
      <c r="Q9" s="115">
        <f>IF(Control!$B$15=0,"",Q6/Control!$B$15)</f>
        <v>0.29467581784681535</v>
      </c>
      <c r="R9" s="115">
        <f>IF(Control!$B$15=0,"",R6/Control!$B$15)</f>
        <v>0.30940960873915618</v>
      </c>
      <c r="S9" s="115">
        <f>IF(Control!$B$15=0,"",S6/Control!$B$15)</f>
        <v>0.324880089176114</v>
      </c>
      <c r="T9" s="115">
        <f>IF(Control!$B$15=0,"",T6/Control!$B$15)</f>
        <v>0.34112409363491975</v>
      </c>
      <c r="U9" s="115">
        <f>IF(Control!$B$15=0,"",U6/Control!$B$15)</f>
        <v>0.35818029831666581</v>
      </c>
      <c r="V9" s="115">
        <f>IF(Control!$B$15=0,"",V6/Control!$B$15)</f>
        <v>0.37608931323249895</v>
      </c>
      <c r="W9" s="110"/>
    </row>
    <row r="10" spans="1:23" x14ac:dyDescent="0.3">
      <c r="A10" s="110" t="s">
        <v>434</v>
      </c>
      <c r="B10" s="110"/>
      <c r="C10" s="116">
        <f>IF(Control!$B$15=0,"",C7/Control!$B$15)</f>
        <v>0.14883131211717143</v>
      </c>
      <c r="D10" s="116">
        <f>IF(Control!$B$15=0,"",D7/Control!$B$15)</f>
        <v>0.30510418984020143</v>
      </c>
      <c r="E10" s="116">
        <f>IF(Control!$B$15=0,"",E7/Control!$B$15)</f>
        <v>0.46919071144938296</v>
      </c>
      <c r="F10" s="116">
        <f>IF(Control!$B$15=0,"",F7/Control!$B$15)</f>
        <v>0.64148155913902349</v>
      </c>
      <c r="G10" s="116">
        <f>IF(Control!$B$15=0,"",G7/Control!$B$15)</f>
        <v>0.82238694921314603</v>
      </c>
      <c r="H10" s="116">
        <f>IF(Control!$B$15=0,"",H7/Control!$B$15)</f>
        <v>1.0123376087909748</v>
      </c>
      <c r="I10" s="116">
        <f>IF(Control!$B$15=0,"",I7/Control!$B$15)</f>
        <v>1.211785801347695</v>
      </c>
      <c r="J10" s="116">
        <f>IF(Control!$B$15=0,"",J7/Control!$B$15)</f>
        <v>1.4212064035322511</v>
      </c>
      <c r="K10" s="116">
        <f>IF(Control!$B$15=0,"",K7/Control!$B$15)</f>
        <v>1.6410980358260352</v>
      </c>
      <c r="L10" s="116">
        <f>IF(Control!$B$15=0,"",L7/Control!$B$15)</f>
        <v>1.8719842497345083</v>
      </c>
      <c r="M10" s="116">
        <f>IF(Control!$B$15=0,"",M7/Control!$B$15)</f>
        <v>2.114414774338405</v>
      </c>
      <c r="N10" s="116">
        <f>IF(Control!$B$15=0,"",N7/Control!$B$15)</f>
        <v>2.3689668251724969</v>
      </c>
      <c r="O10" s="116">
        <f>IF(Control!$B$15=0,"",O7/Control!$B$15)</f>
        <v>2.6362464785482933</v>
      </c>
      <c r="P10" s="116">
        <f>IF(Control!$B$15=0,"",P7/Control!$B$15)</f>
        <v>2.9168901145928796</v>
      </c>
      <c r="Q10" s="116">
        <f>IF(Control!$B$15=0,"",Q7/Control!$B$15)</f>
        <v>3.211565932439695</v>
      </c>
      <c r="R10" s="116">
        <f>IF(Control!$B$15=0,"",R7/Control!$B$15)</f>
        <v>3.5209755411788515</v>
      </c>
      <c r="S10" s="116">
        <f>IF(Control!$B$15=0,"",S7/Control!$B$15)</f>
        <v>3.8458556303549649</v>
      </c>
      <c r="T10" s="116">
        <f>IF(Control!$B$15=0,"",T7/Control!$B$15)</f>
        <v>4.1869797239898849</v>
      </c>
      <c r="U10" s="116">
        <f>IF(Control!$B$15=0,"",U7/Control!$B$15)</f>
        <v>4.5451600223065505</v>
      </c>
      <c r="V10" s="116">
        <f>IF(Control!$B$15=0,"",V7/Control!$B$15)</f>
        <v>4.9212493355390494</v>
      </c>
      <c r="W10" s="110"/>
    </row>
    <row r="11" spans="1:23" x14ac:dyDescent="0.3">
      <c r="A11" s="110" t="s">
        <v>418</v>
      </c>
      <c r="B11" s="110"/>
      <c r="C11" s="114">
        <f>Valuation!$F$10*POWER(1+Control!$B$78,C$4)*(1-Control!$B$79)</f>
        <v>6366150</v>
      </c>
      <c r="D11" s="114">
        <f>Valuation!$F$10*POWER(1+Control!$B$78,D$4)*(1-Control!$B$79)</f>
        <v>6684457.5</v>
      </c>
      <c r="E11" s="114">
        <f>Valuation!$F$10*POWER(1+Control!$B$78,E$4)*(1-Control!$B$79)</f>
        <v>7018680.3750000009</v>
      </c>
      <c r="F11" s="114">
        <f>Valuation!$F$10*POWER(1+Control!$B$78,F$4)*(1-Control!$B$79)</f>
        <v>7369614.3937499998</v>
      </c>
      <c r="G11" s="114">
        <f>Valuation!$F$10*POWER(1+Control!$B$78,G$4)*(1-Control!$B$79)</f>
        <v>7738095.1134375008</v>
      </c>
      <c r="H11" s="114">
        <f>Valuation!$F$10*POWER(1+Control!$B$78,H$4)*(1-Control!$B$79)</f>
        <v>8124999.8691093754</v>
      </c>
      <c r="I11" s="114">
        <f>Valuation!$F$10*POWER(1+Control!$B$78,I$4)*(1-Control!$B$79)</f>
        <v>8531249.862564845</v>
      </c>
      <c r="J11" s="114">
        <f>Valuation!$F$10*POWER(1+Control!$B$78,J$4)*(1-Control!$B$79)</f>
        <v>8957812.3556930851</v>
      </c>
      <c r="K11" s="114">
        <f>Valuation!$F$10*POWER(1+Control!$B$78,K$4)*(1-Control!$B$79)</f>
        <v>9405702.9734777417</v>
      </c>
      <c r="L11" s="114">
        <f>Valuation!$F$10*POWER(1+Control!$B$78,L$4)*(1-Control!$B$79)</f>
        <v>9875988.1221516281</v>
      </c>
      <c r="M11" s="114">
        <f>Valuation!$F$10*POWER(1+Control!$B$78,M$4)*(1-Control!$B$79)</f>
        <v>10369787.52825921</v>
      </c>
      <c r="N11" s="114">
        <f>Valuation!$F$10*POWER(1+Control!$B$78,N$4)*(1-Control!$B$79)</f>
        <v>10888276.904672168</v>
      </c>
      <c r="O11" s="114">
        <f>Valuation!$F$10*POWER(1+Control!$B$78,O$4)*(1-Control!$B$79)</f>
        <v>11432690.749905778</v>
      </c>
      <c r="P11" s="114">
        <f>Valuation!$F$10*POWER(1+Control!$B$78,P$4)*(1-Control!$B$79)</f>
        <v>12004325.287401065</v>
      </c>
      <c r="Q11" s="114">
        <f>Valuation!$F$10*POWER(1+Control!$B$78,Q$4)*(1-Control!$B$79)</f>
        <v>12604541.551771121</v>
      </c>
      <c r="R11" s="114">
        <f>Valuation!$F$10*POWER(1+Control!$B$78,R$4)*(1-Control!$B$79)</f>
        <v>13234768.629359677</v>
      </c>
      <c r="S11" s="114">
        <f>Valuation!$F$10*POWER(1+Control!$B$78,S$4)*(1-Control!$B$79)</f>
        <v>13896507.060827663</v>
      </c>
      <c r="T11" s="114">
        <f>Valuation!$F$10*POWER(1+Control!$B$78,T$4)*(1-Control!$B$79)</f>
        <v>14591332.413869046</v>
      </c>
      <c r="U11" s="114">
        <f>Valuation!$F$10*POWER(1+Control!$B$78,U$4)*(1-Control!$B$79)</f>
        <v>15320899.034562498</v>
      </c>
      <c r="V11" s="114">
        <f>Valuation!$F$10*POWER(1+Control!$B$78,V$4)*(1-Control!$B$79)</f>
        <v>16086943.986290623</v>
      </c>
      <c r="W11" s="110"/>
    </row>
    <row r="12" spans="1:23" x14ac:dyDescent="0.3">
      <c r="A12" s="112" t="s">
        <v>481</v>
      </c>
      <c r="B12" s="110"/>
      <c r="C12" s="117">
        <f t="shared" ref="C12:V12" si="0">C7+C11</f>
        <v>7318670.3975498974</v>
      </c>
      <c r="D12" s="117">
        <f t="shared" si="0"/>
        <v>8637124.3149772882</v>
      </c>
      <c r="E12" s="117">
        <f t="shared" si="0"/>
        <v>10021500.928276051</v>
      </c>
      <c r="F12" s="117">
        <f t="shared" si="0"/>
        <v>11475096.37223975</v>
      </c>
      <c r="G12" s="117">
        <f t="shared" si="0"/>
        <v>13001371.588401634</v>
      </c>
      <c r="H12" s="117">
        <f t="shared" si="0"/>
        <v>14603960.565371614</v>
      </c>
      <c r="I12" s="117">
        <f t="shared" si="0"/>
        <v>16286678.991190093</v>
      </c>
      <c r="J12" s="117">
        <f t="shared" si="0"/>
        <v>18053533.338299491</v>
      </c>
      <c r="K12" s="117">
        <f t="shared" si="0"/>
        <v>19908730.402764365</v>
      </c>
      <c r="L12" s="117">
        <f t="shared" si="0"/>
        <v>21856687.320452482</v>
      </c>
      <c r="M12" s="117">
        <f t="shared" si="0"/>
        <v>23902042.084025003</v>
      </c>
      <c r="N12" s="117">
        <f t="shared" si="0"/>
        <v>26049664.58577615</v>
      </c>
      <c r="O12" s="117">
        <f t="shared" si="0"/>
        <v>28304668.212614857</v>
      </c>
      <c r="P12" s="117">
        <f t="shared" si="0"/>
        <v>30672422.020795494</v>
      </c>
      <c r="Q12" s="117">
        <f t="shared" si="0"/>
        <v>33158563.519385166</v>
      </c>
      <c r="R12" s="117">
        <f t="shared" si="0"/>
        <v>35769012.092904329</v>
      </c>
      <c r="S12" s="117">
        <f t="shared" si="0"/>
        <v>38509983.095099442</v>
      </c>
      <c r="T12" s="117">
        <f t="shared" si="0"/>
        <v>41388002.647404313</v>
      </c>
      <c r="U12" s="117">
        <f t="shared" si="0"/>
        <v>44409923.177324422</v>
      </c>
      <c r="V12" s="117">
        <f t="shared" si="0"/>
        <v>47582939.733740538</v>
      </c>
      <c r="W12" s="110"/>
    </row>
    <row r="13" spans="1:23" x14ac:dyDescent="0.3">
      <c r="A13" s="112" t="s">
        <v>482</v>
      </c>
      <c r="B13" s="110"/>
      <c r="C13" s="118">
        <f>IF(Control!$B$15=0,"",C12/Control!$B$15)</f>
        <v>1.1435422496171714</v>
      </c>
      <c r="D13" s="118">
        <f>IF(Control!$B$15=0,"",D12/Control!$B$15)</f>
        <v>1.3495506742152013</v>
      </c>
      <c r="E13" s="118">
        <f>IF(Control!$B$15=0,"",E12/Control!$B$15)</f>
        <v>1.5658595200431329</v>
      </c>
      <c r="F13" s="118">
        <f>IF(Control!$B$15=0,"",F12/Control!$B$15)</f>
        <v>1.7929838081624609</v>
      </c>
      <c r="G13" s="118">
        <f>IF(Control!$B$15=0,"",G12/Control!$B$15)</f>
        <v>2.0314643106877552</v>
      </c>
      <c r="H13" s="118">
        <f>IF(Control!$B$15=0,"",H12/Control!$B$15)</f>
        <v>2.2818688383393146</v>
      </c>
      <c r="I13" s="118">
        <f>IF(Control!$B$15=0,"",I12/Control!$B$15)</f>
        <v>2.5447935923734519</v>
      </c>
      <c r="J13" s="118">
        <f>IF(Control!$B$15=0,"",J12/Control!$B$15)</f>
        <v>2.8208645841092954</v>
      </c>
      <c r="K13" s="118">
        <f>IF(Control!$B$15=0,"",K12/Control!$B$15)</f>
        <v>3.1107391254319321</v>
      </c>
      <c r="L13" s="118">
        <f>IF(Control!$B$15=0,"",L12/Control!$B$15)</f>
        <v>3.4151073938207004</v>
      </c>
      <c r="M13" s="118">
        <f>IF(Control!$B$15=0,"",M12/Control!$B$15)</f>
        <v>3.7346940756289069</v>
      </c>
      <c r="N13" s="118">
        <f>IF(Control!$B$15=0,"",N12/Control!$B$15)</f>
        <v>4.0702600915275235</v>
      </c>
      <c r="O13" s="118">
        <f>IF(Control!$B$15=0,"",O12/Control!$B$15)</f>
        <v>4.4226044082210709</v>
      </c>
      <c r="P13" s="118">
        <f>IF(Control!$B$15=0,"",P12/Control!$B$15)</f>
        <v>4.792565940749296</v>
      </c>
      <c r="Q13" s="118">
        <f>IF(Control!$B$15=0,"",Q12/Control!$B$15)</f>
        <v>5.1810255499039322</v>
      </c>
      <c r="R13" s="118">
        <f>IF(Control!$B$15=0,"",R12/Control!$B$15)</f>
        <v>5.5889081395163016</v>
      </c>
      <c r="S13" s="118">
        <f>IF(Control!$B$15=0,"",S12/Control!$B$15)</f>
        <v>6.017184858609288</v>
      </c>
      <c r="T13" s="118">
        <f>IF(Control!$B$15=0,"",T12/Control!$B$15)</f>
        <v>6.4668754136569238</v>
      </c>
      <c r="U13" s="118">
        <f>IF(Control!$B$15=0,"",U12/Control!$B$15)</f>
        <v>6.9390504964569413</v>
      </c>
      <c r="V13" s="118">
        <f>IF(Control!$B$15=0,"",V12/Control!$B$15)</f>
        <v>7.4348343333969593</v>
      </c>
      <c r="W13" s="110"/>
    </row>
    <row r="14" spans="1:23" x14ac:dyDescent="0.3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</row>
    <row r="15" spans="1:23" x14ac:dyDescent="0.3">
      <c r="A15" s="119" t="s">
        <v>483</v>
      </c>
      <c r="B15" s="120"/>
      <c r="C15" s="120"/>
      <c r="D15" s="120"/>
      <c r="E15" s="120"/>
      <c r="F15" s="12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</row>
    <row r="16" spans="1:23" x14ac:dyDescent="0.3">
      <c r="A16" s="147" t="s">
        <v>484</v>
      </c>
      <c r="B16" s="148" t="s">
        <v>485</v>
      </c>
      <c r="C16" s="148" t="s">
        <v>486</v>
      </c>
      <c r="D16" s="148" t="s">
        <v>487</v>
      </c>
      <c r="E16" s="148" t="s">
        <v>488</v>
      </c>
      <c r="F16" s="149" t="s">
        <v>489</v>
      </c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</row>
    <row r="17" spans="1:23" x14ac:dyDescent="0.3">
      <c r="A17" s="112" t="s">
        <v>490</v>
      </c>
      <c r="B17" s="121">
        <f>IF(Control!$B$15=0,"",IFERROR(IRR(C30:F30),""))</f>
        <v>-0.29693626909937443</v>
      </c>
      <c r="C17" s="121">
        <f>IF(Control!$B$15=0,"",IFERROR(IRR(C31:H31),""))</f>
        <v>-6.0024160239942725E-2</v>
      </c>
      <c r="D17" s="121">
        <f>IF(Control!$B$15=0,"",IFERROR(IRR(C32:M32),""))</f>
        <v>0.12248842039735353</v>
      </c>
      <c r="E17" s="121">
        <f>IF(Control!$B$15=0,"",IFERROR(IRR(C33:R33),""))</f>
        <v>0.16915031005722159</v>
      </c>
      <c r="F17" s="121">
        <f>IF(Control!$B$15=0,"",IFERROR(IRR(C34:W34),""))</f>
        <v>0.18575130168534382</v>
      </c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</row>
    <row r="18" spans="1:23" x14ac:dyDescent="0.3">
      <c r="A18" s="112" t="s">
        <v>491</v>
      </c>
      <c r="B18" s="121">
        <f>IF(Control!$B$15=0,"",IFERROR(IRR(C35:F35),""))</f>
        <v>0.18254410897939843</v>
      </c>
      <c r="C18" s="121">
        <f>IF(Control!$B$15=0,"",IFERROR(IRR(C36:H36),""))</f>
        <v>0.1903614437955532</v>
      </c>
      <c r="D18" s="121">
        <f>IF(Control!$B$15=0,"",IFERROR(IRR(C37:M37),""))</f>
        <v>0.19595827526478482</v>
      </c>
      <c r="E18" s="121">
        <f>IF(Control!$B$15=0,"",IFERROR(IRR(C38:R38),""))</f>
        <v>0.19757585701617097</v>
      </c>
      <c r="F18" s="121">
        <f>IF(Control!$B$15=0,"",IFERROR(IRR(C39:W39),""))</f>
        <v>0.19823224759730951</v>
      </c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</row>
    <row r="19" spans="1:23" x14ac:dyDescent="0.3">
      <c r="A19" s="112" t="s">
        <v>434</v>
      </c>
      <c r="B19" s="151">
        <f>IF(Control!$B$15=0,"",INDEX($C$10:$V$10,1,3))</f>
        <v>0.46919071144938296</v>
      </c>
      <c r="C19" s="151">
        <f>IF(Control!$B$15=0,"",INDEX($C$10:$V$10,1,5))</f>
        <v>0.82238694921314603</v>
      </c>
      <c r="D19" s="151">
        <f>IF(Control!$B$15=0,"",INDEX($C$10:$V$10,1,10))</f>
        <v>1.8719842497345083</v>
      </c>
      <c r="E19" s="151">
        <f>IF(Control!$B$15=0,"",INDEX($C$10:$V$10,1,15))</f>
        <v>3.211565932439695</v>
      </c>
      <c r="F19" s="151">
        <f>IF(Control!$B$15=0,"",INDEX($C$10:$V$10,1,20))</f>
        <v>4.9212493355390494</v>
      </c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</row>
    <row r="20" spans="1:23" x14ac:dyDescent="0.3">
      <c r="A20" s="112" t="s">
        <v>492</v>
      </c>
      <c r="B20" s="151">
        <f>IF(Control!$B$15=0,"",INDEX($C$13:$V$13,1,3))</f>
        <v>1.5658595200431329</v>
      </c>
      <c r="C20" s="151">
        <f>IF(Control!$B$15=0,"",INDEX($C$13:$V$13,1,5))</f>
        <v>2.0314643106877552</v>
      </c>
      <c r="D20" s="151">
        <f>IF(Control!$B$15=0,"",INDEX($C$13:$V$13,1,10))</f>
        <v>3.4151073938207004</v>
      </c>
      <c r="E20" s="151">
        <f>IF(Control!$B$15=0,"",INDEX($C$13:$V$13,1,15))</f>
        <v>5.1810255499039322</v>
      </c>
      <c r="F20" s="151">
        <f>IF(Control!$B$15=0,"",INDEX($C$13:$V$13,1,20))</f>
        <v>7.4348343333969593</v>
      </c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</row>
    <row r="21" spans="1:23" x14ac:dyDescent="0.3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</row>
    <row r="22" spans="1:23" x14ac:dyDescent="0.3">
      <c r="A22" s="150" t="s">
        <v>493</v>
      </c>
      <c r="B22" s="150"/>
      <c r="C22" s="150"/>
      <c r="D22" s="150"/>
      <c r="E22" s="150"/>
      <c r="F22" s="15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</row>
    <row r="23" spans="1:23" x14ac:dyDescent="0.3">
      <c r="A23" s="110" t="s">
        <v>494</v>
      </c>
      <c r="B23" s="152">
        <f>Control!$B$15</f>
        <v>6400000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</row>
    <row r="24" spans="1:23" x14ac:dyDescent="0.3">
      <c r="A24" s="110" t="s">
        <v>495</v>
      </c>
      <c r="B24" s="153">
        <f>Valuation!$F$10</f>
        <v>6450000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</row>
    <row r="25" spans="1:23" x14ac:dyDescent="0.3">
      <c r="A25" s="110" t="s">
        <v>145</v>
      </c>
      <c r="B25" s="122">
        <f>IF(Control!$B$15=0,"No active properties",COUNTIF('Portfolio NewCo'!B17:U17,"&lt;"&amp;Control!$B$15)+1)</f>
        <v>6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</row>
    <row r="26" spans="1:23" x14ac:dyDescent="0.3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</row>
    <row r="27" spans="1:23" x14ac:dyDescent="0.3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</row>
    <row r="28" spans="1:23" x14ac:dyDescent="0.3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</row>
    <row r="29" spans="1:23" x14ac:dyDescent="0.3">
      <c r="A29" s="110" t="s">
        <v>496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</row>
    <row r="30" spans="1:23" x14ac:dyDescent="0.3">
      <c r="A30" s="110" t="s">
        <v>497</v>
      </c>
      <c r="B30" s="110"/>
      <c r="C30" s="114">
        <f>-Control!$B$15</f>
        <v>-6400000</v>
      </c>
      <c r="D30" s="110">
        <f t="shared" ref="D30:D39" si="1">INDEX($C$6:$V$6,1,1)</f>
        <v>952520.39754989708</v>
      </c>
      <c r="E30" s="110">
        <f t="shared" ref="E30:E39" si="2">INDEX($C$6:$V$6,1,2)</f>
        <v>1000146.417427392</v>
      </c>
      <c r="F30" s="110">
        <f>INDEX($C$6:$V$6,1,3)</f>
        <v>1050153.7382987614</v>
      </c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</row>
    <row r="31" spans="1:23" x14ac:dyDescent="0.3">
      <c r="A31" s="110" t="s">
        <v>498</v>
      </c>
      <c r="B31" s="110"/>
      <c r="C31" s="114">
        <f>-Control!$B$15</f>
        <v>-6400000</v>
      </c>
      <c r="D31" s="110">
        <f t="shared" si="1"/>
        <v>952520.39754989708</v>
      </c>
      <c r="E31" s="110">
        <f t="shared" si="2"/>
        <v>1000146.417427392</v>
      </c>
      <c r="F31" s="110">
        <f>INDEX($C$6:$V$6,1,3)</f>
        <v>1050153.7382987614</v>
      </c>
      <c r="G31" s="110">
        <f>INDEX($C$6:$V$6,1,4)</f>
        <v>1102661.4252136997</v>
      </c>
      <c r="H31" s="110">
        <f>INDEX($C$6:$V$6,1,5)</f>
        <v>1157794.4964743843</v>
      </c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</row>
    <row r="32" spans="1:23" x14ac:dyDescent="0.3">
      <c r="A32" s="110" t="s">
        <v>499</v>
      </c>
      <c r="B32" s="110"/>
      <c r="C32" s="114">
        <f>-Control!$B$15</f>
        <v>-6400000</v>
      </c>
      <c r="D32" s="110">
        <f t="shared" si="1"/>
        <v>952520.39754989708</v>
      </c>
      <c r="E32" s="110">
        <f t="shared" si="2"/>
        <v>1000146.417427392</v>
      </c>
      <c r="F32" s="110">
        <f>INDEX($C$6:$V$6,1,3)</f>
        <v>1050153.7382987614</v>
      </c>
      <c r="G32" s="110">
        <f>INDEX($C$6:$V$6,1,4)</f>
        <v>1102661.4252136997</v>
      </c>
      <c r="H32" s="110">
        <f>INDEX($C$6:$V$6,1,5)</f>
        <v>1157794.4964743843</v>
      </c>
      <c r="I32" s="110">
        <f>INDEX($C$6:$V$6,1,6)</f>
        <v>1215684.2212981044</v>
      </c>
      <c r="J32" s="110">
        <f>INDEX($C$6:$V$6,1,7)</f>
        <v>1276468.4323630093</v>
      </c>
      <c r="K32" s="110">
        <f>INDEX($C$6:$V$6,1,8)</f>
        <v>1340291.8539811599</v>
      </c>
      <c r="L32" s="110">
        <f>INDEX($C$6:$V$6,1,9)</f>
        <v>1407306.4466802171</v>
      </c>
      <c r="M32" s="110">
        <f>INDEX($C$6:$V$6,1,10)</f>
        <v>1477671.7690142279</v>
      </c>
      <c r="N32" s="110"/>
      <c r="O32" s="110"/>
      <c r="P32" s="110"/>
      <c r="Q32" s="110"/>
      <c r="R32" s="110"/>
      <c r="S32" s="110"/>
      <c r="T32" s="110"/>
      <c r="U32" s="110"/>
      <c r="V32" s="110"/>
      <c r="W32" s="110"/>
    </row>
    <row r="33" spans="1:23" x14ac:dyDescent="0.3">
      <c r="A33" s="110" t="s">
        <v>500</v>
      </c>
      <c r="B33" s="110"/>
      <c r="C33" s="114">
        <f>-Control!$B$15</f>
        <v>-6400000</v>
      </c>
      <c r="D33" s="110">
        <f t="shared" si="1"/>
        <v>952520.39754989708</v>
      </c>
      <c r="E33" s="110">
        <f t="shared" si="2"/>
        <v>1000146.417427392</v>
      </c>
      <c r="F33" s="110">
        <f>INDEX($C$6:$V$6,1,3)</f>
        <v>1050153.7382987614</v>
      </c>
      <c r="G33" s="110">
        <f>INDEX($C$6:$V$6,1,4)</f>
        <v>1102661.4252136997</v>
      </c>
      <c r="H33" s="110">
        <f>INDEX($C$6:$V$6,1,5)</f>
        <v>1157794.4964743843</v>
      </c>
      <c r="I33" s="110">
        <f>INDEX($C$6:$V$6,1,6)</f>
        <v>1215684.2212981044</v>
      </c>
      <c r="J33" s="110">
        <f>INDEX($C$6:$V$6,1,7)</f>
        <v>1276468.4323630093</v>
      </c>
      <c r="K33" s="110">
        <f>INDEX($C$6:$V$6,1,8)</f>
        <v>1340291.8539811599</v>
      </c>
      <c r="L33" s="110">
        <f>INDEX($C$6:$V$6,1,9)</f>
        <v>1407306.4466802171</v>
      </c>
      <c r="M33" s="110">
        <f>INDEX($C$6:$V$6,1,10)</f>
        <v>1477671.7690142279</v>
      </c>
      <c r="N33" s="110">
        <f>INDEX($C$6:$V$6,1,11)</f>
        <v>1551555.3574649398</v>
      </c>
      <c r="O33" s="110">
        <f>INDEX($C$6:$V$6,1,12)</f>
        <v>1629133.125338187</v>
      </c>
      <c r="P33" s="110">
        <f>INDEX($C$6:$V$6,1,13)</f>
        <v>1710589.7816050963</v>
      </c>
      <c r="Q33" s="110">
        <f>INDEX($C$6:$V$6,1,14)</f>
        <v>1796119.270685351</v>
      </c>
      <c r="R33" s="110">
        <f>INDEX($C$6:$V$6,1,15)</f>
        <v>1885925.2342196181</v>
      </c>
      <c r="S33" s="110"/>
      <c r="T33" s="110"/>
      <c r="U33" s="110"/>
      <c r="V33" s="110"/>
      <c r="W33" s="110"/>
    </row>
    <row r="34" spans="1:23" x14ac:dyDescent="0.3">
      <c r="A34" s="110" t="s">
        <v>501</v>
      </c>
      <c r="B34" s="110"/>
      <c r="C34" s="114">
        <f>-Control!$B$15</f>
        <v>-6400000</v>
      </c>
      <c r="D34" s="110">
        <f t="shared" si="1"/>
        <v>952520.39754989708</v>
      </c>
      <c r="E34" s="110">
        <f t="shared" si="2"/>
        <v>1000146.417427392</v>
      </c>
      <c r="F34" s="110">
        <f>INDEX($C$6:$V$6,1,3)</f>
        <v>1050153.7382987614</v>
      </c>
      <c r="G34" s="110">
        <f>INDEX($C$6:$V$6,1,4)</f>
        <v>1102661.4252136997</v>
      </c>
      <c r="H34" s="110">
        <f>INDEX($C$6:$V$6,1,5)</f>
        <v>1157794.4964743843</v>
      </c>
      <c r="I34" s="110">
        <f>INDEX($C$6:$V$6,1,6)</f>
        <v>1215684.2212981044</v>
      </c>
      <c r="J34" s="110">
        <f>INDEX($C$6:$V$6,1,7)</f>
        <v>1276468.4323630093</v>
      </c>
      <c r="K34" s="110">
        <f>INDEX($C$6:$V$6,1,8)</f>
        <v>1340291.8539811599</v>
      </c>
      <c r="L34" s="110">
        <f>INDEX($C$6:$V$6,1,9)</f>
        <v>1407306.4466802171</v>
      </c>
      <c r="M34" s="110">
        <f>INDEX($C$6:$V$6,1,10)</f>
        <v>1477671.7690142279</v>
      </c>
      <c r="N34" s="110">
        <f>INDEX($C$6:$V$6,1,11)</f>
        <v>1551555.3574649398</v>
      </c>
      <c r="O34" s="110">
        <f>INDEX($C$6:$V$6,1,12)</f>
        <v>1629133.125338187</v>
      </c>
      <c r="P34" s="110">
        <f>INDEX($C$6:$V$6,1,13)</f>
        <v>1710589.7816050963</v>
      </c>
      <c r="Q34" s="110">
        <f>INDEX($C$6:$V$6,1,14)</f>
        <v>1796119.270685351</v>
      </c>
      <c r="R34" s="110">
        <f>INDEX($C$6:$V$6,1,15)</f>
        <v>1885925.2342196181</v>
      </c>
      <c r="S34" s="110">
        <f>INDEX($C$6:$V$6,1,16)</f>
        <v>1980221.4959305997</v>
      </c>
      <c r="T34" s="110">
        <f>INDEX($C$6:$V$6,1,17)</f>
        <v>2079232.5707271295</v>
      </c>
      <c r="U34" s="110">
        <f>INDEX($C$6:$V$6,1,18)</f>
        <v>2183194.1992634865</v>
      </c>
      <c r="V34" s="110">
        <f>INDEX($C$6:$V$6,1,19)</f>
        <v>2292353.9092266611</v>
      </c>
      <c r="W34" s="110">
        <f>INDEX($C$6:$V$6,1,20)</f>
        <v>2406971.6046879934</v>
      </c>
    </row>
    <row r="35" spans="1:23" x14ac:dyDescent="0.3">
      <c r="A35" s="110" t="s">
        <v>502</v>
      </c>
      <c r="B35" s="110"/>
      <c r="C35" s="114">
        <f>-Control!$B$15</f>
        <v>-6400000</v>
      </c>
      <c r="D35" s="110">
        <f t="shared" si="1"/>
        <v>952520.39754989708</v>
      </c>
      <c r="E35" s="110">
        <f t="shared" si="2"/>
        <v>1000146.417427392</v>
      </c>
      <c r="F35" s="110">
        <f>INDEX($C$6:$V$6,1,3)+Valuation!$F$10*POWER(1+Control!$B$78,3)*(1-Control!$B$79)</f>
        <v>8068834.1132987626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</row>
    <row r="36" spans="1:23" x14ac:dyDescent="0.3">
      <c r="A36" s="110" t="s">
        <v>503</v>
      </c>
      <c r="B36" s="110"/>
      <c r="C36" s="114">
        <f>-Control!$B$15</f>
        <v>-6400000</v>
      </c>
      <c r="D36" s="110">
        <f t="shared" si="1"/>
        <v>952520.39754989708</v>
      </c>
      <c r="E36" s="110">
        <f t="shared" si="2"/>
        <v>1000146.417427392</v>
      </c>
      <c r="F36" s="110">
        <f>INDEX($C$6:$V$6,1,3)</f>
        <v>1050153.7382987614</v>
      </c>
      <c r="G36" s="110">
        <f>INDEX($C$6:$V$6,1,4)</f>
        <v>1102661.4252136997</v>
      </c>
      <c r="H36" s="110">
        <f>INDEX($C$6:$V$6,1,5)+Valuation!$F$10*POWER(1+Control!$B$78,5)*(1-Control!$B$79)</f>
        <v>8895889.6099118851</v>
      </c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</row>
    <row r="37" spans="1:23" x14ac:dyDescent="0.3">
      <c r="A37" s="110" t="s">
        <v>504</v>
      </c>
      <c r="B37" s="110"/>
      <c r="C37" s="114">
        <f>-Control!$B$15</f>
        <v>-6400000</v>
      </c>
      <c r="D37" s="110">
        <f t="shared" si="1"/>
        <v>952520.39754989708</v>
      </c>
      <c r="E37" s="110">
        <f t="shared" si="2"/>
        <v>1000146.417427392</v>
      </c>
      <c r="F37" s="110">
        <f>INDEX($C$6:$V$6,1,3)</f>
        <v>1050153.7382987614</v>
      </c>
      <c r="G37" s="110">
        <f>INDEX($C$6:$V$6,1,4)</f>
        <v>1102661.4252136997</v>
      </c>
      <c r="H37" s="110">
        <f>INDEX($C$6:$V$6,1,5)</f>
        <v>1157794.4964743843</v>
      </c>
      <c r="I37" s="110">
        <f>INDEX($C$6:$V$6,1,6)</f>
        <v>1215684.2212981044</v>
      </c>
      <c r="J37" s="110">
        <f>INDEX($C$6:$V$6,1,7)</f>
        <v>1276468.4323630093</v>
      </c>
      <c r="K37" s="110">
        <f>INDEX($C$6:$V$6,1,8)</f>
        <v>1340291.8539811599</v>
      </c>
      <c r="L37" s="110">
        <f>INDEX($C$6:$V$6,1,9)</f>
        <v>1407306.4466802171</v>
      </c>
      <c r="M37" s="110">
        <f>INDEX($C$6:$V$6,1,10)+Valuation!$F$10*POWER(1+Control!$B$78,10)*(1-Control!$B$79)</f>
        <v>11353659.891165856</v>
      </c>
      <c r="N37" s="110"/>
      <c r="O37" s="110"/>
      <c r="P37" s="110"/>
      <c r="Q37" s="110"/>
      <c r="R37" s="110"/>
      <c r="S37" s="110"/>
      <c r="T37" s="110"/>
      <c r="U37" s="110"/>
      <c r="V37" s="110"/>
      <c r="W37" s="110"/>
    </row>
    <row r="38" spans="1:23" x14ac:dyDescent="0.3">
      <c r="A38" s="110" t="s">
        <v>505</v>
      </c>
      <c r="B38" s="110"/>
      <c r="C38" s="114">
        <f>-Control!$B$15</f>
        <v>-6400000</v>
      </c>
      <c r="D38" s="110">
        <f t="shared" si="1"/>
        <v>952520.39754989708</v>
      </c>
      <c r="E38" s="110">
        <f t="shared" si="2"/>
        <v>1000146.417427392</v>
      </c>
      <c r="F38" s="110">
        <f>INDEX($C$6:$V$6,1,3)</f>
        <v>1050153.7382987614</v>
      </c>
      <c r="G38" s="110">
        <f>INDEX($C$6:$V$6,1,4)</f>
        <v>1102661.4252136997</v>
      </c>
      <c r="H38" s="110">
        <f>INDEX($C$6:$V$6,1,5)</f>
        <v>1157794.4964743843</v>
      </c>
      <c r="I38" s="110">
        <f>INDEX($C$6:$V$6,1,6)</f>
        <v>1215684.2212981044</v>
      </c>
      <c r="J38" s="110">
        <f>INDEX($C$6:$V$6,1,7)</f>
        <v>1276468.4323630093</v>
      </c>
      <c r="K38" s="110">
        <f>INDEX($C$6:$V$6,1,8)</f>
        <v>1340291.8539811599</v>
      </c>
      <c r="L38" s="110">
        <f>INDEX($C$6:$V$6,1,9)</f>
        <v>1407306.4466802171</v>
      </c>
      <c r="M38" s="110">
        <f>INDEX($C$6:$V$6,1,10)</f>
        <v>1477671.7690142279</v>
      </c>
      <c r="N38" s="110">
        <f>INDEX($C$6:$V$6,1,11)</f>
        <v>1551555.3574649398</v>
      </c>
      <c r="O38" s="110">
        <f>INDEX($C$6:$V$6,1,12)</f>
        <v>1629133.125338187</v>
      </c>
      <c r="P38" s="110">
        <f>INDEX($C$6:$V$6,1,13)</f>
        <v>1710589.7816050963</v>
      </c>
      <c r="Q38" s="110">
        <f>INDEX($C$6:$V$6,1,14)</f>
        <v>1796119.270685351</v>
      </c>
      <c r="R38" s="110">
        <f>INDEX($C$6:$V$6,1,15)+Valuation!$F$10*POWER(1+Control!$B$78,15)*(1-Control!$B$79)</f>
        <v>14490466.785990739</v>
      </c>
      <c r="S38" s="110"/>
      <c r="T38" s="110"/>
      <c r="U38" s="110"/>
      <c r="V38" s="110"/>
      <c r="W38" s="110"/>
    </row>
    <row r="39" spans="1:23" x14ac:dyDescent="0.3">
      <c r="A39" s="110" t="s">
        <v>506</v>
      </c>
      <c r="B39" s="110"/>
      <c r="C39" s="114">
        <f>-Control!$B$15</f>
        <v>-6400000</v>
      </c>
      <c r="D39" s="110">
        <f t="shared" si="1"/>
        <v>952520.39754989708</v>
      </c>
      <c r="E39" s="110">
        <f t="shared" si="2"/>
        <v>1000146.417427392</v>
      </c>
      <c r="F39" s="110">
        <f>INDEX($C$6:$V$6,1,3)</f>
        <v>1050153.7382987614</v>
      </c>
      <c r="G39" s="110">
        <f>INDEX($C$6:$V$6,1,4)</f>
        <v>1102661.4252136997</v>
      </c>
      <c r="H39" s="110">
        <f>INDEX($C$6:$V$6,1,5)</f>
        <v>1157794.4964743843</v>
      </c>
      <c r="I39" s="110">
        <f>INDEX($C$6:$V$6,1,6)</f>
        <v>1215684.2212981044</v>
      </c>
      <c r="J39" s="110">
        <f>INDEX($C$6:$V$6,1,7)</f>
        <v>1276468.4323630093</v>
      </c>
      <c r="K39" s="110">
        <f>INDEX($C$6:$V$6,1,8)</f>
        <v>1340291.8539811599</v>
      </c>
      <c r="L39" s="110">
        <f>INDEX($C$6:$V$6,1,9)</f>
        <v>1407306.4466802171</v>
      </c>
      <c r="M39" s="110">
        <f>INDEX($C$6:$V$6,1,10)</f>
        <v>1477671.7690142279</v>
      </c>
      <c r="N39" s="110">
        <f>INDEX($C$6:$V$6,1,11)</f>
        <v>1551555.3574649398</v>
      </c>
      <c r="O39" s="110">
        <f>INDEX($C$6:$V$6,1,12)</f>
        <v>1629133.125338187</v>
      </c>
      <c r="P39" s="110">
        <f>INDEX($C$6:$V$6,1,13)</f>
        <v>1710589.7816050963</v>
      </c>
      <c r="Q39" s="110">
        <f>INDEX($C$6:$V$6,1,14)</f>
        <v>1796119.270685351</v>
      </c>
      <c r="R39" s="110">
        <f>INDEX($C$6:$V$6,1,15)</f>
        <v>1885925.2342196181</v>
      </c>
      <c r="S39" s="110">
        <f>INDEX($C$6:$V$6,1,16)</f>
        <v>1980221.4959305997</v>
      </c>
      <c r="T39" s="110">
        <f>INDEX($C$6:$V$6,1,17)</f>
        <v>2079232.5707271295</v>
      </c>
      <c r="U39" s="110">
        <f>INDEX($C$6:$V$6,1,18)</f>
        <v>2183194.1992634865</v>
      </c>
      <c r="V39" s="110">
        <f>INDEX($C$6:$V$6,1,19)</f>
        <v>2292353.9092266611</v>
      </c>
      <c r="W39" s="110">
        <f>INDEX($C$6:$V$6,1,20)+Valuation!$F$10*POWER(1+Control!$B$78,20)*(1-Control!$B$79)</f>
        <v>18493915.590978615</v>
      </c>
    </row>
  </sheetData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4E79"/>
  </sheetPr>
  <dimension ref="A1:W96"/>
  <sheetViews>
    <sheetView topLeftCell="A10" zoomScaleNormal="100" workbookViewId="0">
      <selection activeCell="E14" sqref="E14"/>
    </sheetView>
  </sheetViews>
  <sheetFormatPr defaultRowHeight="14.4" x14ac:dyDescent="0.3"/>
  <cols>
    <col min="1" max="1" width="24.33203125" customWidth="1"/>
    <col min="2" max="2" width="17" customWidth="1"/>
    <col min="3" max="3" width="15.21875" bestFit="1" customWidth="1"/>
    <col min="4" max="4" width="12" bestFit="1" customWidth="1"/>
    <col min="5" max="5" width="43.5546875" bestFit="1" customWidth="1"/>
    <col min="6" max="23" width="12" bestFit="1" customWidth="1"/>
  </cols>
  <sheetData>
    <row r="1" spans="1:23" x14ac:dyDescent="0.3">
      <c r="A1" s="109" t="s">
        <v>507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</row>
    <row r="2" spans="1:23" x14ac:dyDescent="0.3">
      <c r="A2" s="417" t="s">
        <v>508</v>
      </c>
      <c r="B2" s="392"/>
      <c r="C2" s="392"/>
      <c r="D2" s="392"/>
      <c r="E2" s="392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</row>
    <row r="3" spans="1:23" x14ac:dyDescent="0.3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</row>
    <row r="4" spans="1:23" ht="30.6" customHeight="1" x14ac:dyDescent="0.3">
      <c r="A4" s="418" t="s">
        <v>509</v>
      </c>
      <c r="B4" s="392"/>
      <c r="C4" s="392"/>
      <c r="D4" s="392"/>
      <c r="E4" s="392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</row>
    <row r="5" spans="1:23" ht="30.6" customHeight="1" x14ac:dyDescent="0.3">
      <c r="A5" s="218"/>
      <c r="B5" s="218"/>
      <c r="C5" s="218"/>
      <c r="D5" s="218"/>
      <c r="E5" s="218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</row>
    <row r="6" spans="1:23" x14ac:dyDescent="0.3">
      <c r="A6" s="227" t="s">
        <v>510</v>
      </c>
      <c r="B6" s="228" t="s">
        <v>511</v>
      </c>
      <c r="C6" s="228" t="s">
        <v>512</v>
      </c>
      <c r="D6" s="228" t="s">
        <v>513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</row>
    <row r="7" spans="1:23" x14ac:dyDescent="0.3">
      <c r="A7" s="220">
        <v>0.65</v>
      </c>
      <c r="B7" s="229">
        <f>IRR(C51:W51)</f>
        <v>0.18088608996658806</v>
      </c>
      <c r="C7" s="230">
        <f>SUM(D51:W51)/Control!$B$15</f>
        <v>6.8654966394654426</v>
      </c>
      <c r="D7" s="231">
        <f>COUNTIF(D52:V52,"&lt;"&amp;Control!$B$15)+1</f>
        <v>7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</row>
    <row r="8" spans="1:23" x14ac:dyDescent="0.3">
      <c r="A8" s="220">
        <v>0.7</v>
      </c>
      <c r="B8" s="229">
        <f>IRR(C53:W53)</f>
        <v>0.18813128300381132</v>
      </c>
      <c r="C8" s="230">
        <f>SUM(D53:W53)/Control!$B$15</f>
        <v>7.103205994591324</v>
      </c>
      <c r="D8" s="231">
        <f>COUNTIF(D54:V54,"&lt;"&amp;Control!$B$15)+1</f>
        <v>7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</row>
    <row r="9" spans="1:23" x14ac:dyDescent="0.3">
      <c r="A9" s="221">
        <v>0.75</v>
      </c>
      <c r="B9" s="232">
        <f>IRR(C55:W55)</f>
        <v>0.19537236840552774</v>
      </c>
      <c r="C9" s="225">
        <f>SUM(D55:W55)/Control!$B$15</f>
        <v>7.3409153497172079</v>
      </c>
      <c r="D9" s="233">
        <f>COUNTIF(D56:V56,"&lt;"&amp;Control!$B$15)+1</f>
        <v>7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</row>
    <row r="10" spans="1:23" x14ac:dyDescent="0.3">
      <c r="A10" s="220">
        <v>0.8</v>
      </c>
      <c r="B10" s="229">
        <f>IRR(C57:W57)</f>
        <v>0.20260960760429536</v>
      </c>
      <c r="C10" s="230">
        <f>SUM(D57:W57)/Control!$B$15</f>
        <v>7.5786247048430893</v>
      </c>
      <c r="D10" s="231">
        <f>COUNTIF(D58:V58,"&lt;"&amp;Control!$B$15)+1</f>
        <v>6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</row>
    <row r="11" spans="1:23" x14ac:dyDescent="0.3">
      <c r="A11" s="220">
        <v>0.85</v>
      </c>
      <c r="B11" s="229">
        <f>IRR(C59:W59)</f>
        <v>0.20984325088568312</v>
      </c>
      <c r="C11" s="230">
        <f>SUM(D59:W59)/Control!$B$15</f>
        <v>7.8163340599689715</v>
      </c>
      <c r="D11" s="231">
        <f>COUNTIF(D60:V60,"&lt;"&amp;Control!$B$15)+1</f>
        <v>6</v>
      </c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</row>
    <row r="12" spans="1:23" x14ac:dyDescent="0.3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</row>
    <row r="13" spans="1:23" x14ac:dyDescent="0.3">
      <c r="A13" s="142" t="s">
        <v>514</v>
      </c>
      <c r="B13" s="143"/>
      <c r="C13" s="143"/>
      <c r="D13" s="143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</row>
    <row r="14" spans="1:23" x14ac:dyDescent="0.3">
      <c r="A14" s="227" t="s">
        <v>515</v>
      </c>
      <c r="B14" s="228" t="s">
        <v>511</v>
      </c>
      <c r="C14" s="228" t="s">
        <v>512</v>
      </c>
      <c r="D14" s="228" t="s">
        <v>513</v>
      </c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</row>
    <row r="15" spans="1:23" x14ac:dyDescent="0.3">
      <c r="A15" s="222">
        <v>0.03</v>
      </c>
      <c r="B15" s="229">
        <f>IRR(C63:W63)</f>
        <v>0.16654116427566157</v>
      </c>
      <c r="C15" s="230">
        <f>SUM(D63:W63)/Control!$B$15</f>
        <v>5.642340220871052</v>
      </c>
      <c r="D15" s="231">
        <f>COUNTIF(D64:V64,"&lt;"&amp;Control!$B$15)+1</f>
        <v>7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</row>
    <row r="16" spans="1:23" x14ac:dyDescent="0.3">
      <c r="A16" s="222">
        <v>0.04</v>
      </c>
      <c r="B16" s="229">
        <f>IRR(C65:W65)</f>
        <v>0.18261766557329562</v>
      </c>
      <c r="C16" s="230">
        <f>SUM(D65:W65)/Control!$B$15</f>
        <v>6.4835920135128733</v>
      </c>
      <c r="D16" s="231">
        <f>COUNTIF(D66:V66,"&lt;"&amp;Control!$B$15)+1</f>
        <v>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</row>
    <row r="17" spans="1:23" x14ac:dyDescent="0.3">
      <c r="A17" s="223">
        <v>0.05</v>
      </c>
      <c r="B17" s="232">
        <f>IRR(C67:W67)</f>
        <v>0.19823224759730951</v>
      </c>
      <c r="C17" s="225">
        <f>SUM(D67:W67)/Control!$B$15</f>
        <v>7.4348343333969593</v>
      </c>
      <c r="D17" s="233">
        <f>COUNTIF(D68:V68,"&lt;"&amp;Control!$B$15)+1</f>
        <v>6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</row>
    <row r="18" spans="1:23" x14ac:dyDescent="0.3">
      <c r="A18" s="222">
        <v>0.06</v>
      </c>
      <c r="B18" s="229">
        <f>IRR(C69:W69)</f>
        <v>0.2134116677558906</v>
      </c>
      <c r="C18" s="230">
        <f>SUM(D69:W69)/Control!$B$15</f>
        <v>8.5109931464799331</v>
      </c>
      <c r="D18" s="231">
        <f>COUNTIF(D70:V70,"&lt;"&amp;Control!$B$15)+1</f>
        <v>6</v>
      </c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</row>
    <row r="19" spans="1:23" x14ac:dyDescent="0.3">
      <c r="A19" s="222">
        <v>7.0000000000000007E-2</v>
      </c>
      <c r="B19" s="229">
        <f>IRR(C71:W71)</f>
        <v>0.2281888469116149</v>
      </c>
      <c r="C19" s="230">
        <f>SUM(D71:W71)/Control!$B$15</f>
        <v>9.7289942759988506</v>
      </c>
      <c r="D19" s="231">
        <f>COUNTIF(D72:V72,"&lt;"&amp;Control!$B$15)+1</f>
        <v>6</v>
      </c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</row>
    <row r="20" spans="1:23" x14ac:dyDescent="0.3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</row>
    <row r="21" spans="1:23" x14ac:dyDescent="0.3">
      <c r="A21" s="142" t="s">
        <v>516</v>
      </c>
      <c r="B21" s="143"/>
      <c r="C21" s="143"/>
      <c r="D21" s="143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</row>
    <row r="22" spans="1:23" x14ac:dyDescent="0.3">
      <c r="A22" s="227" t="s">
        <v>517</v>
      </c>
      <c r="B22" s="228" t="s">
        <v>511</v>
      </c>
      <c r="C22" s="228" t="s">
        <v>512</v>
      </c>
      <c r="D22" s="228" t="s">
        <v>513</v>
      </c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</row>
    <row r="23" spans="1:23" x14ac:dyDescent="0.3">
      <c r="A23" s="224">
        <v>0.6</v>
      </c>
      <c r="B23" s="229">
        <f>IRR(C75:W75)</f>
        <v>0.1855528750228852</v>
      </c>
      <c r="C23" s="230">
        <f>SUM(D75:W75)/Control!$B$15</f>
        <v>7.0185944576299875</v>
      </c>
      <c r="D23" s="231">
        <f>COUNTIF(D76:V76,"&lt;"&amp;Control!$B$15)+1</f>
        <v>7</v>
      </c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</row>
    <row r="24" spans="1:23" x14ac:dyDescent="0.3">
      <c r="A24" s="224">
        <v>0.8</v>
      </c>
      <c r="B24" s="229">
        <f>IRR(C77:W77)</f>
        <v>0.19189408297703925</v>
      </c>
      <c r="C24" s="230">
        <f>SUM(D77:W77)/Control!$B$15</f>
        <v>7.2267143955134738</v>
      </c>
      <c r="D24" s="231">
        <f>COUNTIF(D78:V78,"&lt;"&amp;Control!$B$15)+1</f>
        <v>7</v>
      </c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</row>
    <row r="25" spans="1:23" x14ac:dyDescent="0.3">
      <c r="A25" s="225">
        <v>1</v>
      </c>
      <c r="B25" s="232">
        <f>IRR(C79:W79)</f>
        <v>0.19823224759730951</v>
      </c>
      <c r="C25" s="225">
        <f>SUM(D79:W79)/Control!$B$15</f>
        <v>7.4348343333969593</v>
      </c>
      <c r="D25" s="233">
        <f>COUNTIF(D80:V80,"&lt;"&amp;Control!$B$15)+1</f>
        <v>6</v>
      </c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</row>
    <row r="26" spans="1:23" x14ac:dyDescent="0.3">
      <c r="A26" s="224">
        <v>1.2</v>
      </c>
      <c r="B26" s="229">
        <f>IRR(C81:W81)</f>
        <v>0.20456754095622842</v>
      </c>
      <c r="C26" s="230">
        <f>SUM(D81:W81)/Control!$B$15</f>
        <v>7.6429542712804439</v>
      </c>
      <c r="D26" s="231">
        <f>COUNTIF(D82:V82,"&lt;"&amp;Control!$B$15)+1</f>
        <v>6</v>
      </c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</row>
    <row r="27" spans="1:23" x14ac:dyDescent="0.3">
      <c r="A27" s="224">
        <v>1.4</v>
      </c>
      <c r="B27" s="229">
        <f>IRR(C83:W83)</f>
        <v>0.21090012848963657</v>
      </c>
      <c r="C27" s="230">
        <f>SUM(D83:W83)/Control!$B$15</f>
        <v>7.8510742091639321</v>
      </c>
      <c r="D27" s="231">
        <f>COUNTIF(D84:V84,"&lt;"&amp;Control!$B$15)+1</f>
        <v>6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</row>
    <row r="28" spans="1:23" x14ac:dyDescent="0.3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</row>
    <row r="29" spans="1:23" x14ac:dyDescent="0.3">
      <c r="A29" s="142" t="s">
        <v>518</v>
      </c>
      <c r="B29" s="143"/>
      <c r="C29" s="143"/>
      <c r="D29" s="143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</row>
    <row r="30" spans="1:23" x14ac:dyDescent="0.3">
      <c r="A30" s="227" t="s">
        <v>519</v>
      </c>
      <c r="B30" s="228" t="s">
        <v>511</v>
      </c>
      <c r="C30" s="228" t="s">
        <v>512</v>
      </c>
      <c r="D30" s="228" t="s">
        <v>513</v>
      </c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</row>
    <row r="31" spans="1:23" x14ac:dyDescent="0.3">
      <c r="A31" s="222">
        <v>0</v>
      </c>
      <c r="B31" s="229">
        <f>IRR(C87:W87)</f>
        <v>0.19088961242162439</v>
      </c>
      <c r="C31" s="230">
        <f>SUM(D87:W87)/Control!$B$15</f>
        <v>5.8685930855390502</v>
      </c>
      <c r="D31" s="231">
        <f>COUNTIF(D88:V88,"&lt;"&amp;Control!$B$15)+1</f>
        <v>6</v>
      </c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</row>
    <row r="32" spans="1:23" x14ac:dyDescent="0.3">
      <c r="A32" s="222">
        <v>0.03</v>
      </c>
      <c r="B32" s="229">
        <f>IRR(C89:W89)</f>
        <v>0.19462412514818417</v>
      </c>
      <c r="C32" s="230">
        <f>SUM(D89:W89)/Control!$B$15</f>
        <v>6.6322575255079013</v>
      </c>
      <c r="D32" s="231">
        <f>COUNTIF(D90:V90,"&lt;"&amp;Control!$B$15)+1</f>
        <v>6</v>
      </c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</row>
    <row r="33" spans="1:23" x14ac:dyDescent="0.3">
      <c r="A33" s="223">
        <v>0.05</v>
      </c>
      <c r="B33" s="232">
        <f>IRR(C91:W91)</f>
        <v>0.19823224759730951</v>
      </c>
      <c r="C33" s="225">
        <f>SUM(D91:W91)/Control!$B$15</f>
        <v>7.4348343333969593</v>
      </c>
      <c r="D33" s="233">
        <f>COUNTIF(D92:V92,"&lt;"&amp;Control!$B$15)+1</f>
        <v>6</v>
      </c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</row>
    <row r="34" spans="1:23" x14ac:dyDescent="0.3">
      <c r="A34" s="222">
        <v>7.0000000000000007E-2</v>
      </c>
      <c r="B34" s="229">
        <f>IRR(C93:W93)</f>
        <v>0.20294900481560152</v>
      </c>
      <c r="C34" s="230">
        <f>SUM(D93:W93)/Control!$B$15</f>
        <v>8.5871707255474412</v>
      </c>
      <c r="D34" s="231">
        <f>COUNTIF(D94:V94,"&lt;"&amp;Control!$B$15)+1</f>
        <v>6</v>
      </c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</row>
    <row r="35" spans="1:23" x14ac:dyDescent="0.3">
      <c r="A35" s="222">
        <v>0.09</v>
      </c>
      <c r="B35" s="229">
        <f>IRR(C95:W95)</f>
        <v>0.20892722446324918</v>
      </c>
      <c r="C35" s="230">
        <f>SUM(D95:W95)/Control!$B$15</f>
        <v>10.230552848826521</v>
      </c>
      <c r="D35" s="231">
        <f>COUNTIF(D96:V96,"&lt;"&amp;Control!$B$15)+1</f>
        <v>6</v>
      </c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</row>
    <row r="36" spans="1:23" x14ac:dyDescent="0.3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</row>
    <row r="37" spans="1:23" x14ac:dyDescent="0.3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</row>
    <row r="38" spans="1:23" x14ac:dyDescent="0.3">
      <c r="A38" s="142" t="s">
        <v>520</v>
      </c>
      <c r="B38" s="143"/>
      <c r="C38" s="143"/>
      <c r="D38" s="143"/>
      <c r="E38" s="143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</row>
    <row r="39" spans="1:23" x14ac:dyDescent="0.3">
      <c r="A39" s="144" t="s">
        <v>521</v>
      </c>
      <c r="B39" s="226" t="s">
        <v>522</v>
      </c>
      <c r="C39" s="226"/>
      <c r="D39" s="226"/>
      <c r="E39" s="145" t="s">
        <v>523</v>
      </c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</row>
    <row r="40" spans="1:23" ht="27.6" customHeight="1" x14ac:dyDescent="0.3">
      <c r="A40" s="111" t="s">
        <v>524</v>
      </c>
      <c r="B40" s="417" t="s">
        <v>525</v>
      </c>
      <c r="C40" s="392"/>
      <c r="D40" s="392"/>
      <c r="E40" s="111" t="s">
        <v>526</v>
      </c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</row>
    <row r="41" spans="1:23" ht="27.6" customHeight="1" x14ac:dyDescent="0.3">
      <c r="A41" s="111" t="s">
        <v>527</v>
      </c>
      <c r="B41" s="417" t="s">
        <v>528</v>
      </c>
      <c r="C41" s="392"/>
      <c r="D41" s="392"/>
      <c r="E41" s="111" t="s">
        <v>529</v>
      </c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</row>
    <row r="42" spans="1:23" ht="27.6" customHeight="1" x14ac:dyDescent="0.3">
      <c r="A42" s="111" t="s">
        <v>530</v>
      </c>
      <c r="B42" s="417" t="s">
        <v>531</v>
      </c>
      <c r="C42" s="392"/>
      <c r="D42" s="392"/>
      <c r="E42" s="111" t="s">
        <v>532</v>
      </c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</row>
    <row r="43" spans="1:23" ht="27.6" customHeight="1" x14ac:dyDescent="0.3">
      <c r="A43" s="111" t="s">
        <v>533</v>
      </c>
      <c r="B43" s="417" t="s">
        <v>534</v>
      </c>
      <c r="C43" s="392"/>
      <c r="D43" s="392"/>
      <c r="E43" s="111" t="s">
        <v>535</v>
      </c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</row>
    <row r="44" spans="1:23" ht="27.6" customHeight="1" x14ac:dyDescent="0.3">
      <c r="A44" s="111" t="s">
        <v>536</v>
      </c>
      <c r="B44" s="417" t="s">
        <v>537</v>
      </c>
      <c r="C44" s="392"/>
      <c r="D44" s="392"/>
      <c r="E44" s="111" t="s">
        <v>538</v>
      </c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</row>
    <row r="45" spans="1:23" ht="41.4" customHeight="1" x14ac:dyDescent="0.3">
      <c r="A45" s="111" t="s">
        <v>539</v>
      </c>
      <c r="B45" s="417" t="s">
        <v>540</v>
      </c>
      <c r="C45" s="392"/>
      <c r="D45" s="392"/>
      <c r="E45" s="111" t="s">
        <v>541</v>
      </c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</row>
    <row r="46" spans="1:23" x14ac:dyDescent="0.3">
      <c r="A46" s="111" t="s">
        <v>542</v>
      </c>
      <c r="B46" s="417" t="s">
        <v>543</v>
      </c>
      <c r="C46" s="392"/>
      <c r="D46" s="392"/>
      <c r="E46" s="111" t="s">
        <v>544</v>
      </c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</row>
    <row r="47" spans="1:23" x14ac:dyDescent="0.3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</row>
    <row r="48" spans="1:23" x14ac:dyDescent="0.3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</row>
    <row r="49" spans="1:23" x14ac:dyDescent="0.3">
      <c r="A49" s="146" t="s">
        <v>545</v>
      </c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</row>
    <row r="50" spans="1:23" x14ac:dyDescent="0.3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</row>
    <row r="51" spans="1:23" x14ac:dyDescent="0.3">
      <c r="A51" s="110" t="s">
        <v>546</v>
      </c>
      <c r="B51" s="110"/>
      <c r="C51" s="114">
        <f>-Control!$B$15</f>
        <v>-6400000</v>
      </c>
      <c r="D51" s="110">
        <f>Control!$B$11*(((((((Control!$B$20*$A$7)*((Control!$B$28+Control!$B$29*(Control!$B$38-2))+(Control!$B$32+Control!$B$33*(Control!$B$38-2))+IF(AND(Control!$B$5&gt;0,Control!$B$6="Y",1&gt;=Control!$B$39),Control!$B$36,0))*POWER(1+Control!$B$17,0))+((((Control!$B$20*$A$7)*Control!$B$38*2+IF(AND(Control!$B$5&gt;0,Control!$B$6="Y",1&gt;=Control!$B$39),(Control!$B$20*$A$7)*2,0))*Control!$B$41)*(Control!$B$42+Control!$B$44)*POWER(1+Control!$B$17,0))+(Control!$B$46*POWER(1+Control!$B$17,0)))-(((Control!$B$20*$A$7)*((Control!$B$28+Control!$B$29*(Control!$B$38-2))+(Control!$B$32+Control!$B$33*(Control!$B$38-2))+IF(AND(Control!$B$5&gt;0,Control!$B$6="Y",1&gt;=Control!$B$39),Control!$B$36,0))*POWER(1+Control!$B$17,0))*Control!$B$52+(((Control!$B$20*$A$7)*Control!$B$38*2+IF(AND(Control!$B$5&gt;0,Control!$B$6="Y",1&gt;=Control!$B$39),(Control!$B$20*$A$7)*2,0))*Control!$B$41)*(Control!$B$43+Control!$B$45)*POWER(1+Control!$B$18,0)+Control!$B$47*POWER(1+Control!$B$18,0)+(Control!$B$48+Control!$B$49+Control!$B$50+Control!$B$51)*12*POWER(1+Control!$B$18,0)+((Control!$B$20*$A$7)*((Control!$B$28+Control!$B$29*(Control!$B$38-2))+(Control!$B$32+Control!$B$33*(Control!$B$38-2))+IF(AND(Control!$B$5&gt;0,Control!$B$6="Y",1&gt;=Control!$B$39),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842323.63051200251</v>
      </c>
      <c r="E51" s="110">
        <f>Control!$B$11*(((((((Control!$B$20*$A$7)*((Control!$B$28+Control!$B$29*(Control!$B$38-2))+(Control!$B$32+Control!$B$33*(Control!$B$38-2))+IF(AND(Control!$B$5&gt;0,Control!$B$6="Y",2&gt;=Control!$B$39),Control!$B$36,0))*POWER(1+Control!$B$17,1))+((((Control!$B$20*$A$7)*Control!$B$38*2+IF(AND(Control!$B$5&gt;0,Control!$B$6="Y",2&gt;=Control!$B$39),(Control!$B$20*$A$7)*2,0))*Control!$B$41)*(Control!$B$42+Control!$B$44)*POWER(1+Control!$B$17,1))+(Control!$B$46*POWER(1+Control!$B$17,1)))-(((Control!$B$20*$A$7)*((Control!$B$28+Control!$B$29*(Control!$B$38-2))+(Control!$B$32+Control!$B$33*(Control!$B$38-2))+IF(AND(Control!$B$5&gt;0,Control!$B$6="Y",2&gt;=Control!$B$39),Control!$B$36,0))*POWER(1+Control!$B$17,1))*Control!$B$52+(((Control!$B$20*$A$7)*Control!$B$38*2+IF(AND(Control!$B$5&gt;0,Control!$B$6="Y",2&gt;=Control!$B$39),(Control!$B$20*$A$7)*2,0))*Control!$B$41)*(Control!$B$43+Control!$B$45)*POWER(1+Control!$B$18,1)+Control!$B$47*POWER(1+Control!$B$18,1)+(Control!$B$48+Control!$B$49+Control!$B$50+Control!$B$51)*12*POWER(1+Control!$B$18,1)+((Control!$B$20*$A$7)*((Control!$B$28+Control!$B$29*(Control!$B$38-2))+(Control!$B$32+Control!$B$33*(Control!$B$38-2))+IF(AND(Control!$B$5&gt;0,Control!$B$6="Y",2&gt;=Control!$B$39),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884439.81203760288</v>
      </c>
      <c r="F51" s="110">
        <f>Control!$B$11*(((((((Control!$B$20*$A$7)*((Control!$B$28+Control!$B$29*(Control!$B$38-2))+(Control!$B$32+Control!$B$33*(Control!$B$38-2))+IF(AND(Control!$B$5&gt;0,Control!$B$6="Y",3&gt;=Control!$B$39),Control!$B$36,0))*POWER(1+Control!$B$17,2))+((((Control!$B$20*$A$7)*Control!$B$38*2+IF(AND(Control!$B$5&gt;0,Control!$B$6="Y",3&gt;=Control!$B$39),(Control!$B$20*$A$7)*2,0))*Control!$B$41)*(Control!$B$42+Control!$B$44)*POWER(1+Control!$B$17,2))+(Control!$B$46*POWER(1+Control!$B$17,2)))-(((Control!$B$20*$A$7)*((Control!$B$28+Control!$B$29*(Control!$B$38-2))+(Control!$B$32+Control!$B$33*(Control!$B$38-2))+IF(AND(Control!$B$5&gt;0,Control!$B$6="Y",3&gt;=Control!$B$39),Control!$B$36,0))*POWER(1+Control!$B$17,2))*Control!$B$52+(((Control!$B$20*$A$7)*Control!$B$38*2+IF(AND(Control!$B$5&gt;0,Control!$B$6="Y",3&gt;=Control!$B$39),(Control!$B$20*$A$7)*2,0))*Control!$B$41)*(Control!$B$43+Control!$B$45)*POWER(1+Control!$B$18,2)+Control!$B$47*POWER(1+Control!$B$18,2)+(Control!$B$48+Control!$B$49+Control!$B$50+Control!$B$51)*12*POWER(1+Control!$B$18,2)+((Control!$B$20*$A$7)*((Control!$B$28+Control!$B$29*(Control!$B$38-2))+(Control!$B$32+Control!$B$33*(Control!$B$38-2))+IF(AND(Control!$B$5&gt;0,Control!$B$6="Y",3&gt;=Control!$B$39),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928661.80263948278</v>
      </c>
      <c r="G51" s="110">
        <f>Control!$B$11*(((((((Control!$B$20*$A$7)*((Control!$B$28+Control!$B$29*(Control!$B$38-2))+(Control!$B$32+Control!$B$33*(Control!$B$38-2))+IF(AND(Control!$B$5&gt;0,Control!$B$6="Y",4&gt;=Control!$B$39),Control!$B$36,0))*POWER(1+Control!$B$17,3))+((((Control!$B$20*$A$7)*Control!$B$38*2+IF(AND(Control!$B$5&gt;0,Control!$B$6="Y",4&gt;=Control!$B$39),(Control!$B$20*$A$7)*2,0))*Control!$B$41)*(Control!$B$42+Control!$B$44)*POWER(1+Control!$B$17,3))+(Control!$B$46*POWER(1+Control!$B$17,3)))-(((Control!$B$20*$A$7)*((Control!$B$28+Control!$B$29*(Control!$B$38-2))+(Control!$B$32+Control!$B$33*(Control!$B$38-2))+IF(AND(Control!$B$5&gt;0,Control!$B$6="Y",4&gt;=Control!$B$39),Control!$B$36,0))*POWER(1+Control!$B$17,3))*Control!$B$52+(((Control!$B$20*$A$7)*Control!$B$38*2+IF(AND(Control!$B$5&gt;0,Control!$B$6="Y",4&gt;=Control!$B$39),(Control!$B$20*$A$7)*2,0))*Control!$B$41)*(Control!$B$43+Control!$B$45)*POWER(1+Control!$B$18,3)+Control!$B$47*POWER(1+Control!$B$18,3)+(Control!$B$48+Control!$B$49+Control!$B$50+Control!$B$51)*12*POWER(1+Control!$B$18,3)+((Control!$B$20*$A$7)*((Control!$B$28+Control!$B$29*(Control!$B$38-2))+(Control!$B$32+Control!$B$33*(Control!$B$38-2))+IF(AND(Control!$B$5&gt;0,Control!$B$6="Y",4&gt;=Control!$B$39),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975094.89277145709</v>
      </c>
      <c r="H51" s="110">
        <f>Control!$B$11*(((((((Control!$B$20*$A$7)*((Control!$B$28+Control!$B$29*(Control!$B$38-2))+(Control!$B$32+Control!$B$33*(Control!$B$38-2))+IF(AND(Control!$B$5&gt;0,Control!$B$6="Y",5&gt;=Control!$B$39),Control!$B$36,0))*POWER(1+Control!$B$17,4))+((((Control!$B$20*$A$7)*Control!$B$38*2+IF(AND(Control!$B$5&gt;0,Control!$B$6="Y",5&gt;=Control!$B$39),(Control!$B$20*$A$7)*2,0))*Control!$B$41)*(Control!$B$42+Control!$B$44)*POWER(1+Control!$B$17,4))+(Control!$B$46*POWER(1+Control!$B$17,4)))-(((Control!$B$20*$A$7)*((Control!$B$28+Control!$B$29*(Control!$B$38-2))+(Control!$B$32+Control!$B$33*(Control!$B$38-2))+IF(AND(Control!$B$5&gt;0,Control!$B$6="Y",5&gt;=Control!$B$39),Control!$B$36,0))*POWER(1+Control!$B$17,4))*Control!$B$52+(((Control!$B$20*$A$7)*Control!$B$38*2+IF(AND(Control!$B$5&gt;0,Control!$B$6="Y",5&gt;=Control!$B$39),(Control!$B$20*$A$7)*2,0))*Control!$B$41)*(Control!$B$43+Control!$B$45)*POWER(1+Control!$B$18,4)+Control!$B$47*POWER(1+Control!$B$18,4)+(Control!$B$48+Control!$B$49+Control!$B$50+Control!$B$51)*12*POWER(1+Control!$B$18,4)+((Control!$B$20*$A$7)*((Control!$B$28+Control!$B$29*(Control!$B$38-2))+(Control!$B$32+Control!$B$33*(Control!$B$38-2))+IF(AND(Control!$B$5&gt;0,Control!$B$6="Y",5&gt;=Control!$B$39),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1023849.6374100297</v>
      </c>
      <c r="I51" s="110">
        <f>Control!$B$11*(((((((Control!$B$20*$A$7)*((Control!$B$28+Control!$B$29*(Control!$B$38-2))+(Control!$B$32+Control!$B$33*(Control!$B$38-2))+IF(AND(Control!$B$5&gt;0,Control!$B$6="Y",6&gt;=Control!$B$39),Control!$B$36,0))*POWER(1+Control!$B$17,5))+((((Control!$B$20*$A$7)*Control!$B$38*2+IF(AND(Control!$B$5&gt;0,Control!$B$6="Y",6&gt;=Control!$B$39),(Control!$B$20*$A$7)*2,0))*Control!$B$41)*(Control!$B$42+Control!$B$44)*POWER(1+Control!$B$17,5))+(Control!$B$46*POWER(1+Control!$B$17,5)))-(((Control!$B$20*$A$7)*((Control!$B$28+Control!$B$29*(Control!$B$38-2))+(Control!$B$32+Control!$B$33*(Control!$B$38-2))+IF(AND(Control!$B$5&gt;0,Control!$B$6="Y",6&gt;=Control!$B$39),Control!$B$36,0))*POWER(1+Control!$B$17,5))*Control!$B$52+(((Control!$B$20*$A$7)*Control!$B$38*2+IF(AND(Control!$B$5&gt;0,Control!$B$6="Y",6&gt;=Control!$B$39),(Control!$B$20*$A$7)*2,0))*Control!$B$41)*(Control!$B$43+Control!$B$45)*POWER(1+Control!$B$18,5)+Control!$B$47*POWER(1+Control!$B$18,5)+(Control!$B$48+Control!$B$49+Control!$B$50+Control!$B$51)*12*POWER(1+Control!$B$18,5)+((Control!$B$20*$A$7)*((Control!$B$28+Control!$B$29*(Control!$B$38-2))+(Control!$B$32+Control!$B$33*(Control!$B$38-2))+IF(AND(Control!$B$5&gt;0,Control!$B$6="Y",6&gt;=Control!$B$39),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1075042.1192805315</v>
      </c>
      <c r="J51" s="110">
        <f>Control!$B$11*(((((((Control!$B$20*$A$7)*((Control!$B$28+Control!$B$29*(Control!$B$38-2))+(Control!$B$32+Control!$B$33*(Control!$B$38-2))+IF(AND(Control!$B$5&gt;0,Control!$B$6="Y",7&gt;=Control!$B$39),Control!$B$36,0))*POWER(1+Control!$B$17,6))+((((Control!$B$20*$A$7)*Control!$B$38*2+IF(AND(Control!$B$5&gt;0,Control!$B$6="Y",7&gt;=Control!$B$39),(Control!$B$20*$A$7)*2,0))*Control!$B$41)*(Control!$B$42+Control!$B$44)*POWER(1+Control!$B$17,6))+(Control!$B$46*POWER(1+Control!$B$17,6)))-(((Control!$B$20*$A$7)*((Control!$B$28+Control!$B$29*(Control!$B$38-2))+(Control!$B$32+Control!$B$33*(Control!$B$38-2))+IF(AND(Control!$B$5&gt;0,Control!$B$6="Y",7&gt;=Control!$B$39),Control!$B$36,0))*POWER(1+Control!$B$17,6))*Control!$B$52+(((Control!$B$20*$A$7)*Control!$B$38*2+IF(AND(Control!$B$5&gt;0,Control!$B$6="Y",7&gt;=Control!$B$39),(Control!$B$20*$A$7)*2,0))*Control!$B$41)*(Control!$B$43+Control!$B$45)*POWER(1+Control!$B$18,6)+Control!$B$47*POWER(1+Control!$B$18,6)+(Control!$B$48+Control!$B$49+Control!$B$50+Control!$B$51)*12*POWER(1+Control!$B$18,6)+((Control!$B$20*$A$7)*((Control!$B$28+Control!$B$29*(Control!$B$38-2))+(Control!$B$32+Control!$B$33*(Control!$B$38-2))+IF(AND(Control!$B$5&gt;0,Control!$B$6="Y",7&gt;=Control!$B$39),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1128794.2252445577</v>
      </c>
      <c r="K51" s="110">
        <f>Control!$B$11*(((((((Control!$B$20*$A$7)*((Control!$B$28+Control!$B$29*(Control!$B$38-2))+(Control!$B$32+Control!$B$33*(Control!$B$38-2))+IF(AND(Control!$B$5&gt;0,Control!$B$6="Y",8&gt;=Control!$B$39),Control!$B$36,0))*POWER(1+Control!$B$17,7))+((((Control!$B$20*$A$7)*Control!$B$38*2+IF(AND(Control!$B$5&gt;0,Control!$B$6="Y",8&gt;=Control!$B$39),(Control!$B$20*$A$7)*2,0))*Control!$B$41)*(Control!$B$42+Control!$B$44)*POWER(1+Control!$B$17,7))+(Control!$B$46*POWER(1+Control!$B$17,7)))-(((Control!$B$20*$A$7)*((Control!$B$28+Control!$B$29*(Control!$B$38-2))+(Control!$B$32+Control!$B$33*(Control!$B$38-2))+IF(AND(Control!$B$5&gt;0,Control!$B$6="Y",8&gt;=Control!$B$39),Control!$B$36,0))*POWER(1+Control!$B$17,7))*Control!$B$52+(((Control!$B$20*$A$7)*Control!$B$38*2+IF(AND(Control!$B$5&gt;0,Control!$B$6="Y",8&gt;=Control!$B$39),(Control!$B$20*$A$7)*2,0))*Control!$B$41)*(Control!$B$43+Control!$B$45)*POWER(1+Control!$B$18,7)+Control!$B$47*POWER(1+Control!$B$18,7)+(Control!$B$48+Control!$B$49+Control!$B$50+Control!$B$51)*12*POWER(1+Control!$B$18,7)+((Control!$B$20*$A$7)*((Control!$B$28+Control!$B$29*(Control!$B$38-2))+(Control!$B$32+Control!$B$33*(Control!$B$38-2))+IF(AND(Control!$B$5&gt;0,Control!$B$6="Y",8&gt;=Control!$B$39),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1185233.9365067862</v>
      </c>
      <c r="L51" s="110">
        <f>Control!$B$11*(((((((Control!$B$20*$A$7)*((Control!$B$28+Control!$B$29*(Control!$B$38-2))+(Control!$B$32+Control!$B$33*(Control!$B$38-2))+IF(AND(Control!$B$5&gt;0,Control!$B$6="Y",9&gt;=Control!$B$39),Control!$B$36,0))*POWER(1+Control!$B$17,8))+((((Control!$B$20*$A$7)*Control!$B$38*2+IF(AND(Control!$B$5&gt;0,Control!$B$6="Y",9&gt;=Control!$B$39),(Control!$B$20*$A$7)*2,0))*Control!$B$41)*(Control!$B$42+Control!$B$44)*POWER(1+Control!$B$17,8))+(Control!$B$46*POWER(1+Control!$B$17,8)))-(((Control!$B$20*$A$7)*((Control!$B$28+Control!$B$29*(Control!$B$38-2))+(Control!$B$32+Control!$B$33*(Control!$B$38-2))+IF(AND(Control!$B$5&gt;0,Control!$B$6="Y",9&gt;=Control!$B$39),Control!$B$36,0))*POWER(1+Control!$B$17,8))*Control!$B$52+(((Control!$B$20*$A$7)*Control!$B$38*2+IF(AND(Control!$B$5&gt;0,Control!$B$6="Y",9&gt;=Control!$B$39),(Control!$B$20*$A$7)*2,0))*Control!$B$41)*(Control!$B$43+Control!$B$45)*POWER(1+Control!$B$18,8)+Control!$B$47*POWER(1+Control!$B$18,8)+(Control!$B$48+Control!$B$49+Control!$B$50+Control!$B$51)*12*POWER(1+Control!$B$18,8)+((Control!$B$20*$A$7)*((Control!$B$28+Control!$B$29*(Control!$B$38-2))+(Control!$B$32+Control!$B$33*(Control!$B$38-2))+IF(AND(Control!$B$5&gt;0,Control!$B$6="Y",9&gt;=Control!$B$39),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1244495.6333321249</v>
      </c>
      <c r="M51" s="110">
        <f>Control!$B$11*(((((((Control!$B$20*$A$7)*((Control!$B$28+Control!$B$29*(Control!$B$38-2))+(Control!$B$32+Control!$B$33*(Control!$B$38-2))+IF(AND(Control!$B$5&gt;0,Control!$B$6="Y",10&gt;=Control!$B$39),Control!$B$36,0))*POWER(1+Control!$B$17,9))+((((Control!$B$20*$A$7)*Control!$B$38*2+IF(AND(Control!$B$5&gt;0,Control!$B$6="Y",10&gt;=Control!$B$39),(Control!$B$20*$A$7)*2,0))*Control!$B$41)*(Control!$B$42+Control!$B$44)*POWER(1+Control!$B$17,9))+(Control!$B$46*POWER(1+Control!$B$17,9)))-(((Control!$B$20*$A$7)*((Control!$B$28+Control!$B$29*(Control!$B$38-2))+(Control!$B$32+Control!$B$33*(Control!$B$38-2))+IF(AND(Control!$B$5&gt;0,Control!$B$6="Y",10&gt;=Control!$B$39),Control!$B$36,0))*POWER(1+Control!$B$17,9))*Control!$B$52+(((Control!$B$20*$A$7)*Control!$B$38*2+IF(AND(Control!$B$5&gt;0,Control!$B$6="Y",10&gt;=Control!$B$39),(Control!$B$20*$A$7)*2,0))*Control!$B$41)*(Control!$B$43+Control!$B$45)*POWER(1+Control!$B$18,9)+Control!$B$47*POWER(1+Control!$B$18,9)+(Control!$B$48+Control!$B$49+Control!$B$50+Control!$B$51)*12*POWER(1+Control!$B$18,9)+((Control!$B$20*$A$7)*((Control!$B$28+Control!$B$29*(Control!$B$38-2))+(Control!$B$32+Control!$B$33*(Control!$B$38-2))+IF(AND(Control!$B$5&gt;0,Control!$B$6="Y",10&gt;=Control!$B$39),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1306720.4149987313</v>
      </c>
      <c r="N51" s="110">
        <f>Control!$B$11*(((((((Control!$B$20*$A$7)*((Control!$B$28+Control!$B$29*(Control!$B$38-2))+(Control!$B$32+Control!$B$33*(Control!$B$38-2))+IF(AND(Control!$B$5&gt;0,Control!$B$6="Y",11&gt;=Control!$B$39),Control!$B$36,0))*POWER(1+Control!$B$17,10))+((((Control!$B$20*$A$7)*Control!$B$38*2+IF(AND(Control!$B$5&gt;0,Control!$B$6="Y",11&gt;=Control!$B$39),(Control!$B$20*$A$7)*2,0))*Control!$B$41)*(Control!$B$42+Control!$B$44)*POWER(1+Control!$B$17,10))+(Control!$B$46*POWER(1+Control!$B$17,10)))-(((Control!$B$20*$A$7)*((Control!$B$28+Control!$B$29*(Control!$B$38-2))+(Control!$B$32+Control!$B$33*(Control!$B$38-2))+IF(AND(Control!$B$5&gt;0,Control!$B$6="Y",11&gt;=Control!$B$39),Control!$B$36,0))*POWER(1+Control!$B$17,10))*Control!$B$52+(((Control!$B$20*$A$7)*Control!$B$38*2+IF(AND(Control!$B$5&gt;0,Control!$B$6="Y",11&gt;=Control!$B$39),(Control!$B$20*$A$7)*2,0))*Control!$B$41)*(Control!$B$43+Control!$B$45)*POWER(1+Control!$B$18,10)+Control!$B$47*POWER(1+Control!$B$18,10)+(Control!$B$48+Control!$B$49+Control!$B$50+Control!$B$51)*12*POWER(1+Control!$B$18,10)+((Control!$B$20*$A$7)*((Control!$B$28+Control!$B$29*(Control!$B$38-2))+(Control!$B$32+Control!$B$33*(Control!$B$38-2))+IF(AND(Control!$B$5&gt;0,Control!$B$6="Y",11&gt;=Control!$B$39),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1372056.4357486682</v>
      </c>
      <c r="O51" s="110">
        <f>Control!$B$11*(((((((Control!$B$20*$A$7)*((Control!$B$28+Control!$B$29*(Control!$B$38-2))+(Control!$B$32+Control!$B$33*(Control!$B$38-2))+IF(AND(Control!$B$5&gt;0,Control!$B$6="Y",12&gt;=Control!$B$39),Control!$B$36,0))*POWER(1+Control!$B$17,11))+((((Control!$B$20*$A$7)*Control!$B$38*2+IF(AND(Control!$B$5&gt;0,Control!$B$6="Y",12&gt;=Control!$B$39),(Control!$B$20*$A$7)*2,0))*Control!$B$41)*(Control!$B$42+Control!$B$44)*POWER(1+Control!$B$17,11))+(Control!$B$46*POWER(1+Control!$B$17,11)))-(((Control!$B$20*$A$7)*((Control!$B$28+Control!$B$29*(Control!$B$38-2))+(Control!$B$32+Control!$B$33*(Control!$B$38-2))+IF(AND(Control!$B$5&gt;0,Control!$B$6="Y",12&gt;=Control!$B$39),Control!$B$36,0))*POWER(1+Control!$B$17,11))*Control!$B$52+(((Control!$B$20*$A$7)*Control!$B$38*2+IF(AND(Control!$B$5&gt;0,Control!$B$6="Y",12&gt;=Control!$B$39),(Control!$B$20*$A$7)*2,0))*Control!$B$41)*(Control!$B$43+Control!$B$45)*POWER(1+Control!$B$18,11)+Control!$B$47*POWER(1+Control!$B$18,11)+(Control!$B$48+Control!$B$49+Control!$B$50+Control!$B$51)*12*POWER(1+Control!$B$18,11)+((Control!$B$20*$A$7)*((Control!$B$28+Control!$B$29*(Control!$B$38-2))+(Control!$B$32+Control!$B$33*(Control!$B$38-2))+IF(AND(Control!$B$5&gt;0,Control!$B$6="Y",12&gt;=Control!$B$39),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1440659.2575361014</v>
      </c>
      <c r="P51" s="110">
        <f>Control!$B$11*(((((((Control!$B$20*$A$7)*((Control!$B$28+Control!$B$29*(Control!$B$38-2))+(Control!$B$32+Control!$B$33*(Control!$B$38-2))+IF(AND(Control!$B$5&gt;0,Control!$B$6="Y",13&gt;=Control!$B$39),Control!$B$36,0))*POWER(1+Control!$B$17,12))+((((Control!$B$20*$A$7)*Control!$B$38*2+IF(AND(Control!$B$5&gt;0,Control!$B$6="Y",13&gt;=Control!$B$39),(Control!$B$20*$A$7)*2,0))*Control!$B$41)*(Control!$B$42+Control!$B$44)*POWER(1+Control!$B$17,12))+(Control!$B$46*POWER(1+Control!$B$17,12)))-(((Control!$B$20*$A$7)*((Control!$B$28+Control!$B$29*(Control!$B$38-2))+(Control!$B$32+Control!$B$33*(Control!$B$38-2))+IF(AND(Control!$B$5&gt;0,Control!$B$6="Y",13&gt;=Control!$B$39),Control!$B$36,0))*POWER(1+Control!$B$17,12))*Control!$B$52+(((Control!$B$20*$A$7)*Control!$B$38*2+IF(AND(Control!$B$5&gt;0,Control!$B$6="Y",13&gt;=Control!$B$39),(Control!$B$20*$A$7)*2,0))*Control!$B$41)*(Control!$B$43+Control!$B$45)*POWER(1+Control!$B$18,12)+Control!$B$47*POWER(1+Control!$B$18,12)+(Control!$B$48+Control!$B$49+Control!$B$50+Control!$B$51)*12*POWER(1+Control!$B$18,12)+((Control!$B$20*$A$7)*((Control!$B$28+Control!$B$29*(Control!$B$38-2))+(Control!$B$32+Control!$B$33*(Control!$B$38-2))+IF(AND(Control!$B$5&gt;0,Control!$B$6="Y",13&gt;=Control!$B$39),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1512692.2204129063</v>
      </c>
      <c r="Q51" s="110">
        <f>Control!$B$11*(((((((Control!$B$20*$A$7)*((Control!$B$28+Control!$B$29*(Control!$B$38-2))+(Control!$B$32+Control!$B$33*(Control!$B$38-2))+IF(AND(Control!$B$5&gt;0,Control!$B$6="Y",14&gt;=Control!$B$39),Control!$B$36,0))*POWER(1+Control!$B$17,13))+((((Control!$B$20*$A$7)*Control!$B$38*2+IF(AND(Control!$B$5&gt;0,Control!$B$6="Y",14&gt;=Control!$B$39),(Control!$B$20*$A$7)*2,0))*Control!$B$41)*(Control!$B$42+Control!$B$44)*POWER(1+Control!$B$17,13))+(Control!$B$46*POWER(1+Control!$B$17,13)))-(((Control!$B$20*$A$7)*((Control!$B$28+Control!$B$29*(Control!$B$38-2))+(Control!$B$32+Control!$B$33*(Control!$B$38-2))+IF(AND(Control!$B$5&gt;0,Control!$B$6="Y",14&gt;=Control!$B$39),Control!$B$36,0))*POWER(1+Control!$B$17,13))*Control!$B$52+(((Control!$B$20*$A$7)*Control!$B$38*2+IF(AND(Control!$B$5&gt;0,Control!$B$6="Y",14&gt;=Control!$B$39),(Control!$B$20*$A$7)*2,0))*Control!$B$41)*(Control!$B$43+Control!$B$45)*POWER(1+Control!$B$18,13)+Control!$B$47*POWER(1+Control!$B$18,13)+(Control!$B$48+Control!$B$49+Control!$B$50+Control!$B$51)*12*POWER(1+Control!$B$18,13)+((Control!$B$20*$A$7)*((Control!$B$28+Control!$B$29*(Control!$B$38-2))+(Control!$B$32+Control!$B$33*(Control!$B$38-2))+IF(AND(Control!$B$5&gt;0,Control!$B$6="Y",14&gt;=Control!$B$39),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1588326.8314335521</v>
      </c>
      <c r="R51" s="110">
        <f>Control!$B$11*(((((((Control!$B$20*$A$7)*((Control!$B$28+Control!$B$29*(Control!$B$38-2))+(Control!$B$32+Control!$B$33*(Control!$B$38-2))+IF(AND(Control!$B$5&gt;0,Control!$B$6="Y",15&gt;=Control!$B$39),Control!$B$36,0))*POWER(1+Control!$B$17,14))+((((Control!$B$20*$A$7)*Control!$B$38*2+IF(AND(Control!$B$5&gt;0,Control!$B$6="Y",15&gt;=Control!$B$39),(Control!$B$20*$A$7)*2,0))*Control!$B$41)*(Control!$B$42+Control!$B$44)*POWER(1+Control!$B$17,14))+(Control!$B$46*POWER(1+Control!$B$17,14)))-(((Control!$B$20*$A$7)*((Control!$B$28+Control!$B$29*(Control!$B$38-2))+(Control!$B$32+Control!$B$33*(Control!$B$38-2))+IF(AND(Control!$B$5&gt;0,Control!$B$6="Y",15&gt;=Control!$B$39),Control!$B$36,0))*POWER(1+Control!$B$17,14))*Control!$B$52+(((Control!$B$20*$A$7)*Control!$B$38*2+IF(AND(Control!$B$5&gt;0,Control!$B$6="Y",15&gt;=Control!$B$39),(Control!$B$20*$A$7)*2,0))*Control!$B$41)*(Control!$B$43+Control!$B$45)*POWER(1+Control!$B$18,14)+Control!$B$47*POWER(1+Control!$B$18,14)+(Control!$B$48+Control!$B$49+Control!$B$50+Control!$B$51)*12*POWER(1+Control!$B$18,14)+((Control!$B$20*$A$7)*((Control!$B$28+Control!$B$29*(Control!$B$38-2))+(Control!$B$32+Control!$B$33*(Control!$B$38-2))+IF(AND(Control!$B$5&gt;0,Control!$B$6="Y",15&gt;=Control!$B$39),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1667743.1730052293</v>
      </c>
      <c r="S51" s="110">
        <f>Control!$B$11*(((((((Control!$B$20*$A$7)*((Control!$B$28+Control!$B$29*(Control!$B$38-2))+(Control!$B$32+Control!$B$33*(Control!$B$38-2))+IF(AND(Control!$B$5&gt;0,Control!$B$6="Y",16&gt;=Control!$B$39),Control!$B$36,0))*POWER(1+Control!$B$17,15))+((((Control!$B$20*$A$7)*Control!$B$38*2+IF(AND(Control!$B$5&gt;0,Control!$B$6="Y",16&gt;=Control!$B$39),(Control!$B$20*$A$7)*2,0))*Control!$B$41)*(Control!$B$42+Control!$B$44)*POWER(1+Control!$B$17,15))+(Control!$B$46*POWER(1+Control!$B$17,15)))-(((Control!$B$20*$A$7)*((Control!$B$28+Control!$B$29*(Control!$B$38-2))+(Control!$B$32+Control!$B$33*(Control!$B$38-2))+IF(AND(Control!$B$5&gt;0,Control!$B$6="Y",16&gt;=Control!$B$39),Control!$B$36,0))*POWER(1+Control!$B$17,15))*Control!$B$52+(((Control!$B$20*$A$7)*Control!$B$38*2+IF(AND(Control!$B$5&gt;0,Control!$B$6="Y",16&gt;=Control!$B$39),(Control!$B$20*$A$7)*2,0))*Control!$B$41)*(Control!$B$43+Control!$B$45)*POWER(1+Control!$B$18,15)+Control!$B$47*POWER(1+Control!$B$18,15)+(Control!$B$48+Control!$B$49+Control!$B$50+Control!$B$51)*12*POWER(1+Control!$B$18,15)+((Control!$B$20*$A$7)*((Control!$B$28+Control!$B$29*(Control!$B$38-2))+(Control!$B$32+Control!$B$33*(Control!$B$38-2))+IF(AND(Control!$B$5&gt;0,Control!$B$6="Y",16&gt;=Control!$B$39),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1751130.3316554909</v>
      </c>
      <c r="T51" s="110">
        <f>Control!$B$11*(((((((Control!$B$20*$A$7)*((Control!$B$28+Control!$B$29*(Control!$B$38-2))+(Control!$B$32+Control!$B$33*(Control!$B$38-2))+IF(AND(Control!$B$5&gt;0,Control!$B$6="Y",17&gt;=Control!$B$39),Control!$B$36,0))*POWER(1+Control!$B$17,16))+((((Control!$B$20*$A$7)*Control!$B$38*2+IF(AND(Control!$B$5&gt;0,Control!$B$6="Y",17&gt;=Control!$B$39),(Control!$B$20*$A$7)*2,0))*Control!$B$41)*(Control!$B$42+Control!$B$44)*POWER(1+Control!$B$17,16))+(Control!$B$46*POWER(1+Control!$B$17,16)))-(((Control!$B$20*$A$7)*((Control!$B$28+Control!$B$29*(Control!$B$38-2))+(Control!$B$32+Control!$B$33*(Control!$B$38-2))+IF(AND(Control!$B$5&gt;0,Control!$B$6="Y",17&gt;=Control!$B$39),Control!$B$36,0))*POWER(1+Control!$B$17,16))*Control!$B$52+(((Control!$B$20*$A$7)*Control!$B$38*2+IF(AND(Control!$B$5&gt;0,Control!$B$6="Y",17&gt;=Control!$B$39),(Control!$B$20*$A$7)*2,0))*Control!$B$41)*(Control!$B$43+Control!$B$45)*POWER(1+Control!$B$18,16)+Control!$B$47*POWER(1+Control!$B$18,16)+(Control!$B$48+Control!$B$49+Control!$B$50+Control!$B$51)*12*POWER(1+Control!$B$18,16)+((Control!$B$20*$A$7)*((Control!$B$28+Control!$B$29*(Control!$B$38-2))+(Control!$B$32+Control!$B$33*(Control!$B$38-2))+IF(AND(Control!$B$5&gt;0,Control!$B$6="Y",17&gt;=Control!$B$39),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1838686.8482382656</v>
      </c>
      <c r="U51" s="110">
        <f>Control!$B$11*(((((((Control!$B$20*$A$7)*((Control!$B$28+Control!$B$29*(Control!$B$38-2))+(Control!$B$32+Control!$B$33*(Control!$B$38-2))+IF(AND(Control!$B$5&gt;0,Control!$B$6="Y",18&gt;=Control!$B$39),Control!$B$36,0))*POWER(1+Control!$B$17,17))+((((Control!$B$20*$A$7)*Control!$B$38*2+IF(AND(Control!$B$5&gt;0,Control!$B$6="Y",18&gt;=Control!$B$39),(Control!$B$20*$A$7)*2,0))*Control!$B$41)*(Control!$B$42+Control!$B$44)*POWER(1+Control!$B$17,17))+(Control!$B$46*POWER(1+Control!$B$17,17)))-(((Control!$B$20*$A$7)*((Control!$B$28+Control!$B$29*(Control!$B$38-2))+(Control!$B$32+Control!$B$33*(Control!$B$38-2))+IF(AND(Control!$B$5&gt;0,Control!$B$6="Y",18&gt;=Control!$B$39),Control!$B$36,0))*POWER(1+Control!$B$17,17))*Control!$B$52+(((Control!$B$20*$A$7)*Control!$B$38*2+IF(AND(Control!$B$5&gt;0,Control!$B$6="Y",18&gt;=Control!$B$39),(Control!$B$20*$A$7)*2,0))*Control!$B$41)*(Control!$B$43+Control!$B$45)*POWER(1+Control!$B$18,17)+Control!$B$47*POWER(1+Control!$B$18,17)+(Control!$B$48+Control!$B$49+Control!$B$50+Control!$B$51)*12*POWER(1+Control!$B$18,17)+((Control!$B$20*$A$7)*((Control!$B$28+Control!$B$29*(Control!$B$38-2))+(Control!$B$32+Control!$B$33*(Control!$B$38-2))+IF(AND(Control!$B$5&gt;0,Control!$B$6="Y",18&gt;=Control!$B$39),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1930621.1906501795</v>
      </c>
      <c r="V51" s="110">
        <f>Control!$B$11*(((((((Control!$B$20*$A$7)*((Control!$B$28+Control!$B$29*(Control!$B$38-2))+(Control!$B$32+Control!$B$33*(Control!$B$38-2))+IF(AND(Control!$B$5&gt;0,Control!$B$6="Y",19&gt;=Control!$B$39),Control!$B$36,0))*POWER(1+Control!$B$17,18))+((((Control!$B$20*$A$7)*Control!$B$38*2+IF(AND(Control!$B$5&gt;0,Control!$B$6="Y",19&gt;=Control!$B$39),(Control!$B$20*$A$7)*2,0))*Control!$B$41)*(Control!$B$42+Control!$B$44)*POWER(1+Control!$B$17,18))+(Control!$B$46*POWER(1+Control!$B$17,18)))-(((Control!$B$20*$A$7)*((Control!$B$28+Control!$B$29*(Control!$B$38-2))+(Control!$B$32+Control!$B$33*(Control!$B$38-2))+IF(AND(Control!$B$5&gt;0,Control!$B$6="Y",19&gt;=Control!$B$39),Control!$B$36,0))*POWER(1+Control!$B$17,18))*Control!$B$52+(((Control!$B$20*$A$7)*Control!$B$38*2+IF(AND(Control!$B$5&gt;0,Control!$B$6="Y",19&gt;=Control!$B$39),(Control!$B$20*$A$7)*2,0))*Control!$B$41)*(Control!$B$43+Control!$B$45)*POWER(1+Control!$B$18,18)+Control!$B$47*POWER(1+Control!$B$18,18)+(Control!$B$48+Control!$B$49+Control!$B$50+Control!$B$51)*12*POWER(1+Control!$B$18,18)+((Control!$B$20*$A$7)*((Control!$B$28+Control!$B$29*(Control!$B$38-2))+(Control!$B$32+Control!$B$33*(Control!$B$38-2))+IF(AND(Control!$B$5&gt;0,Control!$B$6="Y",19&gt;=Control!$B$39),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2027152.2501826885</v>
      </c>
      <c r="W51" s="110">
        <f>Control!$B$11*(((((((Control!$B$20*$A$7)*((Control!$B$28+Control!$B$29*(Control!$B$38-2))+(Control!$B$32+Control!$B$33*(Control!$B$38-2))+IF(AND(Control!$B$5&gt;0,Control!$B$6="Y",20&gt;=Control!$B$39),Control!$B$36,0))*POWER(1+Control!$B$17,19))+((((Control!$B$20*$A$7)*Control!$B$38*2+IF(AND(Control!$B$5&gt;0,Control!$B$6="Y",20&gt;=Control!$B$39),(Control!$B$20*$A$7)*2,0))*Control!$B$41)*(Control!$B$42+Control!$B$44)*POWER(1+Control!$B$17,19))+(Control!$B$46*POWER(1+Control!$B$17,19)))-(((Control!$B$20*$A$7)*((Control!$B$28+Control!$B$29*(Control!$B$38-2))+(Control!$B$32+Control!$B$33*(Control!$B$38-2))+IF(AND(Control!$B$5&gt;0,Control!$B$6="Y",20&gt;=Control!$B$39),Control!$B$36,0))*POWER(1+Control!$B$17,19))*Control!$B$52+(((Control!$B$20*$A$7)*Control!$B$38*2+IF(AND(Control!$B$5&gt;0,Control!$B$6="Y",20&gt;=Control!$B$39),(Control!$B$20*$A$7)*2,0))*Control!$B$41)*(Control!$B$43+Control!$B$45)*POWER(1+Control!$B$18,19)+Control!$B$47*POWER(1+Control!$B$18,19)+(Control!$B$48+Control!$B$49+Control!$B$50+Control!$B$51)*12*POWER(1+Control!$B$18,19)+((Control!$B$20*$A$7)*((Control!$B$28+Control!$B$29*(Control!$B$38-2))+(Control!$B$32+Control!$B$33*(Control!$B$38-2))+IF(AND(Control!$B$5&gt;0,Control!$B$6="Y",20&gt;=Control!$B$39),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Control!$B$78,20)*(1-Control!$B$79)</f>
        <v>18215453.848982446</v>
      </c>
    </row>
    <row r="52" spans="1:23" x14ac:dyDescent="0.3">
      <c r="A52" s="110" t="s">
        <v>547</v>
      </c>
      <c r="B52" s="110"/>
      <c r="C52" s="110"/>
      <c r="D52" s="110">
        <f>D51</f>
        <v>842323.63051200251</v>
      </c>
      <c r="E52" s="110">
        <f t="shared" ref="E52:V52" si="0">D52+E51</f>
        <v>1726763.4425496054</v>
      </c>
      <c r="F52" s="110">
        <f t="shared" si="0"/>
        <v>2655425.2451890884</v>
      </c>
      <c r="G52" s="110">
        <f t="shared" si="0"/>
        <v>3630520.1379605457</v>
      </c>
      <c r="H52" s="110">
        <f t="shared" si="0"/>
        <v>4654369.7753705755</v>
      </c>
      <c r="I52" s="110">
        <f t="shared" si="0"/>
        <v>5729411.8946511075</v>
      </c>
      <c r="J52" s="110">
        <f t="shared" si="0"/>
        <v>6858206.119895665</v>
      </c>
      <c r="K52" s="110">
        <f t="shared" si="0"/>
        <v>8043440.0564024514</v>
      </c>
      <c r="L52" s="110">
        <f t="shared" si="0"/>
        <v>9287935.6897345763</v>
      </c>
      <c r="M52" s="110">
        <f t="shared" si="0"/>
        <v>10594656.104733307</v>
      </c>
      <c r="N52" s="110">
        <f t="shared" si="0"/>
        <v>11966712.540481975</v>
      </c>
      <c r="O52" s="110">
        <f t="shared" si="0"/>
        <v>13407371.798018077</v>
      </c>
      <c r="P52" s="110">
        <f t="shared" si="0"/>
        <v>14920064.018430984</v>
      </c>
      <c r="Q52" s="110">
        <f t="shared" si="0"/>
        <v>16508390.849864535</v>
      </c>
      <c r="R52" s="110">
        <f t="shared" si="0"/>
        <v>18176134.022869766</v>
      </c>
      <c r="S52" s="110">
        <f t="shared" si="0"/>
        <v>19927264.354525257</v>
      </c>
      <c r="T52" s="110">
        <f t="shared" si="0"/>
        <v>21765951.202763524</v>
      </c>
      <c r="U52" s="110">
        <f t="shared" si="0"/>
        <v>23696572.393413704</v>
      </c>
      <c r="V52" s="110">
        <f t="shared" si="0"/>
        <v>25723724.643596392</v>
      </c>
      <c r="W52" s="110"/>
    </row>
    <row r="53" spans="1:23" x14ac:dyDescent="0.3">
      <c r="A53" s="110" t="s">
        <v>548</v>
      </c>
      <c r="B53" s="110"/>
      <c r="C53" s="114">
        <f>-Control!$B$15</f>
        <v>-6400000</v>
      </c>
      <c r="D53" s="110">
        <f>Control!$B$11*(((((((Control!$B$20*$A$8)*((Control!$B$28+Control!$B$29*(Control!$B$38-2))+(Control!$B$32+Control!$B$33*(Control!$B$38-2))+IF(AND(Control!$B$5&gt;0,Control!$B$6="Y",1&gt;=Control!$B$39),Control!$B$36,0))*POWER(1+Control!$B$17,0))+((((Control!$B$20*$A$8)*Control!$B$38*2+IF(AND(Control!$B$5&gt;0,Control!$B$6="Y",1&gt;=Control!$B$39),(Control!$B$20*$A$8)*2,0))*Control!$B$41)*(Control!$B$42+Control!$B$44)*POWER(1+Control!$B$17,0))+(Control!$B$46*POWER(1+Control!$B$17,0)))-(((Control!$B$20*$A$8)*((Control!$B$28+Control!$B$29*(Control!$B$38-2))+(Control!$B$32+Control!$B$33*(Control!$B$38-2))+IF(AND(Control!$B$5&gt;0,Control!$B$6="Y",1&gt;=Control!$B$39),Control!$B$36,0))*POWER(1+Control!$B$17,0))*Control!$B$52+(((Control!$B$20*$A$8)*Control!$B$38*2+IF(AND(Control!$B$5&gt;0,Control!$B$6="Y",1&gt;=Control!$B$39),(Control!$B$20*$A$8)*2,0))*Control!$B$41)*(Control!$B$43+Control!$B$45)*POWER(1+Control!$B$18,0)+Control!$B$47*POWER(1+Control!$B$18,0)+(Control!$B$48+Control!$B$49+Control!$B$50+Control!$B$51)*12*POWER(1+Control!$B$18,0)+((Control!$B$20*$A$8)*((Control!$B$28+Control!$B$29*(Control!$B$38-2))+(Control!$B$32+Control!$B$33*(Control!$B$38-2))+IF(AND(Control!$B$5&gt;0,Control!$B$6="Y",1&gt;=Control!$B$39),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888332.88426200254</v>
      </c>
      <c r="E53" s="110">
        <f>Control!$B$11*(((((((Control!$B$20*$A$8)*((Control!$B$28+Control!$B$29*(Control!$B$38-2))+(Control!$B$32+Control!$B$33*(Control!$B$38-2))+IF(AND(Control!$B$5&gt;0,Control!$B$6="Y",2&gt;=Control!$B$39),Control!$B$36,0))*POWER(1+Control!$B$17,1))+((((Control!$B$20*$A$8)*Control!$B$38*2+IF(AND(Control!$B$5&gt;0,Control!$B$6="Y",2&gt;=Control!$B$39),(Control!$B$20*$A$8)*2,0))*Control!$B$41)*(Control!$B$42+Control!$B$44)*POWER(1+Control!$B$17,1))+(Control!$B$46*POWER(1+Control!$B$17,1)))-(((Control!$B$20*$A$8)*((Control!$B$28+Control!$B$29*(Control!$B$38-2))+(Control!$B$32+Control!$B$33*(Control!$B$38-2))+IF(AND(Control!$B$5&gt;0,Control!$B$6="Y",2&gt;=Control!$B$39),Control!$B$36,0))*POWER(1+Control!$B$17,1))*Control!$B$52+(((Control!$B$20*$A$8)*Control!$B$38*2+IF(AND(Control!$B$5&gt;0,Control!$B$6="Y",2&gt;=Control!$B$39),(Control!$B$20*$A$8)*2,0))*Control!$B$41)*(Control!$B$43+Control!$B$45)*POWER(1+Control!$B$18,1)+Control!$B$47*POWER(1+Control!$B$18,1)+(Control!$B$48+Control!$B$49+Control!$B$50+Control!$B$51)*12*POWER(1+Control!$B$18,1)+((Control!$B$20*$A$8)*((Control!$B$28+Control!$B$29*(Control!$B$38-2))+(Control!$B$32+Control!$B$33*(Control!$B$38-2))+IF(AND(Control!$B$5&gt;0,Control!$B$6="Y",2&gt;=Control!$B$39),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932749.52847510274</v>
      </c>
      <c r="F53" s="110">
        <f>Control!$B$11*(((((((Control!$B$20*$A$8)*((Control!$B$28+Control!$B$29*(Control!$B$38-2))+(Control!$B$32+Control!$B$33*(Control!$B$38-2))+IF(AND(Control!$B$5&gt;0,Control!$B$6="Y",3&gt;=Control!$B$39),Control!$B$36,0))*POWER(1+Control!$B$17,2))+((((Control!$B$20*$A$8)*Control!$B$38*2+IF(AND(Control!$B$5&gt;0,Control!$B$6="Y",3&gt;=Control!$B$39),(Control!$B$20*$A$8)*2,0))*Control!$B$41)*(Control!$B$42+Control!$B$44)*POWER(1+Control!$B$17,2))+(Control!$B$46*POWER(1+Control!$B$17,2)))-(((Control!$B$20*$A$8)*((Control!$B$28+Control!$B$29*(Control!$B$38-2))+(Control!$B$32+Control!$B$33*(Control!$B$38-2))+IF(AND(Control!$B$5&gt;0,Control!$B$6="Y",3&gt;=Control!$B$39),Control!$B$36,0))*POWER(1+Control!$B$17,2))*Control!$B$52+(((Control!$B$20*$A$8)*Control!$B$38*2+IF(AND(Control!$B$5&gt;0,Control!$B$6="Y",3&gt;=Control!$B$39),(Control!$B$20*$A$8)*2,0))*Control!$B$41)*(Control!$B$43+Control!$B$45)*POWER(1+Control!$B$18,2)+Control!$B$47*POWER(1+Control!$B$18,2)+(Control!$B$48+Control!$B$49+Control!$B$50+Control!$B$51)*12*POWER(1+Control!$B$18,2)+((Control!$B$20*$A$8)*((Control!$B$28+Control!$B$29*(Control!$B$38-2))+(Control!$B$32+Control!$B$33*(Control!$B$38-2))+IF(AND(Control!$B$5&gt;0,Control!$B$6="Y",3&gt;=Control!$B$39),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979387.00489885767</v>
      </c>
      <c r="G53" s="110">
        <f>Control!$B$11*(((((((Control!$B$20*$A$8)*((Control!$B$28+Control!$B$29*(Control!$B$38-2))+(Control!$B$32+Control!$B$33*(Control!$B$38-2))+IF(AND(Control!$B$5&gt;0,Control!$B$6="Y",4&gt;=Control!$B$39),Control!$B$36,0))*POWER(1+Control!$B$17,3))+((((Control!$B$20*$A$8)*Control!$B$38*2+IF(AND(Control!$B$5&gt;0,Control!$B$6="Y",4&gt;=Control!$B$39),(Control!$B$20*$A$8)*2,0))*Control!$B$41)*(Control!$B$42+Control!$B$44)*POWER(1+Control!$B$17,3))+(Control!$B$46*POWER(1+Control!$B$17,3)))-(((Control!$B$20*$A$8)*((Control!$B$28+Control!$B$29*(Control!$B$38-2))+(Control!$B$32+Control!$B$33*(Control!$B$38-2))+IF(AND(Control!$B$5&gt;0,Control!$B$6="Y",4&gt;=Control!$B$39),Control!$B$36,0))*POWER(1+Control!$B$17,3))*Control!$B$52+(((Control!$B$20*$A$8)*Control!$B$38*2+IF(AND(Control!$B$5&gt;0,Control!$B$6="Y",4&gt;=Control!$B$39),(Control!$B$20*$A$8)*2,0))*Control!$B$41)*(Control!$B$43+Control!$B$45)*POWER(1+Control!$B$18,3)+Control!$B$47*POWER(1+Control!$B$18,3)+(Control!$B$48+Control!$B$49+Control!$B$50+Control!$B$51)*12*POWER(1+Control!$B$18,3)+((Control!$B$20*$A$8)*((Control!$B$28+Control!$B$29*(Control!$B$38-2))+(Control!$B$32+Control!$B$33*(Control!$B$38-2))+IF(AND(Control!$B$5&gt;0,Control!$B$6="Y",4&gt;=Control!$B$39),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1028356.355143801</v>
      </c>
      <c r="H53" s="110">
        <f>Control!$B$11*(((((((Control!$B$20*$A$8)*((Control!$B$28+Control!$B$29*(Control!$B$38-2))+(Control!$B$32+Control!$B$33*(Control!$B$38-2))+IF(AND(Control!$B$5&gt;0,Control!$B$6="Y",5&gt;=Control!$B$39),Control!$B$36,0))*POWER(1+Control!$B$17,4))+((((Control!$B$20*$A$8)*Control!$B$38*2+IF(AND(Control!$B$5&gt;0,Control!$B$6="Y",5&gt;=Control!$B$39),(Control!$B$20*$A$8)*2,0))*Control!$B$41)*(Control!$B$42+Control!$B$44)*POWER(1+Control!$B$17,4))+(Control!$B$46*POWER(1+Control!$B$17,4)))-(((Control!$B$20*$A$8)*((Control!$B$28+Control!$B$29*(Control!$B$38-2))+(Control!$B$32+Control!$B$33*(Control!$B$38-2))+IF(AND(Control!$B$5&gt;0,Control!$B$6="Y",5&gt;=Control!$B$39),Control!$B$36,0))*POWER(1+Control!$B$17,4))*Control!$B$52+(((Control!$B$20*$A$8)*Control!$B$38*2+IF(AND(Control!$B$5&gt;0,Control!$B$6="Y",5&gt;=Control!$B$39),(Control!$B$20*$A$8)*2,0))*Control!$B$41)*(Control!$B$43+Control!$B$45)*POWER(1+Control!$B$18,4)+Control!$B$47*POWER(1+Control!$B$18,4)+(Control!$B$48+Control!$B$49+Control!$B$50+Control!$B$51)*12*POWER(1+Control!$B$18,4)+((Control!$B$20*$A$8)*((Control!$B$28+Control!$B$29*(Control!$B$38-2))+(Control!$B$32+Control!$B$33*(Control!$B$38-2))+IF(AND(Control!$B$5&gt;0,Control!$B$6="Y",5&gt;=Control!$B$39),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1079774.1729009906</v>
      </c>
      <c r="I53" s="110">
        <f>Control!$B$11*(((((((Control!$B$20*$A$8)*((Control!$B$28+Control!$B$29*(Control!$B$38-2))+(Control!$B$32+Control!$B$33*(Control!$B$38-2))+IF(AND(Control!$B$5&gt;0,Control!$B$6="Y",6&gt;=Control!$B$39),Control!$B$36,0))*POWER(1+Control!$B$17,5))+((((Control!$B$20*$A$8)*Control!$B$38*2+IF(AND(Control!$B$5&gt;0,Control!$B$6="Y",6&gt;=Control!$B$39),(Control!$B$20*$A$8)*2,0))*Control!$B$41)*(Control!$B$42+Control!$B$44)*POWER(1+Control!$B$17,5))+(Control!$B$46*POWER(1+Control!$B$17,5)))-(((Control!$B$20*$A$8)*((Control!$B$28+Control!$B$29*(Control!$B$38-2))+(Control!$B$32+Control!$B$33*(Control!$B$38-2))+IF(AND(Control!$B$5&gt;0,Control!$B$6="Y",6&gt;=Control!$B$39),Control!$B$36,0))*POWER(1+Control!$B$17,5))*Control!$B$52+(((Control!$B$20*$A$8)*Control!$B$38*2+IF(AND(Control!$B$5&gt;0,Control!$B$6="Y",6&gt;=Control!$B$39),(Control!$B$20*$A$8)*2,0))*Control!$B$41)*(Control!$B$43+Control!$B$45)*POWER(1+Control!$B$18,5)+Control!$B$47*POWER(1+Control!$B$18,5)+(Control!$B$48+Control!$B$49+Control!$B$50+Control!$B$51)*12*POWER(1+Control!$B$18,5)+((Control!$B$20*$A$8)*((Control!$B$28+Control!$B$29*(Control!$B$38-2))+(Control!$B$32+Control!$B$33*(Control!$B$38-2))+IF(AND(Control!$B$5&gt;0,Control!$B$6="Y",6&gt;=Control!$B$39),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1133762.8815460401</v>
      </c>
      <c r="J53" s="110">
        <f>Control!$B$11*(((((((Control!$B$20*$A$8)*((Control!$B$28+Control!$B$29*(Control!$B$38-2))+(Control!$B$32+Control!$B$33*(Control!$B$38-2))+IF(AND(Control!$B$5&gt;0,Control!$B$6="Y",7&gt;=Control!$B$39),Control!$B$36,0))*POWER(1+Control!$B$17,6))+((((Control!$B$20*$A$8)*Control!$B$38*2+IF(AND(Control!$B$5&gt;0,Control!$B$6="Y",7&gt;=Control!$B$39),(Control!$B$20*$A$8)*2,0))*Control!$B$41)*(Control!$B$42+Control!$B$44)*POWER(1+Control!$B$17,6))+(Control!$B$46*POWER(1+Control!$B$17,6)))-(((Control!$B$20*$A$8)*((Control!$B$28+Control!$B$29*(Control!$B$38-2))+(Control!$B$32+Control!$B$33*(Control!$B$38-2))+IF(AND(Control!$B$5&gt;0,Control!$B$6="Y",7&gt;=Control!$B$39),Control!$B$36,0))*POWER(1+Control!$B$17,6))*Control!$B$52+(((Control!$B$20*$A$8)*Control!$B$38*2+IF(AND(Control!$B$5&gt;0,Control!$B$6="Y",7&gt;=Control!$B$39),(Control!$B$20*$A$8)*2,0))*Control!$B$41)*(Control!$B$43+Control!$B$45)*POWER(1+Control!$B$18,6)+Control!$B$47*POWER(1+Control!$B$18,6)+(Control!$B$48+Control!$B$49+Control!$B$50+Control!$B$51)*12*POWER(1+Control!$B$18,6)+((Control!$B$20*$A$8)*((Control!$B$28+Control!$B$29*(Control!$B$38-2))+(Control!$B$32+Control!$B$33*(Control!$B$38-2))+IF(AND(Control!$B$5&gt;0,Control!$B$6="Y",7&gt;=Control!$B$39),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1190451.025623342</v>
      </c>
      <c r="K53" s="110">
        <f>Control!$B$11*(((((((Control!$B$20*$A$8)*((Control!$B$28+Control!$B$29*(Control!$B$38-2))+(Control!$B$32+Control!$B$33*(Control!$B$38-2))+IF(AND(Control!$B$5&gt;0,Control!$B$6="Y",8&gt;=Control!$B$39),Control!$B$36,0))*POWER(1+Control!$B$17,7))+((((Control!$B$20*$A$8)*Control!$B$38*2+IF(AND(Control!$B$5&gt;0,Control!$B$6="Y",8&gt;=Control!$B$39),(Control!$B$20*$A$8)*2,0))*Control!$B$41)*(Control!$B$42+Control!$B$44)*POWER(1+Control!$B$17,7))+(Control!$B$46*POWER(1+Control!$B$17,7)))-(((Control!$B$20*$A$8)*((Control!$B$28+Control!$B$29*(Control!$B$38-2))+(Control!$B$32+Control!$B$33*(Control!$B$38-2))+IF(AND(Control!$B$5&gt;0,Control!$B$6="Y",8&gt;=Control!$B$39),Control!$B$36,0))*POWER(1+Control!$B$17,7))*Control!$B$52+(((Control!$B$20*$A$8)*Control!$B$38*2+IF(AND(Control!$B$5&gt;0,Control!$B$6="Y",8&gt;=Control!$B$39),(Control!$B$20*$A$8)*2,0))*Control!$B$41)*(Control!$B$43+Control!$B$45)*POWER(1+Control!$B$18,7)+Control!$B$47*POWER(1+Control!$B$18,7)+(Control!$B$48+Control!$B$49+Control!$B$50+Control!$B$51)*12*POWER(1+Control!$B$18,7)+((Control!$B$20*$A$8)*((Control!$B$28+Control!$B$29*(Control!$B$38-2))+(Control!$B$32+Control!$B$33*(Control!$B$38-2))+IF(AND(Control!$B$5&gt;0,Control!$B$6="Y",8&gt;=Control!$B$39),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1249973.5769045097</v>
      </c>
      <c r="L53" s="110">
        <f>Control!$B$11*(((((((Control!$B$20*$A$8)*((Control!$B$28+Control!$B$29*(Control!$B$38-2))+(Control!$B$32+Control!$B$33*(Control!$B$38-2))+IF(AND(Control!$B$5&gt;0,Control!$B$6="Y",9&gt;=Control!$B$39),Control!$B$36,0))*POWER(1+Control!$B$17,8))+((((Control!$B$20*$A$8)*Control!$B$38*2+IF(AND(Control!$B$5&gt;0,Control!$B$6="Y",9&gt;=Control!$B$39),(Control!$B$20*$A$8)*2,0))*Control!$B$41)*(Control!$B$42+Control!$B$44)*POWER(1+Control!$B$17,8))+(Control!$B$46*POWER(1+Control!$B$17,8)))-(((Control!$B$20*$A$8)*((Control!$B$28+Control!$B$29*(Control!$B$38-2))+(Control!$B$32+Control!$B$33*(Control!$B$38-2))+IF(AND(Control!$B$5&gt;0,Control!$B$6="Y",9&gt;=Control!$B$39),Control!$B$36,0))*POWER(1+Control!$B$17,8))*Control!$B$52+(((Control!$B$20*$A$8)*Control!$B$38*2+IF(AND(Control!$B$5&gt;0,Control!$B$6="Y",9&gt;=Control!$B$39),(Control!$B$20*$A$8)*2,0))*Control!$B$41)*(Control!$B$43+Control!$B$45)*POWER(1+Control!$B$18,8)+Control!$B$47*POWER(1+Control!$B$18,8)+(Control!$B$48+Control!$B$49+Control!$B$50+Control!$B$51)*12*POWER(1+Control!$B$18,8)+((Control!$B$20*$A$8)*((Control!$B$28+Control!$B$29*(Control!$B$38-2))+(Control!$B$32+Control!$B$33*(Control!$B$38-2))+IF(AND(Control!$B$5&gt;0,Control!$B$6="Y",9&gt;=Control!$B$39),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1312472.255749735</v>
      </c>
      <c r="M53" s="110">
        <f>Control!$B$11*(((((((Control!$B$20*$A$8)*((Control!$B$28+Control!$B$29*(Control!$B$38-2))+(Control!$B$32+Control!$B$33*(Control!$B$38-2))+IF(AND(Control!$B$5&gt;0,Control!$B$6="Y",10&gt;=Control!$B$39),Control!$B$36,0))*POWER(1+Control!$B$17,9))+((((Control!$B$20*$A$8)*Control!$B$38*2+IF(AND(Control!$B$5&gt;0,Control!$B$6="Y",10&gt;=Control!$B$39),(Control!$B$20*$A$8)*2,0))*Control!$B$41)*(Control!$B$42+Control!$B$44)*POWER(1+Control!$B$17,9))+(Control!$B$46*POWER(1+Control!$B$17,9)))-(((Control!$B$20*$A$8)*((Control!$B$28+Control!$B$29*(Control!$B$38-2))+(Control!$B$32+Control!$B$33*(Control!$B$38-2))+IF(AND(Control!$B$5&gt;0,Control!$B$6="Y",10&gt;=Control!$B$39),Control!$B$36,0))*POWER(1+Control!$B$17,9))*Control!$B$52+(((Control!$B$20*$A$8)*Control!$B$38*2+IF(AND(Control!$B$5&gt;0,Control!$B$6="Y",10&gt;=Control!$B$39),(Control!$B$20*$A$8)*2,0))*Control!$B$41)*(Control!$B$43+Control!$B$45)*POWER(1+Control!$B$18,9)+Control!$B$47*POWER(1+Control!$B$18,9)+(Control!$B$48+Control!$B$49+Control!$B$50+Control!$B$51)*12*POWER(1+Control!$B$18,9)+((Control!$B$20*$A$8)*((Control!$B$28+Control!$B$29*(Control!$B$38-2))+(Control!$B$32+Control!$B$33*(Control!$B$38-2))+IF(AND(Control!$B$5&gt;0,Control!$B$6="Y",10&gt;=Control!$B$39),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1378095.8685372216</v>
      </c>
      <c r="N53" s="110">
        <f>Control!$B$11*(((((((Control!$B$20*$A$8)*((Control!$B$28+Control!$B$29*(Control!$B$38-2))+(Control!$B$32+Control!$B$33*(Control!$B$38-2))+IF(AND(Control!$B$5&gt;0,Control!$B$6="Y",11&gt;=Control!$B$39),Control!$B$36,0))*POWER(1+Control!$B$17,10))+((((Control!$B$20*$A$8)*Control!$B$38*2+IF(AND(Control!$B$5&gt;0,Control!$B$6="Y",11&gt;=Control!$B$39),(Control!$B$20*$A$8)*2,0))*Control!$B$41)*(Control!$B$42+Control!$B$44)*POWER(1+Control!$B$17,10))+(Control!$B$46*POWER(1+Control!$B$17,10)))-(((Control!$B$20*$A$8)*((Control!$B$28+Control!$B$29*(Control!$B$38-2))+(Control!$B$32+Control!$B$33*(Control!$B$38-2))+IF(AND(Control!$B$5&gt;0,Control!$B$6="Y",11&gt;=Control!$B$39),Control!$B$36,0))*POWER(1+Control!$B$17,10))*Control!$B$52+(((Control!$B$20*$A$8)*Control!$B$38*2+IF(AND(Control!$B$5&gt;0,Control!$B$6="Y",11&gt;=Control!$B$39),(Control!$B$20*$A$8)*2,0))*Control!$B$41)*(Control!$B$43+Control!$B$45)*POWER(1+Control!$B$18,10)+Control!$B$47*POWER(1+Control!$B$18,10)+(Control!$B$48+Control!$B$49+Control!$B$50+Control!$B$51)*12*POWER(1+Control!$B$18,10)+((Control!$B$20*$A$8)*((Control!$B$28+Control!$B$29*(Control!$B$38-2))+(Control!$B$32+Control!$B$33*(Control!$B$38-2))+IF(AND(Control!$B$5&gt;0,Control!$B$6="Y",11&gt;=Control!$B$39),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1447000.6619640826</v>
      </c>
      <c r="O53" s="110">
        <f>Control!$B$11*(((((((Control!$B$20*$A$8)*((Control!$B$28+Control!$B$29*(Control!$B$38-2))+(Control!$B$32+Control!$B$33*(Control!$B$38-2))+IF(AND(Control!$B$5&gt;0,Control!$B$6="Y",12&gt;=Control!$B$39),Control!$B$36,0))*POWER(1+Control!$B$17,11))+((((Control!$B$20*$A$8)*Control!$B$38*2+IF(AND(Control!$B$5&gt;0,Control!$B$6="Y",12&gt;=Control!$B$39),(Control!$B$20*$A$8)*2,0))*Control!$B$41)*(Control!$B$42+Control!$B$44)*POWER(1+Control!$B$17,11))+(Control!$B$46*POWER(1+Control!$B$17,11)))-(((Control!$B$20*$A$8)*((Control!$B$28+Control!$B$29*(Control!$B$38-2))+(Control!$B$32+Control!$B$33*(Control!$B$38-2))+IF(AND(Control!$B$5&gt;0,Control!$B$6="Y",12&gt;=Control!$B$39),Control!$B$36,0))*POWER(1+Control!$B$17,11))*Control!$B$52+(((Control!$B$20*$A$8)*Control!$B$38*2+IF(AND(Control!$B$5&gt;0,Control!$B$6="Y",12&gt;=Control!$B$39),(Control!$B$20*$A$8)*2,0))*Control!$B$41)*(Control!$B$43+Control!$B$45)*POWER(1+Control!$B$18,11)+Control!$B$47*POWER(1+Control!$B$18,11)+(Control!$B$48+Control!$B$49+Control!$B$50+Control!$B$51)*12*POWER(1+Control!$B$18,11)+((Control!$B$20*$A$8)*((Control!$B$28+Control!$B$29*(Control!$B$38-2))+(Control!$B$32+Control!$B$33*(Control!$B$38-2))+IF(AND(Control!$B$5&gt;0,Control!$B$6="Y",12&gt;=Control!$B$39),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1519350.6950622872</v>
      </c>
      <c r="P53" s="110">
        <f>Control!$B$11*(((((((Control!$B$20*$A$8)*((Control!$B$28+Control!$B$29*(Control!$B$38-2))+(Control!$B$32+Control!$B$33*(Control!$B$38-2))+IF(AND(Control!$B$5&gt;0,Control!$B$6="Y",13&gt;=Control!$B$39),Control!$B$36,0))*POWER(1+Control!$B$17,12))+((((Control!$B$20*$A$8)*Control!$B$38*2+IF(AND(Control!$B$5&gt;0,Control!$B$6="Y",13&gt;=Control!$B$39),(Control!$B$20*$A$8)*2,0))*Control!$B$41)*(Control!$B$42+Control!$B$44)*POWER(1+Control!$B$17,12))+(Control!$B$46*POWER(1+Control!$B$17,12)))-(((Control!$B$20*$A$8)*((Control!$B$28+Control!$B$29*(Control!$B$38-2))+(Control!$B$32+Control!$B$33*(Control!$B$38-2))+IF(AND(Control!$B$5&gt;0,Control!$B$6="Y",13&gt;=Control!$B$39),Control!$B$36,0))*POWER(1+Control!$B$17,12))*Control!$B$52+(((Control!$B$20*$A$8)*Control!$B$38*2+IF(AND(Control!$B$5&gt;0,Control!$B$6="Y",13&gt;=Control!$B$39),(Control!$B$20*$A$8)*2,0))*Control!$B$41)*(Control!$B$43+Control!$B$45)*POWER(1+Control!$B$18,12)+Control!$B$47*POWER(1+Control!$B$18,12)+(Control!$B$48+Control!$B$49+Control!$B$50+Control!$B$51)*12*POWER(1+Control!$B$18,12)+((Control!$B$20*$A$8)*((Control!$B$28+Control!$B$29*(Control!$B$38-2))+(Control!$B$32+Control!$B$33*(Control!$B$38-2))+IF(AND(Control!$B$5&gt;0,Control!$B$6="Y",13&gt;=Control!$B$39),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1595318.2298154011</v>
      </c>
      <c r="Q53" s="110">
        <f>Control!$B$11*(((((((Control!$B$20*$A$8)*((Control!$B$28+Control!$B$29*(Control!$B$38-2))+(Control!$B$32+Control!$B$33*(Control!$B$38-2))+IF(AND(Control!$B$5&gt;0,Control!$B$6="Y",14&gt;=Control!$B$39),Control!$B$36,0))*POWER(1+Control!$B$17,13))+((((Control!$B$20*$A$8)*Control!$B$38*2+IF(AND(Control!$B$5&gt;0,Control!$B$6="Y",14&gt;=Control!$B$39),(Control!$B$20*$A$8)*2,0))*Control!$B$41)*(Control!$B$42+Control!$B$44)*POWER(1+Control!$B$17,13))+(Control!$B$46*POWER(1+Control!$B$17,13)))-(((Control!$B$20*$A$8)*((Control!$B$28+Control!$B$29*(Control!$B$38-2))+(Control!$B$32+Control!$B$33*(Control!$B$38-2))+IF(AND(Control!$B$5&gt;0,Control!$B$6="Y",14&gt;=Control!$B$39),Control!$B$36,0))*POWER(1+Control!$B$17,13))*Control!$B$52+(((Control!$B$20*$A$8)*Control!$B$38*2+IF(AND(Control!$B$5&gt;0,Control!$B$6="Y",14&gt;=Control!$B$39),(Control!$B$20*$A$8)*2,0))*Control!$B$41)*(Control!$B$43+Control!$B$45)*POWER(1+Control!$B$18,13)+Control!$B$47*POWER(1+Control!$B$18,13)+(Control!$B$48+Control!$B$49+Control!$B$50+Control!$B$51)*12*POWER(1+Control!$B$18,13)+((Control!$B$20*$A$8)*((Control!$B$28+Control!$B$29*(Control!$B$38-2))+(Control!$B$32+Control!$B$33*(Control!$B$38-2))+IF(AND(Control!$B$5&gt;0,Control!$B$6="Y",14&gt;=Control!$B$39),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1675084.1413061712</v>
      </c>
      <c r="R53" s="110">
        <f>Control!$B$11*(((((((Control!$B$20*$A$8)*((Control!$B$28+Control!$B$29*(Control!$B$38-2))+(Control!$B$32+Control!$B$33*(Control!$B$38-2))+IF(AND(Control!$B$5&gt;0,Control!$B$6="Y",15&gt;=Control!$B$39),Control!$B$36,0))*POWER(1+Control!$B$17,14))+((((Control!$B$20*$A$8)*Control!$B$38*2+IF(AND(Control!$B$5&gt;0,Control!$B$6="Y",15&gt;=Control!$B$39),(Control!$B$20*$A$8)*2,0))*Control!$B$41)*(Control!$B$42+Control!$B$44)*POWER(1+Control!$B$17,14))+(Control!$B$46*POWER(1+Control!$B$17,14)))-(((Control!$B$20*$A$8)*((Control!$B$28+Control!$B$29*(Control!$B$38-2))+(Control!$B$32+Control!$B$33*(Control!$B$38-2))+IF(AND(Control!$B$5&gt;0,Control!$B$6="Y",15&gt;=Control!$B$39),Control!$B$36,0))*POWER(1+Control!$B$17,14))*Control!$B$52+(((Control!$B$20*$A$8)*Control!$B$38*2+IF(AND(Control!$B$5&gt;0,Control!$B$6="Y",15&gt;=Control!$B$39),(Control!$B$20*$A$8)*2,0))*Control!$B$41)*(Control!$B$43+Control!$B$45)*POWER(1+Control!$B$18,14)+Control!$B$47*POWER(1+Control!$B$18,14)+(Control!$B$48+Control!$B$49+Control!$B$50+Control!$B$51)*12*POWER(1+Control!$B$18,14)+((Control!$B$20*$A$8)*((Control!$B$28+Control!$B$29*(Control!$B$38-2))+(Control!$B$32+Control!$B$33*(Control!$B$38-2))+IF(AND(Control!$B$5&gt;0,Control!$B$6="Y",15&gt;=Control!$B$39),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1758838.3483714801</v>
      </c>
      <c r="S53" s="110">
        <f>Control!$B$11*(((((((Control!$B$20*$A$8)*((Control!$B$28+Control!$B$29*(Control!$B$38-2))+(Control!$B$32+Control!$B$33*(Control!$B$38-2))+IF(AND(Control!$B$5&gt;0,Control!$B$6="Y",16&gt;=Control!$B$39),Control!$B$36,0))*POWER(1+Control!$B$17,15))+((((Control!$B$20*$A$8)*Control!$B$38*2+IF(AND(Control!$B$5&gt;0,Control!$B$6="Y",16&gt;=Control!$B$39),(Control!$B$20*$A$8)*2,0))*Control!$B$41)*(Control!$B$42+Control!$B$44)*POWER(1+Control!$B$17,15))+(Control!$B$46*POWER(1+Control!$B$17,15)))-(((Control!$B$20*$A$8)*((Control!$B$28+Control!$B$29*(Control!$B$38-2))+(Control!$B$32+Control!$B$33*(Control!$B$38-2))+IF(AND(Control!$B$5&gt;0,Control!$B$6="Y",16&gt;=Control!$B$39),Control!$B$36,0))*POWER(1+Control!$B$17,15))*Control!$B$52+(((Control!$B$20*$A$8)*Control!$B$38*2+IF(AND(Control!$B$5&gt;0,Control!$B$6="Y",16&gt;=Control!$B$39),(Control!$B$20*$A$8)*2,0))*Control!$B$41)*(Control!$B$43+Control!$B$45)*POWER(1+Control!$B$18,15)+Control!$B$47*POWER(1+Control!$B$18,15)+(Control!$B$48+Control!$B$49+Control!$B$50+Control!$B$51)*12*POWER(1+Control!$B$18,15)+((Control!$B$20*$A$8)*((Control!$B$28+Control!$B$29*(Control!$B$38-2))+(Control!$B$32+Control!$B$33*(Control!$B$38-2))+IF(AND(Control!$B$5&gt;0,Control!$B$6="Y",16&gt;=Control!$B$39),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1846780.2657900541</v>
      </c>
      <c r="T53" s="110">
        <f>Control!$B$11*(((((((Control!$B$20*$A$8)*((Control!$B$28+Control!$B$29*(Control!$B$38-2))+(Control!$B$32+Control!$B$33*(Control!$B$38-2))+IF(AND(Control!$B$5&gt;0,Control!$B$6="Y",17&gt;=Control!$B$39),Control!$B$36,0))*POWER(1+Control!$B$17,16))+((((Control!$B$20*$A$8)*Control!$B$38*2+IF(AND(Control!$B$5&gt;0,Control!$B$6="Y",17&gt;=Control!$B$39),(Control!$B$20*$A$8)*2,0))*Control!$B$41)*(Control!$B$42+Control!$B$44)*POWER(1+Control!$B$17,16))+(Control!$B$46*POWER(1+Control!$B$17,16)))-(((Control!$B$20*$A$8)*((Control!$B$28+Control!$B$29*(Control!$B$38-2))+(Control!$B$32+Control!$B$33*(Control!$B$38-2))+IF(AND(Control!$B$5&gt;0,Control!$B$6="Y",17&gt;=Control!$B$39),Control!$B$36,0))*POWER(1+Control!$B$17,16))*Control!$B$52+(((Control!$B$20*$A$8)*Control!$B$38*2+IF(AND(Control!$B$5&gt;0,Control!$B$6="Y",17&gt;=Control!$B$39),(Control!$B$20*$A$8)*2,0))*Control!$B$41)*(Control!$B$43+Control!$B$45)*POWER(1+Control!$B$18,16)+Control!$B$47*POWER(1+Control!$B$18,16)+(Control!$B$48+Control!$B$49+Control!$B$50+Control!$B$51)*12*POWER(1+Control!$B$18,16)+((Control!$B$20*$A$8)*((Control!$B$28+Control!$B$29*(Control!$B$38-2))+(Control!$B$32+Control!$B$33*(Control!$B$38-2))+IF(AND(Control!$B$5&gt;0,Control!$B$6="Y",17&gt;=Control!$B$39),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1939119.2790795574</v>
      </c>
      <c r="U53" s="110">
        <f>Control!$B$11*(((((((Control!$B$20*$A$8)*((Control!$B$28+Control!$B$29*(Control!$B$38-2))+(Control!$B$32+Control!$B$33*(Control!$B$38-2))+IF(AND(Control!$B$5&gt;0,Control!$B$6="Y",18&gt;=Control!$B$39),Control!$B$36,0))*POWER(1+Control!$B$17,17))+((((Control!$B$20*$A$8)*Control!$B$38*2+IF(AND(Control!$B$5&gt;0,Control!$B$6="Y",18&gt;=Control!$B$39),(Control!$B$20*$A$8)*2,0))*Control!$B$41)*(Control!$B$42+Control!$B$44)*POWER(1+Control!$B$17,17))+(Control!$B$46*POWER(1+Control!$B$17,17)))-(((Control!$B$20*$A$8)*((Control!$B$28+Control!$B$29*(Control!$B$38-2))+(Control!$B$32+Control!$B$33*(Control!$B$38-2))+IF(AND(Control!$B$5&gt;0,Control!$B$6="Y",18&gt;=Control!$B$39),Control!$B$36,0))*POWER(1+Control!$B$17,17))*Control!$B$52+(((Control!$B$20*$A$8)*Control!$B$38*2+IF(AND(Control!$B$5&gt;0,Control!$B$6="Y",18&gt;=Control!$B$39),(Control!$B$20*$A$8)*2,0))*Control!$B$41)*(Control!$B$43+Control!$B$45)*POWER(1+Control!$B$18,17)+Control!$B$47*POWER(1+Control!$B$18,17)+(Control!$B$48+Control!$B$49+Control!$B$50+Control!$B$51)*12*POWER(1+Control!$B$18,17)+((Control!$B$20*$A$8)*((Control!$B$28+Control!$B$29*(Control!$B$38-2))+(Control!$B$32+Control!$B$33*(Control!$B$38-2))+IF(AND(Control!$B$5&gt;0,Control!$B$6="Y",18&gt;=Control!$B$39),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2036075.2430335346</v>
      </c>
      <c r="V53" s="110">
        <f>Control!$B$11*(((((((Control!$B$20*$A$8)*((Control!$B$28+Control!$B$29*(Control!$B$38-2))+(Control!$B$32+Control!$B$33*(Control!$B$38-2))+IF(AND(Control!$B$5&gt;0,Control!$B$6="Y",19&gt;=Control!$B$39),Control!$B$36,0))*POWER(1+Control!$B$17,18))+((((Control!$B$20*$A$8)*Control!$B$38*2+IF(AND(Control!$B$5&gt;0,Control!$B$6="Y",19&gt;=Control!$B$39),(Control!$B$20*$A$8)*2,0))*Control!$B$41)*(Control!$B$42+Control!$B$44)*POWER(1+Control!$B$17,18))+(Control!$B$46*POWER(1+Control!$B$17,18)))-(((Control!$B$20*$A$8)*((Control!$B$28+Control!$B$29*(Control!$B$38-2))+(Control!$B$32+Control!$B$33*(Control!$B$38-2))+IF(AND(Control!$B$5&gt;0,Control!$B$6="Y",19&gt;=Control!$B$39),Control!$B$36,0))*POWER(1+Control!$B$17,18))*Control!$B$52+(((Control!$B$20*$A$8)*Control!$B$38*2+IF(AND(Control!$B$5&gt;0,Control!$B$6="Y",19&gt;=Control!$B$39),(Control!$B$20*$A$8)*2,0))*Control!$B$41)*(Control!$B$43+Control!$B$45)*POWER(1+Control!$B$18,18)+Control!$B$47*POWER(1+Control!$B$18,18)+(Control!$B$48+Control!$B$49+Control!$B$50+Control!$B$51)*12*POWER(1+Control!$B$18,18)+((Control!$B$20*$A$8)*((Control!$B$28+Control!$B$29*(Control!$B$38-2))+(Control!$B$32+Control!$B$33*(Control!$B$38-2))+IF(AND(Control!$B$5&gt;0,Control!$B$6="Y",19&gt;=Control!$B$39),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2137879.0051852111</v>
      </c>
      <c r="W53" s="110">
        <f>Control!$B$11*(((((((Control!$B$20*$A$8)*((Control!$B$28+Control!$B$29*(Control!$B$38-2))+(Control!$B$32+Control!$B$33*(Control!$B$38-2))+IF(AND(Control!$B$5&gt;0,Control!$B$6="Y",20&gt;=Control!$B$39),Control!$B$36,0))*POWER(1+Control!$B$17,19))+((((Control!$B$20*$A$8)*Control!$B$38*2+IF(AND(Control!$B$5&gt;0,Control!$B$6="Y",20&gt;=Control!$B$39),(Control!$B$20*$A$8)*2,0))*Control!$B$41)*(Control!$B$42+Control!$B$44)*POWER(1+Control!$B$17,19))+(Control!$B$46*POWER(1+Control!$B$17,19)))-(((Control!$B$20*$A$8)*((Control!$B$28+Control!$B$29*(Control!$B$38-2))+(Control!$B$32+Control!$B$33*(Control!$B$38-2))+IF(AND(Control!$B$5&gt;0,Control!$B$6="Y",20&gt;=Control!$B$39),Control!$B$36,0))*POWER(1+Control!$B$17,19))*Control!$B$52+(((Control!$B$20*$A$8)*Control!$B$38*2+IF(AND(Control!$B$5&gt;0,Control!$B$6="Y",20&gt;=Control!$B$39),(Control!$B$20*$A$8)*2,0))*Control!$B$41)*(Control!$B$43+Control!$B$45)*POWER(1+Control!$B$18,19)+Control!$B$47*POWER(1+Control!$B$18,19)+(Control!$B$48+Control!$B$49+Control!$B$50+Control!$B$51)*12*POWER(1+Control!$B$18,19)+((Control!$B$20*$A$8)*((Control!$B$28+Control!$B$29*(Control!$B$38-2))+(Control!$B$32+Control!$B$33*(Control!$B$38-2))+IF(AND(Control!$B$5&gt;0,Control!$B$6="Y",20&gt;=Control!$B$39),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Control!$B$78,20)*(1-Control!$B$79)</f>
        <v>18331716.941735096</v>
      </c>
    </row>
    <row r="54" spans="1:23" x14ac:dyDescent="0.3">
      <c r="A54" s="110" t="s">
        <v>549</v>
      </c>
      <c r="B54" s="110"/>
      <c r="C54" s="110"/>
      <c r="D54" s="110">
        <f>D53</f>
        <v>888332.88426200254</v>
      </c>
      <c r="E54" s="110">
        <f t="shared" ref="E54:V54" si="1">D54+E53</f>
        <v>1821082.4127371053</v>
      </c>
      <c r="F54" s="110">
        <f t="shared" si="1"/>
        <v>2800469.4176359628</v>
      </c>
      <c r="G54" s="110">
        <f t="shared" si="1"/>
        <v>3828825.7727797637</v>
      </c>
      <c r="H54" s="110">
        <f t="shared" si="1"/>
        <v>4908599.9456807543</v>
      </c>
      <c r="I54" s="110">
        <f t="shared" si="1"/>
        <v>6042362.8272267943</v>
      </c>
      <c r="J54" s="110">
        <f t="shared" si="1"/>
        <v>7232813.8528501363</v>
      </c>
      <c r="K54" s="110">
        <f t="shared" si="1"/>
        <v>8482787.4297546465</v>
      </c>
      <c r="L54" s="110">
        <f t="shared" si="1"/>
        <v>9795259.6855043806</v>
      </c>
      <c r="M54" s="110">
        <f t="shared" si="1"/>
        <v>11173355.554041602</v>
      </c>
      <c r="N54" s="110">
        <f t="shared" si="1"/>
        <v>12620356.216005685</v>
      </c>
      <c r="O54" s="110">
        <f t="shared" si="1"/>
        <v>14139706.911067972</v>
      </c>
      <c r="P54" s="110">
        <f t="shared" si="1"/>
        <v>15735025.140883373</v>
      </c>
      <c r="Q54" s="110">
        <f t="shared" si="1"/>
        <v>17410109.282189544</v>
      </c>
      <c r="R54" s="110">
        <f t="shared" si="1"/>
        <v>19168947.630561024</v>
      </c>
      <c r="S54" s="110">
        <f t="shared" si="1"/>
        <v>21015727.896351077</v>
      </c>
      <c r="T54" s="110">
        <f t="shared" si="1"/>
        <v>22954847.175430633</v>
      </c>
      <c r="U54" s="110">
        <f t="shared" si="1"/>
        <v>24990922.418464169</v>
      </c>
      <c r="V54" s="110">
        <f t="shared" si="1"/>
        <v>27128801.423649378</v>
      </c>
      <c r="W54" s="110"/>
    </row>
    <row r="55" spans="1:23" x14ac:dyDescent="0.3">
      <c r="A55" s="110" t="s">
        <v>550</v>
      </c>
      <c r="B55" s="110"/>
      <c r="C55" s="114">
        <f>-Control!$B$15</f>
        <v>-6400000</v>
      </c>
      <c r="D55" s="110">
        <f>Control!$B$11*(((((((Control!$B$20*$A$9)*((Control!$B$28+Control!$B$29*(Control!$B$38-2))+(Control!$B$32+Control!$B$33*(Control!$B$38-2))+IF(AND(Control!$B$5&gt;0,Control!$B$6="Y",1&gt;=Control!$B$39),Control!$B$36,0))*POWER(1+Control!$B$17,0))+((((Control!$B$20*$A$9)*Control!$B$38*2+IF(AND(Control!$B$5&gt;0,Control!$B$6="Y",1&gt;=Control!$B$39),(Control!$B$20*$A$9)*2,0))*Control!$B$41)*(Control!$B$42+Control!$B$44)*POWER(1+Control!$B$17,0))+(Control!$B$46*POWER(1+Control!$B$17,0)))-(((Control!$B$20*$A$9)*((Control!$B$28+Control!$B$29*(Control!$B$38-2))+(Control!$B$32+Control!$B$33*(Control!$B$38-2))+IF(AND(Control!$B$5&gt;0,Control!$B$6="Y",1&gt;=Control!$B$39),Control!$B$36,0))*POWER(1+Control!$B$17,0))*Control!$B$52+(((Control!$B$20*$A$9)*Control!$B$38*2+IF(AND(Control!$B$5&gt;0,Control!$B$6="Y",1&gt;=Control!$B$39),(Control!$B$20*$A$9)*2,0))*Control!$B$41)*(Control!$B$43+Control!$B$45)*POWER(1+Control!$B$18,0)+Control!$B$47*POWER(1+Control!$B$18,0)+(Control!$B$48+Control!$B$49+Control!$B$50+Control!$B$51)*12*POWER(1+Control!$B$18,0)+((Control!$B$20*$A$9)*((Control!$B$28+Control!$B$29*(Control!$B$38-2))+(Control!$B$32+Control!$B$33*(Control!$B$38-2))+IF(AND(Control!$B$5&gt;0,Control!$B$6="Y",1&gt;=Control!$B$39),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934342.13801200246</v>
      </c>
      <c r="E55" s="110">
        <f>Control!$B$11*(((((((Control!$B$20*$A$9)*((Control!$B$28+Control!$B$29*(Control!$B$38-2))+(Control!$B$32+Control!$B$33*(Control!$B$38-2))+IF(AND(Control!$B$5&gt;0,Control!$B$6="Y",2&gt;=Control!$B$39),Control!$B$36,0))*POWER(1+Control!$B$17,1))+((((Control!$B$20*$A$9)*Control!$B$38*2+IF(AND(Control!$B$5&gt;0,Control!$B$6="Y",2&gt;=Control!$B$39),(Control!$B$20*$A$9)*2,0))*Control!$B$41)*(Control!$B$42+Control!$B$44)*POWER(1+Control!$B$17,1))+(Control!$B$46*POWER(1+Control!$B$17,1)))-(((Control!$B$20*$A$9)*((Control!$B$28+Control!$B$29*(Control!$B$38-2))+(Control!$B$32+Control!$B$33*(Control!$B$38-2))+IF(AND(Control!$B$5&gt;0,Control!$B$6="Y",2&gt;=Control!$B$39),Control!$B$36,0))*POWER(1+Control!$B$17,1))*Control!$B$52+(((Control!$B$20*$A$9)*Control!$B$38*2+IF(AND(Control!$B$5&gt;0,Control!$B$6="Y",2&gt;=Control!$B$39),(Control!$B$20*$A$9)*2,0))*Control!$B$41)*(Control!$B$43+Control!$B$45)*POWER(1+Control!$B$18,1)+Control!$B$47*POWER(1+Control!$B$18,1)+(Control!$B$48+Control!$B$49+Control!$B$50+Control!$B$51)*12*POWER(1+Control!$B$18,1)+((Control!$B$20*$A$9)*((Control!$B$28+Control!$B$29*(Control!$B$38-2))+(Control!$B$32+Control!$B$33*(Control!$B$38-2))+IF(AND(Control!$B$5&gt;0,Control!$B$6="Y",2&gt;=Control!$B$39),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981059.24491260282</v>
      </c>
      <c r="F55" s="110">
        <f>Control!$B$11*(((((((Control!$B$20*$A$9)*((Control!$B$28+Control!$B$29*(Control!$B$38-2))+(Control!$B$32+Control!$B$33*(Control!$B$38-2))+IF(AND(Control!$B$5&gt;0,Control!$B$6="Y",3&gt;=Control!$B$39),Control!$B$36,0))*POWER(1+Control!$B$17,2))+((((Control!$B$20*$A$9)*Control!$B$38*2+IF(AND(Control!$B$5&gt;0,Control!$B$6="Y",3&gt;=Control!$B$39),(Control!$B$20*$A$9)*2,0))*Control!$B$41)*(Control!$B$42+Control!$B$44)*POWER(1+Control!$B$17,2))+(Control!$B$46*POWER(1+Control!$B$17,2)))-(((Control!$B$20*$A$9)*((Control!$B$28+Control!$B$29*(Control!$B$38-2))+(Control!$B$32+Control!$B$33*(Control!$B$38-2))+IF(AND(Control!$B$5&gt;0,Control!$B$6="Y",3&gt;=Control!$B$39),Control!$B$36,0))*POWER(1+Control!$B$17,2))*Control!$B$52+(((Control!$B$20*$A$9)*Control!$B$38*2+IF(AND(Control!$B$5&gt;0,Control!$B$6="Y",3&gt;=Control!$B$39),(Control!$B$20*$A$9)*2,0))*Control!$B$41)*(Control!$B$43+Control!$B$45)*POWER(1+Control!$B$18,2)+Control!$B$47*POWER(1+Control!$B$18,2)+(Control!$B$48+Control!$B$49+Control!$B$50+Control!$B$51)*12*POWER(1+Control!$B$18,2)+((Control!$B$20*$A$9)*((Control!$B$28+Control!$B$29*(Control!$B$38-2))+(Control!$B$32+Control!$B$33*(Control!$B$38-2))+IF(AND(Control!$B$5&gt;0,Control!$B$6="Y",3&gt;=Control!$B$39),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1030112.2071582328</v>
      </c>
      <c r="G55" s="110">
        <f>Control!$B$11*(((((((Control!$B$20*$A$9)*((Control!$B$28+Control!$B$29*(Control!$B$38-2))+(Control!$B$32+Control!$B$33*(Control!$B$38-2))+IF(AND(Control!$B$5&gt;0,Control!$B$6="Y",4&gt;=Control!$B$39),Control!$B$36,0))*POWER(1+Control!$B$17,3))+((((Control!$B$20*$A$9)*Control!$B$38*2+IF(AND(Control!$B$5&gt;0,Control!$B$6="Y",4&gt;=Control!$B$39),(Control!$B$20*$A$9)*2,0))*Control!$B$41)*(Control!$B$42+Control!$B$44)*POWER(1+Control!$B$17,3))+(Control!$B$46*POWER(1+Control!$B$17,3)))-(((Control!$B$20*$A$9)*((Control!$B$28+Control!$B$29*(Control!$B$38-2))+(Control!$B$32+Control!$B$33*(Control!$B$38-2))+IF(AND(Control!$B$5&gt;0,Control!$B$6="Y",4&gt;=Control!$B$39),Control!$B$36,0))*POWER(1+Control!$B$17,3))*Control!$B$52+(((Control!$B$20*$A$9)*Control!$B$38*2+IF(AND(Control!$B$5&gt;0,Control!$B$6="Y",4&gt;=Control!$B$39),(Control!$B$20*$A$9)*2,0))*Control!$B$41)*(Control!$B$43+Control!$B$45)*POWER(1+Control!$B$18,3)+Control!$B$47*POWER(1+Control!$B$18,3)+(Control!$B$48+Control!$B$49+Control!$B$50+Control!$B$51)*12*POWER(1+Control!$B$18,3)+((Control!$B$20*$A$9)*((Control!$B$28+Control!$B$29*(Control!$B$38-2))+(Control!$B$32+Control!$B$33*(Control!$B$38-2))+IF(AND(Control!$B$5&gt;0,Control!$B$6="Y",4&gt;=Control!$B$39),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1081617.8175161444</v>
      </c>
      <c r="H55" s="110">
        <f>Control!$B$11*(((((((Control!$B$20*$A$9)*((Control!$B$28+Control!$B$29*(Control!$B$38-2))+(Control!$B$32+Control!$B$33*(Control!$B$38-2))+IF(AND(Control!$B$5&gt;0,Control!$B$6="Y",5&gt;=Control!$B$39),Control!$B$36,0))*POWER(1+Control!$B$17,4))+((((Control!$B$20*$A$9)*Control!$B$38*2+IF(AND(Control!$B$5&gt;0,Control!$B$6="Y",5&gt;=Control!$B$39),(Control!$B$20*$A$9)*2,0))*Control!$B$41)*(Control!$B$42+Control!$B$44)*POWER(1+Control!$B$17,4))+(Control!$B$46*POWER(1+Control!$B$17,4)))-(((Control!$B$20*$A$9)*((Control!$B$28+Control!$B$29*(Control!$B$38-2))+(Control!$B$32+Control!$B$33*(Control!$B$38-2))+IF(AND(Control!$B$5&gt;0,Control!$B$6="Y",5&gt;=Control!$B$39),Control!$B$36,0))*POWER(1+Control!$B$17,4))*Control!$B$52+(((Control!$B$20*$A$9)*Control!$B$38*2+IF(AND(Control!$B$5&gt;0,Control!$B$6="Y",5&gt;=Control!$B$39),(Control!$B$20*$A$9)*2,0))*Control!$B$41)*(Control!$B$43+Control!$B$45)*POWER(1+Control!$B$18,4)+Control!$B$47*POWER(1+Control!$B$18,4)+(Control!$B$48+Control!$B$49+Control!$B$50+Control!$B$51)*12*POWER(1+Control!$B$18,4)+((Control!$B$20*$A$9)*((Control!$B$28+Control!$B$29*(Control!$B$38-2))+(Control!$B$32+Control!$B$33*(Control!$B$38-2))+IF(AND(Control!$B$5&gt;0,Control!$B$6="Y",5&gt;=Control!$B$39),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1135698.7083919516</v>
      </c>
      <c r="I55" s="110">
        <f>Control!$B$11*(((((((Control!$B$20*$A$9)*((Control!$B$28+Control!$B$29*(Control!$B$38-2))+(Control!$B$32+Control!$B$33*(Control!$B$38-2))+IF(AND(Control!$B$5&gt;0,Control!$B$6="Y",6&gt;=Control!$B$39),Control!$B$36,0))*POWER(1+Control!$B$17,5))+((((Control!$B$20*$A$9)*Control!$B$38*2+IF(AND(Control!$B$5&gt;0,Control!$B$6="Y",6&gt;=Control!$B$39),(Control!$B$20*$A$9)*2,0))*Control!$B$41)*(Control!$B$42+Control!$B$44)*POWER(1+Control!$B$17,5))+(Control!$B$46*POWER(1+Control!$B$17,5)))-(((Control!$B$20*$A$9)*((Control!$B$28+Control!$B$29*(Control!$B$38-2))+(Control!$B$32+Control!$B$33*(Control!$B$38-2))+IF(AND(Control!$B$5&gt;0,Control!$B$6="Y",6&gt;=Control!$B$39),Control!$B$36,0))*POWER(1+Control!$B$17,5))*Control!$B$52+(((Control!$B$20*$A$9)*Control!$B$38*2+IF(AND(Control!$B$5&gt;0,Control!$B$6="Y",6&gt;=Control!$B$39),(Control!$B$20*$A$9)*2,0))*Control!$B$41)*(Control!$B$43+Control!$B$45)*POWER(1+Control!$B$18,5)+Control!$B$47*POWER(1+Control!$B$18,5)+(Control!$B$48+Control!$B$49+Control!$B$50+Control!$B$51)*12*POWER(1+Control!$B$18,5)+((Control!$B$20*$A$9)*((Control!$B$28+Control!$B$29*(Control!$B$38-2))+(Control!$B$32+Control!$B$33*(Control!$B$38-2))+IF(AND(Control!$B$5&gt;0,Control!$B$6="Y",6&gt;=Control!$B$39),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1192483.6438115495</v>
      </c>
      <c r="J55" s="110">
        <f>Control!$B$11*(((((((Control!$B$20*$A$9)*((Control!$B$28+Control!$B$29*(Control!$B$38-2))+(Control!$B$32+Control!$B$33*(Control!$B$38-2))+IF(AND(Control!$B$5&gt;0,Control!$B$6="Y",7&gt;=Control!$B$39),Control!$B$36,0))*POWER(1+Control!$B$17,6))+((((Control!$B$20*$A$9)*Control!$B$38*2+IF(AND(Control!$B$5&gt;0,Control!$B$6="Y",7&gt;=Control!$B$39),(Control!$B$20*$A$9)*2,0))*Control!$B$41)*(Control!$B$42+Control!$B$44)*POWER(1+Control!$B$17,6))+(Control!$B$46*POWER(1+Control!$B$17,6)))-(((Control!$B$20*$A$9)*((Control!$B$28+Control!$B$29*(Control!$B$38-2))+(Control!$B$32+Control!$B$33*(Control!$B$38-2))+IF(AND(Control!$B$5&gt;0,Control!$B$6="Y",7&gt;=Control!$B$39),Control!$B$36,0))*POWER(1+Control!$B$17,6))*Control!$B$52+(((Control!$B$20*$A$9)*Control!$B$38*2+IF(AND(Control!$B$5&gt;0,Control!$B$6="Y",7&gt;=Control!$B$39),(Control!$B$20*$A$9)*2,0))*Control!$B$41)*(Control!$B$43+Control!$B$45)*POWER(1+Control!$B$18,6)+Control!$B$47*POWER(1+Control!$B$18,6)+(Control!$B$48+Control!$B$49+Control!$B$50+Control!$B$51)*12*POWER(1+Control!$B$18,6)+((Control!$B$20*$A$9)*((Control!$B$28+Control!$B$29*(Control!$B$38-2))+(Control!$B$32+Control!$B$33*(Control!$B$38-2))+IF(AND(Control!$B$5&gt;0,Control!$B$6="Y",7&gt;=Control!$B$39),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1252107.8260021268</v>
      </c>
      <c r="K55" s="110">
        <f>Control!$B$11*(((((((Control!$B$20*$A$9)*((Control!$B$28+Control!$B$29*(Control!$B$38-2))+(Control!$B$32+Control!$B$33*(Control!$B$38-2))+IF(AND(Control!$B$5&gt;0,Control!$B$6="Y",8&gt;=Control!$B$39),Control!$B$36,0))*POWER(1+Control!$B$17,7))+((((Control!$B$20*$A$9)*Control!$B$38*2+IF(AND(Control!$B$5&gt;0,Control!$B$6="Y",8&gt;=Control!$B$39),(Control!$B$20*$A$9)*2,0))*Control!$B$41)*(Control!$B$42+Control!$B$44)*POWER(1+Control!$B$17,7))+(Control!$B$46*POWER(1+Control!$B$17,7)))-(((Control!$B$20*$A$9)*((Control!$B$28+Control!$B$29*(Control!$B$38-2))+(Control!$B$32+Control!$B$33*(Control!$B$38-2))+IF(AND(Control!$B$5&gt;0,Control!$B$6="Y",8&gt;=Control!$B$39),Control!$B$36,0))*POWER(1+Control!$B$17,7))*Control!$B$52+(((Control!$B$20*$A$9)*Control!$B$38*2+IF(AND(Control!$B$5&gt;0,Control!$B$6="Y",8&gt;=Control!$B$39),(Control!$B$20*$A$9)*2,0))*Control!$B$41)*(Control!$B$43+Control!$B$45)*POWER(1+Control!$B$18,7)+Control!$B$47*POWER(1+Control!$B$18,7)+(Control!$B$48+Control!$B$49+Control!$B$50+Control!$B$51)*12*POWER(1+Control!$B$18,7)+((Control!$B$20*$A$9)*((Control!$B$28+Control!$B$29*(Control!$B$38-2))+(Control!$B$32+Control!$B$33*(Control!$B$38-2))+IF(AND(Control!$B$5&gt;0,Control!$B$6="Y",8&gt;=Control!$B$39),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1314713.217302233</v>
      </c>
      <c r="L55" s="110">
        <f>Control!$B$11*(((((((Control!$B$20*$A$9)*((Control!$B$28+Control!$B$29*(Control!$B$38-2))+(Control!$B$32+Control!$B$33*(Control!$B$38-2))+IF(AND(Control!$B$5&gt;0,Control!$B$6="Y",9&gt;=Control!$B$39),Control!$B$36,0))*POWER(1+Control!$B$17,8))+((((Control!$B$20*$A$9)*Control!$B$38*2+IF(AND(Control!$B$5&gt;0,Control!$B$6="Y",9&gt;=Control!$B$39),(Control!$B$20*$A$9)*2,0))*Control!$B$41)*(Control!$B$42+Control!$B$44)*POWER(1+Control!$B$17,8))+(Control!$B$46*POWER(1+Control!$B$17,8)))-(((Control!$B$20*$A$9)*((Control!$B$28+Control!$B$29*(Control!$B$38-2))+(Control!$B$32+Control!$B$33*(Control!$B$38-2))+IF(AND(Control!$B$5&gt;0,Control!$B$6="Y",9&gt;=Control!$B$39),Control!$B$36,0))*POWER(1+Control!$B$17,8))*Control!$B$52+(((Control!$B$20*$A$9)*Control!$B$38*2+IF(AND(Control!$B$5&gt;0,Control!$B$6="Y",9&gt;=Control!$B$39),(Control!$B$20*$A$9)*2,0))*Control!$B$41)*(Control!$B$43+Control!$B$45)*POWER(1+Control!$B$18,8)+Control!$B$47*POWER(1+Control!$B$18,8)+(Control!$B$48+Control!$B$49+Control!$B$50+Control!$B$51)*12*POWER(1+Control!$B$18,8)+((Control!$B$20*$A$9)*((Control!$B$28+Control!$B$29*(Control!$B$38-2))+(Control!$B$32+Control!$B$33*(Control!$B$38-2))+IF(AND(Control!$B$5&gt;0,Control!$B$6="Y",9&gt;=Control!$B$39),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1380448.8781673443</v>
      </c>
      <c r="M55" s="110">
        <f>Control!$B$11*(((((((Control!$B$20*$A$9)*((Control!$B$28+Control!$B$29*(Control!$B$38-2))+(Control!$B$32+Control!$B$33*(Control!$B$38-2))+IF(AND(Control!$B$5&gt;0,Control!$B$6="Y",10&gt;=Control!$B$39),Control!$B$36,0))*POWER(1+Control!$B$17,9))+((((Control!$B$20*$A$9)*Control!$B$38*2+IF(AND(Control!$B$5&gt;0,Control!$B$6="Y",10&gt;=Control!$B$39),(Control!$B$20*$A$9)*2,0))*Control!$B$41)*(Control!$B$42+Control!$B$44)*POWER(1+Control!$B$17,9))+(Control!$B$46*POWER(1+Control!$B$17,9)))-(((Control!$B$20*$A$9)*((Control!$B$28+Control!$B$29*(Control!$B$38-2))+(Control!$B$32+Control!$B$33*(Control!$B$38-2))+IF(AND(Control!$B$5&gt;0,Control!$B$6="Y",10&gt;=Control!$B$39),Control!$B$36,0))*POWER(1+Control!$B$17,9))*Control!$B$52+(((Control!$B$20*$A$9)*Control!$B$38*2+IF(AND(Control!$B$5&gt;0,Control!$B$6="Y",10&gt;=Control!$B$39),(Control!$B$20*$A$9)*2,0))*Control!$B$41)*(Control!$B$43+Control!$B$45)*POWER(1+Control!$B$18,9)+Control!$B$47*POWER(1+Control!$B$18,9)+(Control!$B$48+Control!$B$49+Control!$B$50+Control!$B$51)*12*POWER(1+Control!$B$18,9)+((Control!$B$20*$A$9)*((Control!$B$28+Control!$B$29*(Control!$B$38-2))+(Control!$B$32+Control!$B$33*(Control!$B$38-2))+IF(AND(Control!$B$5&gt;0,Control!$B$6="Y",10&gt;=Control!$B$39),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1449471.3220757123</v>
      </c>
      <c r="N55" s="110">
        <f>Control!$B$11*(((((((Control!$B$20*$A$9)*((Control!$B$28+Control!$B$29*(Control!$B$38-2))+(Control!$B$32+Control!$B$33*(Control!$B$38-2))+IF(AND(Control!$B$5&gt;0,Control!$B$6="Y",11&gt;=Control!$B$39),Control!$B$36,0))*POWER(1+Control!$B$17,10))+((((Control!$B$20*$A$9)*Control!$B$38*2+IF(AND(Control!$B$5&gt;0,Control!$B$6="Y",11&gt;=Control!$B$39),(Control!$B$20*$A$9)*2,0))*Control!$B$41)*(Control!$B$42+Control!$B$44)*POWER(1+Control!$B$17,10))+(Control!$B$46*POWER(1+Control!$B$17,10)))-(((Control!$B$20*$A$9)*((Control!$B$28+Control!$B$29*(Control!$B$38-2))+(Control!$B$32+Control!$B$33*(Control!$B$38-2))+IF(AND(Control!$B$5&gt;0,Control!$B$6="Y",11&gt;=Control!$B$39),Control!$B$36,0))*POWER(1+Control!$B$17,10))*Control!$B$52+(((Control!$B$20*$A$9)*Control!$B$38*2+IF(AND(Control!$B$5&gt;0,Control!$B$6="Y",11&gt;=Control!$B$39),(Control!$B$20*$A$9)*2,0))*Control!$B$41)*(Control!$B$43+Control!$B$45)*POWER(1+Control!$B$18,10)+Control!$B$47*POWER(1+Control!$B$18,10)+(Control!$B$48+Control!$B$49+Control!$B$50+Control!$B$51)*12*POWER(1+Control!$B$18,10)+((Control!$B$20*$A$9)*((Control!$B$28+Control!$B$29*(Control!$B$38-2))+(Control!$B$32+Control!$B$33*(Control!$B$38-2))+IF(AND(Control!$B$5&gt;0,Control!$B$6="Y",11&gt;=Control!$B$39),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1521944.888179498</v>
      </c>
      <c r="O55" s="110">
        <f>Control!$B$11*(((((((Control!$B$20*$A$9)*((Control!$B$28+Control!$B$29*(Control!$B$38-2))+(Control!$B$32+Control!$B$33*(Control!$B$38-2))+IF(AND(Control!$B$5&gt;0,Control!$B$6="Y",12&gt;=Control!$B$39),Control!$B$36,0))*POWER(1+Control!$B$17,11))+((((Control!$B$20*$A$9)*Control!$B$38*2+IF(AND(Control!$B$5&gt;0,Control!$B$6="Y",12&gt;=Control!$B$39),(Control!$B$20*$A$9)*2,0))*Control!$B$41)*(Control!$B$42+Control!$B$44)*POWER(1+Control!$B$17,11))+(Control!$B$46*POWER(1+Control!$B$17,11)))-(((Control!$B$20*$A$9)*((Control!$B$28+Control!$B$29*(Control!$B$38-2))+(Control!$B$32+Control!$B$33*(Control!$B$38-2))+IF(AND(Control!$B$5&gt;0,Control!$B$6="Y",12&gt;=Control!$B$39),Control!$B$36,0))*POWER(1+Control!$B$17,11))*Control!$B$52+(((Control!$B$20*$A$9)*Control!$B$38*2+IF(AND(Control!$B$5&gt;0,Control!$B$6="Y",12&gt;=Control!$B$39),(Control!$B$20*$A$9)*2,0))*Control!$B$41)*(Control!$B$43+Control!$B$45)*POWER(1+Control!$B$18,11)+Control!$B$47*POWER(1+Control!$B$18,11)+(Control!$B$48+Control!$B$49+Control!$B$50+Control!$B$51)*12*POWER(1+Control!$B$18,11)+((Control!$B$20*$A$9)*((Control!$B$28+Control!$B$29*(Control!$B$38-2))+(Control!$B$32+Control!$B$33*(Control!$B$38-2))+IF(AND(Control!$B$5&gt;0,Control!$B$6="Y",12&gt;=Control!$B$39),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1598042.1325884729</v>
      </c>
      <c r="P55" s="110">
        <f>Control!$B$11*(((((((Control!$B$20*$A$9)*((Control!$B$28+Control!$B$29*(Control!$B$38-2))+(Control!$B$32+Control!$B$33*(Control!$B$38-2))+IF(AND(Control!$B$5&gt;0,Control!$B$6="Y",13&gt;=Control!$B$39),Control!$B$36,0))*POWER(1+Control!$B$17,12))+((((Control!$B$20*$A$9)*Control!$B$38*2+IF(AND(Control!$B$5&gt;0,Control!$B$6="Y",13&gt;=Control!$B$39),(Control!$B$20*$A$9)*2,0))*Control!$B$41)*(Control!$B$42+Control!$B$44)*POWER(1+Control!$B$17,12))+(Control!$B$46*POWER(1+Control!$B$17,12)))-(((Control!$B$20*$A$9)*((Control!$B$28+Control!$B$29*(Control!$B$38-2))+(Control!$B$32+Control!$B$33*(Control!$B$38-2))+IF(AND(Control!$B$5&gt;0,Control!$B$6="Y",13&gt;=Control!$B$39),Control!$B$36,0))*POWER(1+Control!$B$17,12))*Control!$B$52+(((Control!$B$20*$A$9)*Control!$B$38*2+IF(AND(Control!$B$5&gt;0,Control!$B$6="Y",13&gt;=Control!$B$39),(Control!$B$20*$A$9)*2,0))*Control!$B$41)*(Control!$B$43+Control!$B$45)*POWER(1+Control!$B$18,12)+Control!$B$47*POWER(1+Control!$B$18,12)+(Control!$B$48+Control!$B$49+Control!$B$50+Control!$B$51)*12*POWER(1+Control!$B$18,12)+((Control!$B$20*$A$9)*((Control!$B$28+Control!$B$29*(Control!$B$38-2))+(Control!$B$32+Control!$B$33*(Control!$B$38-2))+IF(AND(Control!$B$5&gt;0,Control!$B$6="Y",13&gt;=Control!$B$39),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1677944.2392178962</v>
      </c>
      <c r="Q55" s="110">
        <f>Control!$B$11*(((((((Control!$B$20*$A$9)*((Control!$B$28+Control!$B$29*(Control!$B$38-2))+(Control!$B$32+Control!$B$33*(Control!$B$38-2))+IF(AND(Control!$B$5&gt;0,Control!$B$6="Y",14&gt;=Control!$B$39),Control!$B$36,0))*POWER(1+Control!$B$17,13))+((((Control!$B$20*$A$9)*Control!$B$38*2+IF(AND(Control!$B$5&gt;0,Control!$B$6="Y",14&gt;=Control!$B$39),(Control!$B$20*$A$9)*2,0))*Control!$B$41)*(Control!$B$42+Control!$B$44)*POWER(1+Control!$B$17,13))+(Control!$B$46*POWER(1+Control!$B$17,13)))-(((Control!$B$20*$A$9)*((Control!$B$28+Control!$B$29*(Control!$B$38-2))+(Control!$B$32+Control!$B$33*(Control!$B$38-2))+IF(AND(Control!$B$5&gt;0,Control!$B$6="Y",14&gt;=Control!$B$39),Control!$B$36,0))*POWER(1+Control!$B$17,13))*Control!$B$52+(((Control!$B$20*$A$9)*Control!$B$38*2+IF(AND(Control!$B$5&gt;0,Control!$B$6="Y",14&gt;=Control!$B$39),(Control!$B$20*$A$9)*2,0))*Control!$B$41)*(Control!$B$43+Control!$B$45)*POWER(1+Control!$B$18,13)+Control!$B$47*POWER(1+Control!$B$18,13)+(Control!$B$48+Control!$B$49+Control!$B$50+Control!$B$51)*12*POWER(1+Control!$B$18,13)+((Control!$B$20*$A$9)*((Control!$B$28+Control!$B$29*(Control!$B$38-2))+(Control!$B$32+Control!$B$33*(Control!$B$38-2))+IF(AND(Control!$B$5&gt;0,Control!$B$6="Y",14&gt;=Control!$B$39),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1761841.4511787912</v>
      </c>
      <c r="R55" s="110">
        <f>Control!$B$11*(((((((Control!$B$20*$A$9)*((Control!$B$28+Control!$B$29*(Control!$B$38-2))+(Control!$B$32+Control!$B$33*(Control!$B$38-2))+IF(AND(Control!$B$5&gt;0,Control!$B$6="Y",15&gt;=Control!$B$39),Control!$B$36,0))*POWER(1+Control!$B$17,14))+((((Control!$B$20*$A$9)*Control!$B$38*2+IF(AND(Control!$B$5&gt;0,Control!$B$6="Y",15&gt;=Control!$B$39),(Control!$B$20*$A$9)*2,0))*Control!$B$41)*(Control!$B$42+Control!$B$44)*POWER(1+Control!$B$17,14))+(Control!$B$46*POWER(1+Control!$B$17,14)))-(((Control!$B$20*$A$9)*((Control!$B$28+Control!$B$29*(Control!$B$38-2))+(Control!$B$32+Control!$B$33*(Control!$B$38-2))+IF(AND(Control!$B$5&gt;0,Control!$B$6="Y",15&gt;=Control!$B$39),Control!$B$36,0))*POWER(1+Control!$B$17,14))*Control!$B$52+(((Control!$B$20*$A$9)*Control!$B$38*2+IF(AND(Control!$B$5&gt;0,Control!$B$6="Y",15&gt;=Control!$B$39),(Control!$B$20*$A$9)*2,0))*Control!$B$41)*(Control!$B$43+Control!$B$45)*POWER(1+Control!$B$18,14)+Control!$B$47*POWER(1+Control!$B$18,14)+(Control!$B$48+Control!$B$49+Control!$B$50+Control!$B$51)*12*POWER(1+Control!$B$18,14)+((Control!$B$20*$A$9)*((Control!$B$28+Control!$B$29*(Control!$B$38-2))+(Control!$B$32+Control!$B$33*(Control!$B$38-2))+IF(AND(Control!$B$5&gt;0,Control!$B$6="Y",15&gt;=Control!$B$39),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1849933.5237377309</v>
      </c>
      <c r="S55" s="110">
        <f>Control!$B$11*(((((((Control!$B$20*$A$9)*((Control!$B$28+Control!$B$29*(Control!$B$38-2))+(Control!$B$32+Control!$B$33*(Control!$B$38-2))+IF(AND(Control!$B$5&gt;0,Control!$B$6="Y",16&gt;=Control!$B$39),Control!$B$36,0))*POWER(1+Control!$B$17,15))+((((Control!$B$20*$A$9)*Control!$B$38*2+IF(AND(Control!$B$5&gt;0,Control!$B$6="Y",16&gt;=Control!$B$39),(Control!$B$20*$A$9)*2,0))*Control!$B$41)*(Control!$B$42+Control!$B$44)*POWER(1+Control!$B$17,15))+(Control!$B$46*POWER(1+Control!$B$17,15)))-(((Control!$B$20*$A$9)*((Control!$B$28+Control!$B$29*(Control!$B$38-2))+(Control!$B$32+Control!$B$33*(Control!$B$38-2))+IF(AND(Control!$B$5&gt;0,Control!$B$6="Y",16&gt;=Control!$B$39),Control!$B$36,0))*POWER(1+Control!$B$17,15))*Control!$B$52+(((Control!$B$20*$A$9)*Control!$B$38*2+IF(AND(Control!$B$5&gt;0,Control!$B$6="Y",16&gt;=Control!$B$39),(Control!$B$20*$A$9)*2,0))*Control!$B$41)*(Control!$B$43+Control!$B$45)*POWER(1+Control!$B$18,15)+Control!$B$47*POWER(1+Control!$B$18,15)+(Control!$B$48+Control!$B$49+Control!$B$50+Control!$B$51)*12*POWER(1+Control!$B$18,15)+((Control!$B$20*$A$9)*((Control!$B$28+Control!$B$29*(Control!$B$38-2))+(Control!$B$32+Control!$B$33*(Control!$B$38-2))+IF(AND(Control!$B$5&gt;0,Control!$B$6="Y",16&gt;=Control!$B$39),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1942430.1999246175</v>
      </c>
      <c r="T55" s="110">
        <f>Control!$B$11*(((((((Control!$B$20*$A$9)*((Control!$B$28+Control!$B$29*(Control!$B$38-2))+(Control!$B$32+Control!$B$33*(Control!$B$38-2))+IF(AND(Control!$B$5&gt;0,Control!$B$6="Y",17&gt;=Control!$B$39),Control!$B$36,0))*POWER(1+Control!$B$17,16))+((((Control!$B$20*$A$9)*Control!$B$38*2+IF(AND(Control!$B$5&gt;0,Control!$B$6="Y",17&gt;=Control!$B$39),(Control!$B$20*$A$9)*2,0))*Control!$B$41)*(Control!$B$42+Control!$B$44)*POWER(1+Control!$B$17,16))+(Control!$B$46*POWER(1+Control!$B$17,16)))-(((Control!$B$20*$A$9)*((Control!$B$28+Control!$B$29*(Control!$B$38-2))+(Control!$B$32+Control!$B$33*(Control!$B$38-2))+IF(AND(Control!$B$5&gt;0,Control!$B$6="Y",17&gt;=Control!$B$39),Control!$B$36,0))*POWER(1+Control!$B$17,16))*Control!$B$52+(((Control!$B$20*$A$9)*Control!$B$38*2+IF(AND(Control!$B$5&gt;0,Control!$B$6="Y",17&gt;=Control!$B$39),(Control!$B$20*$A$9)*2,0))*Control!$B$41)*(Control!$B$43+Control!$B$45)*POWER(1+Control!$B$18,16)+Control!$B$47*POWER(1+Control!$B$18,16)+(Control!$B$48+Control!$B$49+Control!$B$50+Control!$B$51)*12*POWER(1+Control!$B$18,16)+((Control!$B$20*$A$9)*((Control!$B$28+Control!$B$29*(Control!$B$38-2))+(Control!$B$32+Control!$B$33*(Control!$B$38-2))+IF(AND(Control!$B$5&gt;0,Control!$B$6="Y",17&gt;=Control!$B$39),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2039551.7099208485</v>
      </c>
      <c r="U55" s="110">
        <f>Control!$B$11*(((((((Control!$B$20*$A$9)*((Control!$B$28+Control!$B$29*(Control!$B$38-2))+(Control!$B$32+Control!$B$33*(Control!$B$38-2))+IF(AND(Control!$B$5&gt;0,Control!$B$6="Y",18&gt;=Control!$B$39),Control!$B$36,0))*POWER(1+Control!$B$17,17))+((((Control!$B$20*$A$9)*Control!$B$38*2+IF(AND(Control!$B$5&gt;0,Control!$B$6="Y",18&gt;=Control!$B$39),(Control!$B$20*$A$9)*2,0))*Control!$B$41)*(Control!$B$42+Control!$B$44)*POWER(1+Control!$B$17,17))+(Control!$B$46*POWER(1+Control!$B$17,17)))-(((Control!$B$20*$A$9)*((Control!$B$28+Control!$B$29*(Control!$B$38-2))+(Control!$B$32+Control!$B$33*(Control!$B$38-2))+IF(AND(Control!$B$5&gt;0,Control!$B$6="Y",18&gt;=Control!$B$39),Control!$B$36,0))*POWER(1+Control!$B$17,17))*Control!$B$52+(((Control!$B$20*$A$9)*Control!$B$38*2+IF(AND(Control!$B$5&gt;0,Control!$B$6="Y",18&gt;=Control!$B$39),(Control!$B$20*$A$9)*2,0))*Control!$B$41)*(Control!$B$43+Control!$B$45)*POWER(1+Control!$B$18,17)+Control!$B$47*POWER(1+Control!$B$18,17)+(Control!$B$48+Control!$B$49+Control!$B$50+Control!$B$51)*12*POWER(1+Control!$B$18,17)+((Control!$B$20*$A$9)*((Control!$B$28+Control!$B$29*(Control!$B$38-2))+(Control!$B$32+Control!$B$33*(Control!$B$38-2))+IF(AND(Control!$B$5&gt;0,Control!$B$6="Y",18&gt;=Control!$B$39),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2141529.2954168911</v>
      </c>
      <c r="V55" s="110">
        <f>Control!$B$11*(((((((Control!$B$20*$A$9)*((Control!$B$28+Control!$B$29*(Control!$B$38-2))+(Control!$B$32+Control!$B$33*(Control!$B$38-2))+IF(AND(Control!$B$5&gt;0,Control!$B$6="Y",19&gt;=Control!$B$39),Control!$B$36,0))*POWER(1+Control!$B$17,18))+((((Control!$B$20*$A$9)*Control!$B$38*2+IF(AND(Control!$B$5&gt;0,Control!$B$6="Y",19&gt;=Control!$B$39),(Control!$B$20*$A$9)*2,0))*Control!$B$41)*(Control!$B$42+Control!$B$44)*POWER(1+Control!$B$17,18))+(Control!$B$46*POWER(1+Control!$B$17,18)))-(((Control!$B$20*$A$9)*((Control!$B$28+Control!$B$29*(Control!$B$38-2))+(Control!$B$32+Control!$B$33*(Control!$B$38-2))+IF(AND(Control!$B$5&gt;0,Control!$B$6="Y",19&gt;=Control!$B$39),Control!$B$36,0))*POWER(1+Control!$B$17,18))*Control!$B$52+(((Control!$B$20*$A$9)*Control!$B$38*2+IF(AND(Control!$B$5&gt;0,Control!$B$6="Y",19&gt;=Control!$B$39),(Control!$B$20*$A$9)*2,0))*Control!$B$41)*(Control!$B$43+Control!$B$45)*POWER(1+Control!$B$18,18)+Control!$B$47*POWER(1+Control!$B$18,18)+(Control!$B$48+Control!$B$49+Control!$B$50+Control!$B$51)*12*POWER(1+Control!$B$18,18)+((Control!$B$20*$A$9)*((Control!$B$28+Control!$B$29*(Control!$B$38-2))+(Control!$B$32+Control!$B$33*(Control!$B$38-2))+IF(AND(Control!$B$5&gt;0,Control!$B$6="Y",19&gt;=Control!$B$39),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2248605.7601877358</v>
      </c>
      <c r="W55" s="110">
        <f>Control!$B$11*(((((((Control!$B$20*$A$9)*((Control!$B$28+Control!$B$29*(Control!$B$38-2))+(Control!$B$32+Control!$B$33*(Control!$B$38-2))+IF(AND(Control!$B$5&gt;0,Control!$B$6="Y",20&gt;=Control!$B$39),Control!$B$36,0))*POWER(1+Control!$B$17,19))+((((Control!$B$20*$A$9)*Control!$B$38*2+IF(AND(Control!$B$5&gt;0,Control!$B$6="Y",20&gt;=Control!$B$39),(Control!$B$20*$A$9)*2,0))*Control!$B$41)*(Control!$B$42+Control!$B$44)*POWER(1+Control!$B$17,19))+(Control!$B$46*POWER(1+Control!$B$17,19)))-(((Control!$B$20*$A$9)*((Control!$B$28+Control!$B$29*(Control!$B$38-2))+(Control!$B$32+Control!$B$33*(Control!$B$38-2))+IF(AND(Control!$B$5&gt;0,Control!$B$6="Y",20&gt;=Control!$B$39),Control!$B$36,0))*POWER(1+Control!$B$17,19))*Control!$B$52+(((Control!$B$20*$A$9)*Control!$B$38*2+IF(AND(Control!$B$5&gt;0,Control!$B$6="Y",20&gt;=Control!$B$39),(Control!$B$20*$A$9)*2,0))*Control!$B$41)*(Control!$B$43+Control!$B$45)*POWER(1+Control!$B$18,19)+Control!$B$47*POWER(1+Control!$B$18,19)+(Control!$B$48+Control!$B$49+Control!$B$50+Control!$B$51)*12*POWER(1+Control!$B$18,19)+((Control!$B$20*$A$9)*((Control!$B$28+Control!$B$29*(Control!$B$38-2))+(Control!$B$32+Control!$B$33*(Control!$B$38-2))+IF(AND(Control!$B$5&gt;0,Control!$B$6="Y",20&gt;=Control!$B$39),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Control!$B$78,20)*(1-Control!$B$79)</f>
        <v>18447980.034487747</v>
      </c>
    </row>
    <row r="56" spans="1:23" x14ac:dyDescent="0.3">
      <c r="A56" s="110" t="s">
        <v>551</v>
      </c>
      <c r="B56" s="110"/>
      <c r="C56" s="110"/>
      <c r="D56" s="110">
        <f>D55</f>
        <v>934342.13801200246</v>
      </c>
      <c r="E56" s="110">
        <f t="shared" ref="E56:V56" si="2">D56+E55</f>
        <v>1915401.3829246052</v>
      </c>
      <c r="F56" s="110">
        <f t="shared" si="2"/>
        <v>2945513.5900828382</v>
      </c>
      <c r="G56" s="110">
        <f t="shared" si="2"/>
        <v>4027131.4075989826</v>
      </c>
      <c r="H56" s="110">
        <f t="shared" si="2"/>
        <v>5162830.115990934</v>
      </c>
      <c r="I56" s="110">
        <f t="shared" si="2"/>
        <v>6355313.759802483</v>
      </c>
      <c r="J56" s="110">
        <f t="shared" si="2"/>
        <v>7607421.5858046096</v>
      </c>
      <c r="K56" s="110">
        <f t="shared" si="2"/>
        <v>8922134.8031068426</v>
      </c>
      <c r="L56" s="110">
        <f t="shared" si="2"/>
        <v>10302583.681274187</v>
      </c>
      <c r="M56" s="110">
        <f t="shared" si="2"/>
        <v>11752055.003349898</v>
      </c>
      <c r="N56" s="110">
        <f t="shared" si="2"/>
        <v>13273999.891529396</v>
      </c>
      <c r="O56" s="110">
        <f t="shared" si="2"/>
        <v>14872042.024117868</v>
      </c>
      <c r="P56" s="110">
        <f t="shared" si="2"/>
        <v>16549986.263335764</v>
      </c>
      <c r="Q56" s="110">
        <f t="shared" si="2"/>
        <v>18311827.714514557</v>
      </c>
      <c r="R56" s="110">
        <f t="shared" si="2"/>
        <v>20161761.23825229</v>
      </c>
      <c r="S56" s="110">
        <f t="shared" si="2"/>
        <v>22104191.438176908</v>
      </c>
      <c r="T56" s="110">
        <f t="shared" si="2"/>
        <v>24143743.148097757</v>
      </c>
      <c r="U56" s="110">
        <f t="shared" si="2"/>
        <v>26285272.443514649</v>
      </c>
      <c r="V56" s="110">
        <f t="shared" si="2"/>
        <v>28533878.203702383</v>
      </c>
      <c r="W56" s="110"/>
    </row>
    <row r="57" spans="1:23" x14ac:dyDescent="0.3">
      <c r="A57" s="110" t="s">
        <v>552</v>
      </c>
      <c r="B57" s="110"/>
      <c r="C57" s="114">
        <f>-Control!$B$15</f>
        <v>-6400000</v>
      </c>
      <c r="D57" s="110">
        <f>Control!$B$11*(((((((Control!$B$20*$A$10)*((Control!$B$28+Control!$B$29*(Control!$B$38-2))+(Control!$B$32+Control!$B$33*(Control!$B$38-2))+IF(AND(Control!$B$5&gt;0,Control!$B$6="Y",1&gt;=Control!$B$39),Control!$B$36,0))*POWER(1+Control!$B$17,0))+((((Control!$B$20*$A$10)*Control!$B$38*2+IF(AND(Control!$B$5&gt;0,Control!$B$6="Y",1&gt;=Control!$B$39),(Control!$B$20*$A$10)*2,0))*Control!$B$41)*(Control!$B$42+Control!$B$44)*POWER(1+Control!$B$17,0))+(Control!$B$46*POWER(1+Control!$B$17,0)))-(((Control!$B$20*$A$10)*((Control!$B$28+Control!$B$29*(Control!$B$38-2))+(Control!$B$32+Control!$B$33*(Control!$B$38-2))+IF(AND(Control!$B$5&gt;0,Control!$B$6="Y",1&gt;=Control!$B$39),Control!$B$36,0))*POWER(1+Control!$B$17,0))*Control!$B$52+(((Control!$B$20*$A$10)*Control!$B$38*2+IF(AND(Control!$B$5&gt;0,Control!$B$6="Y",1&gt;=Control!$B$39),(Control!$B$20*$A$10)*2,0))*Control!$B$41)*(Control!$B$43+Control!$B$45)*POWER(1+Control!$B$18,0)+Control!$B$47*POWER(1+Control!$B$18,0)+(Control!$B$48+Control!$B$49+Control!$B$50+Control!$B$51)*12*POWER(1+Control!$B$18,0)+((Control!$B$20*$A$10)*((Control!$B$28+Control!$B$29*(Control!$B$38-2))+(Control!$B$32+Control!$B$33*(Control!$B$38-2))+IF(AND(Control!$B$5&gt;0,Control!$B$6="Y",1&gt;=Control!$B$39),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980351.39176200249</v>
      </c>
      <c r="E57" s="110">
        <f>Control!$B$11*(((((((Control!$B$20*$A$10)*((Control!$B$28+Control!$B$29*(Control!$B$38-2))+(Control!$B$32+Control!$B$33*(Control!$B$38-2))+IF(AND(Control!$B$5&gt;0,Control!$B$6="Y",2&gt;=Control!$B$39),Control!$B$36,0))*POWER(1+Control!$B$17,1))+((((Control!$B$20*$A$10)*Control!$B$38*2+IF(AND(Control!$B$5&gt;0,Control!$B$6="Y",2&gt;=Control!$B$39),(Control!$B$20*$A$10)*2,0))*Control!$B$41)*(Control!$B$42+Control!$B$44)*POWER(1+Control!$B$17,1))+(Control!$B$46*POWER(1+Control!$B$17,1)))-(((Control!$B$20*$A$10)*((Control!$B$28+Control!$B$29*(Control!$B$38-2))+(Control!$B$32+Control!$B$33*(Control!$B$38-2))+IF(AND(Control!$B$5&gt;0,Control!$B$6="Y",2&gt;=Control!$B$39),Control!$B$36,0))*POWER(1+Control!$B$17,1))*Control!$B$52+(((Control!$B$20*$A$10)*Control!$B$38*2+IF(AND(Control!$B$5&gt;0,Control!$B$6="Y",2&gt;=Control!$B$39),(Control!$B$20*$A$10)*2,0))*Control!$B$41)*(Control!$B$43+Control!$B$45)*POWER(1+Control!$B$18,1)+Control!$B$47*POWER(1+Control!$B$18,1)+(Control!$B$48+Control!$B$49+Control!$B$50+Control!$B$51)*12*POWER(1+Control!$B$18,1)+((Control!$B$20*$A$10)*((Control!$B$28+Control!$B$29*(Control!$B$38-2))+(Control!$B$32+Control!$B$33*(Control!$B$38-2))+IF(AND(Control!$B$5&gt;0,Control!$B$6="Y",2&gt;=Control!$B$39),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1029368.9613501029</v>
      </c>
      <c r="F57" s="110">
        <f>Control!$B$11*(((((((Control!$B$20*$A$10)*((Control!$B$28+Control!$B$29*(Control!$B$38-2))+(Control!$B$32+Control!$B$33*(Control!$B$38-2))+IF(AND(Control!$B$5&gt;0,Control!$B$6="Y",3&gt;=Control!$B$39),Control!$B$36,0))*POWER(1+Control!$B$17,2))+((((Control!$B$20*$A$10)*Control!$B$38*2+IF(AND(Control!$B$5&gt;0,Control!$B$6="Y",3&gt;=Control!$B$39),(Control!$B$20*$A$10)*2,0))*Control!$B$41)*(Control!$B$42+Control!$B$44)*POWER(1+Control!$B$17,2))+(Control!$B$46*POWER(1+Control!$B$17,2)))-(((Control!$B$20*$A$10)*((Control!$B$28+Control!$B$29*(Control!$B$38-2))+(Control!$B$32+Control!$B$33*(Control!$B$38-2))+IF(AND(Control!$B$5&gt;0,Control!$B$6="Y",3&gt;=Control!$B$39),Control!$B$36,0))*POWER(1+Control!$B$17,2))*Control!$B$52+(((Control!$B$20*$A$10)*Control!$B$38*2+IF(AND(Control!$B$5&gt;0,Control!$B$6="Y",3&gt;=Control!$B$39),(Control!$B$20*$A$10)*2,0))*Control!$B$41)*(Control!$B$43+Control!$B$45)*POWER(1+Control!$B$18,2)+Control!$B$47*POWER(1+Control!$B$18,2)+(Control!$B$48+Control!$B$49+Control!$B$50+Control!$B$51)*12*POWER(1+Control!$B$18,2)+((Control!$B$20*$A$10)*((Control!$B$28+Control!$B$29*(Control!$B$38-2))+(Control!$B$32+Control!$B$33*(Control!$B$38-2))+IF(AND(Control!$B$5&gt;0,Control!$B$6="Y",3&gt;=Control!$B$39),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1080837.4094176078</v>
      </c>
      <c r="G57" s="110">
        <f>Control!$B$11*(((((((Control!$B$20*$A$10)*((Control!$B$28+Control!$B$29*(Control!$B$38-2))+(Control!$B$32+Control!$B$33*(Control!$B$38-2))+IF(AND(Control!$B$5&gt;0,Control!$B$6="Y",4&gt;=Control!$B$39),Control!$B$36,0))*POWER(1+Control!$B$17,3))+((((Control!$B$20*$A$10)*Control!$B$38*2+IF(AND(Control!$B$5&gt;0,Control!$B$6="Y",4&gt;=Control!$B$39),(Control!$B$20*$A$10)*2,0))*Control!$B$41)*(Control!$B$42+Control!$B$44)*POWER(1+Control!$B$17,3))+(Control!$B$46*POWER(1+Control!$B$17,3)))-(((Control!$B$20*$A$10)*((Control!$B$28+Control!$B$29*(Control!$B$38-2))+(Control!$B$32+Control!$B$33*(Control!$B$38-2))+IF(AND(Control!$B$5&gt;0,Control!$B$6="Y",4&gt;=Control!$B$39),Control!$B$36,0))*POWER(1+Control!$B$17,3))*Control!$B$52+(((Control!$B$20*$A$10)*Control!$B$38*2+IF(AND(Control!$B$5&gt;0,Control!$B$6="Y",4&gt;=Control!$B$39),(Control!$B$20*$A$10)*2,0))*Control!$B$41)*(Control!$B$43+Control!$B$45)*POWER(1+Control!$B$18,3)+Control!$B$47*POWER(1+Control!$B$18,3)+(Control!$B$48+Control!$B$49+Control!$B$50+Control!$B$51)*12*POWER(1+Control!$B$18,3)+((Control!$B$20*$A$10)*((Control!$B$28+Control!$B$29*(Control!$B$38-2))+(Control!$B$32+Control!$B$33*(Control!$B$38-2))+IF(AND(Control!$B$5&gt;0,Control!$B$6="Y",4&gt;=Control!$B$39),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1134879.2798884886</v>
      </c>
      <c r="H57" s="110">
        <f>Control!$B$11*(((((((Control!$B$20*$A$10)*((Control!$B$28+Control!$B$29*(Control!$B$38-2))+(Control!$B$32+Control!$B$33*(Control!$B$38-2))+IF(AND(Control!$B$5&gt;0,Control!$B$6="Y",5&gt;=Control!$B$39),Control!$B$36,0))*POWER(1+Control!$B$17,4))+((((Control!$B$20*$A$10)*Control!$B$38*2+IF(AND(Control!$B$5&gt;0,Control!$B$6="Y",5&gt;=Control!$B$39),(Control!$B$20*$A$10)*2,0))*Control!$B$41)*(Control!$B$42+Control!$B$44)*POWER(1+Control!$B$17,4))+(Control!$B$46*POWER(1+Control!$B$17,4)))-(((Control!$B$20*$A$10)*((Control!$B$28+Control!$B$29*(Control!$B$38-2))+(Control!$B$32+Control!$B$33*(Control!$B$38-2))+IF(AND(Control!$B$5&gt;0,Control!$B$6="Y",5&gt;=Control!$B$39),Control!$B$36,0))*POWER(1+Control!$B$17,4))*Control!$B$52+(((Control!$B$20*$A$10)*Control!$B$38*2+IF(AND(Control!$B$5&gt;0,Control!$B$6="Y",5&gt;=Control!$B$39),(Control!$B$20*$A$10)*2,0))*Control!$B$41)*(Control!$B$43+Control!$B$45)*POWER(1+Control!$B$18,4)+Control!$B$47*POWER(1+Control!$B$18,4)+(Control!$B$48+Control!$B$49+Control!$B$50+Control!$B$51)*12*POWER(1+Control!$B$18,4)+((Control!$B$20*$A$10)*((Control!$B$28+Control!$B$29*(Control!$B$38-2))+(Control!$B$32+Control!$B$33*(Control!$B$38-2))+IF(AND(Control!$B$5&gt;0,Control!$B$6="Y",5&gt;=Control!$B$39),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1191623.2438829127</v>
      </c>
      <c r="I57" s="110">
        <f>Control!$B$11*(((((((Control!$B$20*$A$10)*((Control!$B$28+Control!$B$29*(Control!$B$38-2))+(Control!$B$32+Control!$B$33*(Control!$B$38-2))+IF(AND(Control!$B$5&gt;0,Control!$B$6="Y",6&gt;=Control!$B$39),Control!$B$36,0))*POWER(1+Control!$B$17,5))+((((Control!$B$20*$A$10)*Control!$B$38*2+IF(AND(Control!$B$5&gt;0,Control!$B$6="Y",6&gt;=Control!$B$39),(Control!$B$20*$A$10)*2,0))*Control!$B$41)*(Control!$B$42+Control!$B$44)*POWER(1+Control!$B$17,5))+(Control!$B$46*POWER(1+Control!$B$17,5)))-(((Control!$B$20*$A$10)*((Control!$B$28+Control!$B$29*(Control!$B$38-2))+(Control!$B$32+Control!$B$33*(Control!$B$38-2))+IF(AND(Control!$B$5&gt;0,Control!$B$6="Y",6&gt;=Control!$B$39),Control!$B$36,0))*POWER(1+Control!$B$17,5))*Control!$B$52+(((Control!$B$20*$A$10)*Control!$B$38*2+IF(AND(Control!$B$5&gt;0,Control!$B$6="Y",6&gt;=Control!$B$39),(Control!$B$20*$A$10)*2,0))*Control!$B$41)*(Control!$B$43+Control!$B$45)*POWER(1+Control!$B$18,5)+Control!$B$47*POWER(1+Control!$B$18,5)+(Control!$B$48+Control!$B$49+Control!$B$50+Control!$B$51)*12*POWER(1+Control!$B$18,5)+((Control!$B$20*$A$10)*((Control!$B$28+Control!$B$29*(Control!$B$38-2))+(Control!$B$32+Control!$B$33*(Control!$B$38-2))+IF(AND(Control!$B$5&gt;0,Control!$B$6="Y",6&gt;=Control!$B$39),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1251204.4060770585</v>
      </c>
      <c r="J57" s="110">
        <f>Control!$B$11*(((((((Control!$B$20*$A$10)*((Control!$B$28+Control!$B$29*(Control!$B$38-2))+(Control!$B$32+Control!$B$33*(Control!$B$38-2))+IF(AND(Control!$B$5&gt;0,Control!$B$6="Y",7&gt;=Control!$B$39),Control!$B$36,0))*POWER(1+Control!$B$17,6))+((((Control!$B$20*$A$10)*Control!$B$38*2+IF(AND(Control!$B$5&gt;0,Control!$B$6="Y",7&gt;=Control!$B$39),(Control!$B$20*$A$10)*2,0))*Control!$B$41)*(Control!$B$42+Control!$B$44)*POWER(1+Control!$B$17,6))+(Control!$B$46*POWER(1+Control!$B$17,6)))-(((Control!$B$20*$A$10)*((Control!$B$28+Control!$B$29*(Control!$B$38-2))+(Control!$B$32+Control!$B$33*(Control!$B$38-2))+IF(AND(Control!$B$5&gt;0,Control!$B$6="Y",7&gt;=Control!$B$39),Control!$B$36,0))*POWER(1+Control!$B$17,6))*Control!$B$52+(((Control!$B$20*$A$10)*Control!$B$38*2+IF(AND(Control!$B$5&gt;0,Control!$B$6="Y",7&gt;=Control!$B$39),(Control!$B$20*$A$10)*2,0))*Control!$B$41)*(Control!$B$43+Control!$B$45)*POWER(1+Control!$B$18,6)+Control!$B$47*POWER(1+Control!$B$18,6)+(Control!$B$48+Control!$B$49+Control!$B$50+Control!$B$51)*12*POWER(1+Control!$B$18,6)+((Control!$B$20*$A$10)*((Control!$B$28+Control!$B$29*(Control!$B$38-2))+(Control!$B$32+Control!$B$33*(Control!$B$38-2))+IF(AND(Control!$B$5&gt;0,Control!$B$6="Y",7&gt;=Control!$B$39),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1313764.6263809111</v>
      </c>
      <c r="K57" s="110">
        <f>Control!$B$11*(((((((Control!$B$20*$A$10)*((Control!$B$28+Control!$B$29*(Control!$B$38-2))+(Control!$B$32+Control!$B$33*(Control!$B$38-2))+IF(AND(Control!$B$5&gt;0,Control!$B$6="Y",8&gt;=Control!$B$39),Control!$B$36,0))*POWER(1+Control!$B$17,7))+((((Control!$B$20*$A$10)*Control!$B$38*2+IF(AND(Control!$B$5&gt;0,Control!$B$6="Y",8&gt;=Control!$B$39),(Control!$B$20*$A$10)*2,0))*Control!$B$41)*(Control!$B$42+Control!$B$44)*POWER(1+Control!$B$17,7))+(Control!$B$46*POWER(1+Control!$B$17,7)))-(((Control!$B$20*$A$10)*((Control!$B$28+Control!$B$29*(Control!$B$38-2))+(Control!$B$32+Control!$B$33*(Control!$B$38-2))+IF(AND(Control!$B$5&gt;0,Control!$B$6="Y",8&gt;=Control!$B$39),Control!$B$36,0))*POWER(1+Control!$B$17,7))*Control!$B$52+(((Control!$B$20*$A$10)*Control!$B$38*2+IF(AND(Control!$B$5&gt;0,Control!$B$6="Y",8&gt;=Control!$B$39),(Control!$B$20*$A$10)*2,0))*Control!$B$41)*(Control!$B$43+Control!$B$45)*POWER(1+Control!$B$18,7)+Control!$B$47*POWER(1+Control!$B$18,7)+(Control!$B$48+Control!$B$49+Control!$B$50+Control!$B$51)*12*POWER(1+Control!$B$18,7)+((Control!$B$20*$A$10)*((Control!$B$28+Control!$B$29*(Control!$B$38-2))+(Control!$B$32+Control!$B$33*(Control!$B$38-2))+IF(AND(Control!$B$5&gt;0,Control!$B$6="Y",8&gt;=Control!$B$39),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1379452.857699957</v>
      </c>
      <c r="L57" s="110">
        <f>Control!$B$11*(((((((Control!$B$20*$A$10)*((Control!$B$28+Control!$B$29*(Control!$B$38-2))+(Control!$B$32+Control!$B$33*(Control!$B$38-2))+IF(AND(Control!$B$5&gt;0,Control!$B$6="Y",9&gt;=Control!$B$39),Control!$B$36,0))*POWER(1+Control!$B$17,8))+((((Control!$B$20*$A$10)*Control!$B$38*2+IF(AND(Control!$B$5&gt;0,Control!$B$6="Y",9&gt;=Control!$B$39),(Control!$B$20*$A$10)*2,0))*Control!$B$41)*(Control!$B$42+Control!$B$44)*POWER(1+Control!$B$17,8))+(Control!$B$46*POWER(1+Control!$B$17,8)))-(((Control!$B$20*$A$10)*((Control!$B$28+Control!$B$29*(Control!$B$38-2))+(Control!$B$32+Control!$B$33*(Control!$B$38-2))+IF(AND(Control!$B$5&gt;0,Control!$B$6="Y",9&gt;=Control!$B$39),Control!$B$36,0))*POWER(1+Control!$B$17,8))*Control!$B$52+(((Control!$B$20*$A$10)*Control!$B$38*2+IF(AND(Control!$B$5&gt;0,Control!$B$6="Y",9&gt;=Control!$B$39),(Control!$B$20*$A$10)*2,0))*Control!$B$41)*(Control!$B$43+Control!$B$45)*POWER(1+Control!$B$18,8)+Control!$B$47*POWER(1+Control!$B$18,8)+(Control!$B$48+Control!$B$49+Control!$B$50+Control!$B$51)*12*POWER(1+Control!$B$18,8)+((Control!$B$20*$A$10)*((Control!$B$28+Control!$B$29*(Control!$B$38-2))+(Control!$B$32+Control!$B$33*(Control!$B$38-2))+IF(AND(Control!$B$5&gt;0,Control!$B$6="Y",9&gt;=Control!$B$39),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1448425.5005849546</v>
      </c>
      <c r="M57" s="110">
        <f>Control!$B$11*(((((((Control!$B$20*$A$10)*((Control!$B$28+Control!$B$29*(Control!$B$38-2))+(Control!$B$32+Control!$B$33*(Control!$B$38-2))+IF(AND(Control!$B$5&gt;0,Control!$B$6="Y",10&gt;=Control!$B$39),Control!$B$36,0))*POWER(1+Control!$B$17,9))+((((Control!$B$20*$A$10)*Control!$B$38*2+IF(AND(Control!$B$5&gt;0,Control!$B$6="Y",10&gt;=Control!$B$39),(Control!$B$20*$A$10)*2,0))*Control!$B$41)*(Control!$B$42+Control!$B$44)*POWER(1+Control!$B$17,9))+(Control!$B$46*POWER(1+Control!$B$17,9)))-(((Control!$B$20*$A$10)*((Control!$B$28+Control!$B$29*(Control!$B$38-2))+(Control!$B$32+Control!$B$33*(Control!$B$38-2))+IF(AND(Control!$B$5&gt;0,Control!$B$6="Y",10&gt;=Control!$B$39),Control!$B$36,0))*POWER(1+Control!$B$17,9))*Control!$B$52+(((Control!$B$20*$A$10)*Control!$B$38*2+IF(AND(Control!$B$5&gt;0,Control!$B$6="Y",10&gt;=Control!$B$39),(Control!$B$20*$A$10)*2,0))*Control!$B$41)*(Control!$B$43+Control!$B$45)*POWER(1+Control!$B$18,9)+Control!$B$47*POWER(1+Control!$B$18,9)+(Control!$B$48+Control!$B$49+Control!$B$50+Control!$B$51)*12*POWER(1+Control!$B$18,9)+((Control!$B$20*$A$10)*((Control!$B$28+Control!$B$29*(Control!$B$38-2))+(Control!$B$32+Control!$B$33*(Control!$B$38-2))+IF(AND(Control!$B$5&gt;0,Control!$B$6="Y",10&gt;=Control!$B$39),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1520846.7756142023</v>
      </c>
      <c r="N57" s="110">
        <f>Control!$B$11*(((((((Control!$B$20*$A$10)*((Control!$B$28+Control!$B$29*(Control!$B$38-2))+(Control!$B$32+Control!$B$33*(Control!$B$38-2))+IF(AND(Control!$B$5&gt;0,Control!$B$6="Y",11&gt;=Control!$B$39),Control!$B$36,0))*POWER(1+Control!$B$17,10))+((((Control!$B$20*$A$10)*Control!$B$38*2+IF(AND(Control!$B$5&gt;0,Control!$B$6="Y",11&gt;=Control!$B$39),(Control!$B$20*$A$10)*2,0))*Control!$B$41)*(Control!$B$42+Control!$B$44)*POWER(1+Control!$B$17,10))+(Control!$B$46*POWER(1+Control!$B$17,10)))-(((Control!$B$20*$A$10)*((Control!$B$28+Control!$B$29*(Control!$B$38-2))+(Control!$B$32+Control!$B$33*(Control!$B$38-2))+IF(AND(Control!$B$5&gt;0,Control!$B$6="Y",11&gt;=Control!$B$39),Control!$B$36,0))*POWER(1+Control!$B$17,10))*Control!$B$52+(((Control!$B$20*$A$10)*Control!$B$38*2+IF(AND(Control!$B$5&gt;0,Control!$B$6="Y",11&gt;=Control!$B$39),(Control!$B$20*$A$10)*2,0))*Control!$B$41)*(Control!$B$43+Control!$B$45)*POWER(1+Control!$B$18,10)+Control!$B$47*POWER(1+Control!$B$18,10)+(Control!$B$48+Control!$B$49+Control!$B$50+Control!$B$51)*12*POWER(1+Control!$B$18,10)+((Control!$B$20*$A$10)*((Control!$B$28+Control!$B$29*(Control!$B$38-2))+(Control!$B$32+Control!$B$33*(Control!$B$38-2))+IF(AND(Control!$B$5&gt;0,Control!$B$6="Y",11&gt;=Control!$B$39),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1596889.1143949125</v>
      </c>
      <c r="O57" s="110">
        <f>Control!$B$11*(((((((Control!$B$20*$A$10)*((Control!$B$28+Control!$B$29*(Control!$B$38-2))+(Control!$B$32+Control!$B$33*(Control!$B$38-2))+IF(AND(Control!$B$5&gt;0,Control!$B$6="Y",12&gt;=Control!$B$39),Control!$B$36,0))*POWER(1+Control!$B$17,11))+((((Control!$B$20*$A$10)*Control!$B$38*2+IF(AND(Control!$B$5&gt;0,Control!$B$6="Y",12&gt;=Control!$B$39),(Control!$B$20*$A$10)*2,0))*Control!$B$41)*(Control!$B$42+Control!$B$44)*POWER(1+Control!$B$17,11))+(Control!$B$46*POWER(1+Control!$B$17,11)))-(((Control!$B$20*$A$10)*((Control!$B$28+Control!$B$29*(Control!$B$38-2))+(Control!$B$32+Control!$B$33*(Control!$B$38-2))+IF(AND(Control!$B$5&gt;0,Control!$B$6="Y",12&gt;=Control!$B$39),Control!$B$36,0))*POWER(1+Control!$B$17,11))*Control!$B$52+(((Control!$B$20*$A$10)*Control!$B$38*2+IF(AND(Control!$B$5&gt;0,Control!$B$6="Y",12&gt;=Control!$B$39),(Control!$B$20*$A$10)*2,0))*Control!$B$41)*(Control!$B$43+Control!$B$45)*POWER(1+Control!$B$18,11)+Control!$B$47*POWER(1+Control!$B$18,11)+(Control!$B$48+Control!$B$49+Control!$B$50+Control!$B$51)*12*POWER(1+Control!$B$18,11)+((Control!$B$20*$A$10)*((Control!$B$28+Control!$B$29*(Control!$B$38-2))+(Control!$B$32+Control!$B$33*(Control!$B$38-2))+IF(AND(Control!$B$5&gt;0,Control!$B$6="Y",12&gt;=Control!$B$39),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1676733.5701146587</v>
      </c>
      <c r="P57" s="110">
        <f>Control!$B$11*(((((((Control!$B$20*$A$10)*((Control!$B$28+Control!$B$29*(Control!$B$38-2))+(Control!$B$32+Control!$B$33*(Control!$B$38-2))+IF(AND(Control!$B$5&gt;0,Control!$B$6="Y",13&gt;=Control!$B$39),Control!$B$36,0))*POWER(1+Control!$B$17,12))+((((Control!$B$20*$A$10)*Control!$B$38*2+IF(AND(Control!$B$5&gt;0,Control!$B$6="Y",13&gt;=Control!$B$39),(Control!$B$20*$A$10)*2,0))*Control!$B$41)*(Control!$B$42+Control!$B$44)*POWER(1+Control!$B$17,12))+(Control!$B$46*POWER(1+Control!$B$17,12)))-(((Control!$B$20*$A$10)*((Control!$B$28+Control!$B$29*(Control!$B$38-2))+(Control!$B$32+Control!$B$33*(Control!$B$38-2))+IF(AND(Control!$B$5&gt;0,Control!$B$6="Y",13&gt;=Control!$B$39),Control!$B$36,0))*POWER(1+Control!$B$17,12))*Control!$B$52+(((Control!$B$20*$A$10)*Control!$B$38*2+IF(AND(Control!$B$5&gt;0,Control!$B$6="Y",13&gt;=Control!$B$39),(Control!$B$20*$A$10)*2,0))*Control!$B$41)*(Control!$B$43+Control!$B$45)*POWER(1+Control!$B$18,12)+Control!$B$47*POWER(1+Control!$B$18,12)+(Control!$B$48+Control!$B$49+Control!$B$50+Control!$B$51)*12*POWER(1+Control!$B$18,12)+((Control!$B$20*$A$10)*((Control!$B$28+Control!$B$29*(Control!$B$38-2))+(Control!$B$32+Control!$B$33*(Control!$B$38-2))+IF(AND(Control!$B$5&gt;0,Control!$B$6="Y",13&gt;=Control!$B$39),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1760570.2486203914</v>
      </c>
      <c r="Q57" s="110">
        <f>Control!$B$11*(((((((Control!$B$20*$A$10)*((Control!$B$28+Control!$B$29*(Control!$B$38-2))+(Control!$B$32+Control!$B$33*(Control!$B$38-2))+IF(AND(Control!$B$5&gt;0,Control!$B$6="Y",14&gt;=Control!$B$39),Control!$B$36,0))*POWER(1+Control!$B$17,13))+((((Control!$B$20*$A$10)*Control!$B$38*2+IF(AND(Control!$B$5&gt;0,Control!$B$6="Y",14&gt;=Control!$B$39),(Control!$B$20*$A$10)*2,0))*Control!$B$41)*(Control!$B$42+Control!$B$44)*POWER(1+Control!$B$17,13))+(Control!$B$46*POWER(1+Control!$B$17,13)))-(((Control!$B$20*$A$10)*((Control!$B$28+Control!$B$29*(Control!$B$38-2))+(Control!$B$32+Control!$B$33*(Control!$B$38-2))+IF(AND(Control!$B$5&gt;0,Control!$B$6="Y",14&gt;=Control!$B$39),Control!$B$36,0))*POWER(1+Control!$B$17,13))*Control!$B$52+(((Control!$B$20*$A$10)*Control!$B$38*2+IF(AND(Control!$B$5&gt;0,Control!$B$6="Y",14&gt;=Control!$B$39),(Control!$B$20*$A$10)*2,0))*Control!$B$41)*(Control!$B$43+Control!$B$45)*POWER(1+Control!$B$18,13)+Control!$B$47*POWER(1+Control!$B$18,13)+(Control!$B$48+Control!$B$49+Control!$B$50+Control!$B$51)*12*POWER(1+Control!$B$18,13)+((Control!$B$20*$A$10)*((Control!$B$28+Control!$B$29*(Control!$B$38-2))+(Control!$B$32+Control!$B$33*(Control!$B$38-2))+IF(AND(Control!$B$5&gt;0,Control!$B$6="Y",14&gt;=Control!$B$39),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1848598.7610514115</v>
      </c>
      <c r="R57" s="110">
        <f>Control!$B$11*(((((((Control!$B$20*$A$10)*((Control!$B$28+Control!$B$29*(Control!$B$38-2))+(Control!$B$32+Control!$B$33*(Control!$B$38-2))+IF(AND(Control!$B$5&gt;0,Control!$B$6="Y",15&gt;=Control!$B$39),Control!$B$36,0))*POWER(1+Control!$B$17,14))+((((Control!$B$20*$A$10)*Control!$B$38*2+IF(AND(Control!$B$5&gt;0,Control!$B$6="Y",15&gt;=Control!$B$39),(Control!$B$20*$A$10)*2,0))*Control!$B$41)*(Control!$B$42+Control!$B$44)*POWER(1+Control!$B$17,14))+(Control!$B$46*POWER(1+Control!$B$17,14)))-(((Control!$B$20*$A$10)*((Control!$B$28+Control!$B$29*(Control!$B$38-2))+(Control!$B$32+Control!$B$33*(Control!$B$38-2))+IF(AND(Control!$B$5&gt;0,Control!$B$6="Y",15&gt;=Control!$B$39),Control!$B$36,0))*POWER(1+Control!$B$17,14))*Control!$B$52+(((Control!$B$20*$A$10)*Control!$B$38*2+IF(AND(Control!$B$5&gt;0,Control!$B$6="Y",15&gt;=Control!$B$39),(Control!$B$20*$A$10)*2,0))*Control!$B$41)*(Control!$B$43+Control!$B$45)*POWER(1+Control!$B$18,14)+Control!$B$47*POWER(1+Control!$B$18,14)+(Control!$B$48+Control!$B$49+Control!$B$50+Control!$B$51)*12*POWER(1+Control!$B$18,14)+((Control!$B$20*$A$10)*((Control!$B$28+Control!$B$29*(Control!$B$38-2))+(Control!$B$32+Control!$B$33*(Control!$B$38-2))+IF(AND(Control!$B$5&gt;0,Control!$B$6="Y",15&gt;=Control!$B$39),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1941028.6991039813</v>
      </c>
      <c r="S57" s="110">
        <f>Control!$B$11*(((((((Control!$B$20*$A$10)*((Control!$B$28+Control!$B$29*(Control!$B$38-2))+(Control!$B$32+Control!$B$33*(Control!$B$38-2))+IF(AND(Control!$B$5&gt;0,Control!$B$6="Y",16&gt;=Control!$B$39),Control!$B$36,0))*POWER(1+Control!$B$17,15))+((((Control!$B$20*$A$10)*Control!$B$38*2+IF(AND(Control!$B$5&gt;0,Control!$B$6="Y",16&gt;=Control!$B$39),(Control!$B$20*$A$10)*2,0))*Control!$B$41)*(Control!$B$42+Control!$B$44)*POWER(1+Control!$B$17,15))+(Control!$B$46*POWER(1+Control!$B$17,15)))-(((Control!$B$20*$A$10)*((Control!$B$28+Control!$B$29*(Control!$B$38-2))+(Control!$B$32+Control!$B$33*(Control!$B$38-2))+IF(AND(Control!$B$5&gt;0,Control!$B$6="Y",16&gt;=Control!$B$39),Control!$B$36,0))*POWER(1+Control!$B$17,15))*Control!$B$52+(((Control!$B$20*$A$10)*Control!$B$38*2+IF(AND(Control!$B$5&gt;0,Control!$B$6="Y",16&gt;=Control!$B$39),(Control!$B$20*$A$10)*2,0))*Control!$B$41)*(Control!$B$43+Control!$B$45)*POWER(1+Control!$B$18,15)+Control!$B$47*POWER(1+Control!$B$18,15)+(Control!$B$48+Control!$B$49+Control!$B$50+Control!$B$51)*12*POWER(1+Control!$B$18,15)+((Control!$B$20*$A$10)*((Control!$B$28+Control!$B$29*(Control!$B$38-2))+(Control!$B$32+Control!$B$33*(Control!$B$38-2))+IF(AND(Control!$B$5&gt;0,Control!$B$6="Y",16&gt;=Control!$B$39),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2038080.1340591807</v>
      </c>
      <c r="T57" s="110">
        <f>Control!$B$11*(((((((Control!$B$20*$A$10)*((Control!$B$28+Control!$B$29*(Control!$B$38-2))+(Control!$B$32+Control!$B$33*(Control!$B$38-2))+IF(AND(Control!$B$5&gt;0,Control!$B$6="Y",17&gt;=Control!$B$39),Control!$B$36,0))*POWER(1+Control!$B$17,16))+((((Control!$B$20*$A$10)*Control!$B$38*2+IF(AND(Control!$B$5&gt;0,Control!$B$6="Y",17&gt;=Control!$B$39),(Control!$B$20*$A$10)*2,0))*Control!$B$41)*(Control!$B$42+Control!$B$44)*POWER(1+Control!$B$17,16))+(Control!$B$46*POWER(1+Control!$B$17,16)))-(((Control!$B$20*$A$10)*((Control!$B$28+Control!$B$29*(Control!$B$38-2))+(Control!$B$32+Control!$B$33*(Control!$B$38-2))+IF(AND(Control!$B$5&gt;0,Control!$B$6="Y",17&gt;=Control!$B$39),Control!$B$36,0))*POWER(1+Control!$B$17,16))*Control!$B$52+(((Control!$B$20*$A$10)*Control!$B$38*2+IF(AND(Control!$B$5&gt;0,Control!$B$6="Y",17&gt;=Control!$B$39),(Control!$B$20*$A$10)*2,0))*Control!$B$41)*(Control!$B$43+Control!$B$45)*POWER(1+Control!$B$18,16)+Control!$B$47*POWER(1+Control!$B$18,16)+(Control!$B$48+Control!$B$49+Control!$B$50+Control!$B$51)*12*POWER(1+Control!$B$18,16)+((Control!$B$20*$A$10)*((Control!$B$28+Control!$B$29*(Control!$B$38-2))+(Control!$B$32+Control!$B$33*(Control!$B$38-2))+IF(AND(Control!$B$5&gt;0,Control!$B$6="Y",17&gt;=Control!$B$39),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2139984.1407621396</v>
      </c>
      <c r="U57" s="110">
        <f>Control!$B$11*(((((((Control!$B$20*$A$10)*((Control!$B$28+Control!$B$29*(Control!$B$38-2))+(Control!$B$32+Control!$B$33*(Control!$B$38-2))+IF(AND(Control!$B$5&gt;0,Control!$B$6="Y",18&gt;=Control!$B$39),Control!$B$36,0))*POWER(1+Control!$B$17,17))+((((Control!$B$20*$A$10)*Control!$B$38*2+IF(AND(Control!$B$5&gt;0,Control!$B$6="Y",18&gt;=Control!$B$39),(Control!$B$20*$A$10)*2,0))*Control!$B$41)*(Control!$B$42+Control!$B$44)*POWER(1+Control!$B$17,17))+(Control!$B$46*POWER(1+Control!$B$17,17)))-(((Control!$B$20*$A$10)*((Control!$B$28+Control!$B$29*(Control!$B$38-2))+(Control!$B$32+Control!$B$33*(Control!$B$38-2))+IF(AND(Control!$B$5&gt;0,Control!$B$6="Y",18&gt;=Control!$B$39),Control!$B$36,0))*POWER(1+Control!$B$17,17))*Control!$B$52+(((Control!$B$20*$A$10)*Control!$B$38*2+IF(AND(Control!$B$5&gt;0,Control!$B$6="Y",18&gt;=Control!$B$39),(Control!$B$20*$A$10)*2,0))*Control!$B$41)*(Control!$B$43+Control!$B$45)*POWER(1+Control!$B$18,17)+Control!$B$47*POWER(1+Control!$B$18,17)+(Control!$B$48+Control!$B$49+Control!$B$50+Control!$B$51)*12*POWER(1+Control!$B$18,17)+((Control!$B$20*$A$10)*((Control!$B$28+Control!$B$29*(Control!$B$38-2))+(Control!$B$32+Control!$B$33*(Control!$B$38-2))+IF(AND(Control!$B$5&gt;0,Control!$B$6="Y",18&gt;=Control!$B$39),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2246983.3478002469</v>
      </c>
      <c r="V57" s="110">
        <f>Control!$B$11*(((((((Control!$B$20*$A$10)*((Control!$B$28+Control!$B$29*(Control!$B$38-2))+(Control!$B$32+Control!$B$33*(Control!$B$38-2))+IF(AND(Control!$B$5&gt;0,Control!$B$6="Y",19&gt;=Control!$B$39),Control!$B$36,0))*POWER(1+Control!$B$17,18))+((((Control!$B$20*$A$10)*Control!$B$38*2+IF(AND(Control!$B$5&gt;0,Control!$B$6="Y",19&gt;=Control!$B$39),(Control!$B$20*$A$10)*2,0))*Control!$B$41)*(Control!$B$42+Control!$B$44)*POWER(1+Control!$B$17,18))+(Control!$B$46*POWER(1+Control!$B$17,18)))-(((Control!$B$20*$A$10)*((Control!$B$28+Control!$B$29*(Control!$B$38-2))+(Control!$B$32+Control!$B$33*(Control!$B$38-2))+IF(AND(Control!$B$5&gt;0,Control!$B$6="Y",19&gt;=Control!$B$39),Control!$B$36,0))*POWER(1+Control!$B$17,18))*Control!$B$52+(((Control!$B$20*$A$10)*Control!$B$38*2+IF(AND(Control!$B$5&gt;0,Control!$B$6="Y",19&gt;=Control!$B$39),(Control!$B$20*$A$10)*2,0))*Control!$B$41)*(Control!$B$43+Control!$B$45)*POWER(1+Control!$B$18,18)+Control!$B$47*POWER(1+Control!$B$18,18)+(Control!$B$48+Control!$B$49+Control!$B$50+Control!$B$51)*12*POWER(1+Control!$B$18,18)+((Control!$B$20*$A$10)*((Control!$B$28+Control!$B$29*(Control!$B$38-2))+(Control!$B$32+Control!$B$33*(Control!$B$38-2))+IF(AND(Control!$B$5&gt;0,Control!$B$6="Y",19&gt;=Control!$B$39),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2359332.5151902586</v>
      </c>
      <c r="W57" s="110">
        <f>Control!$B$11*(((((((Control!$B$20*$A$10)*((Control!$B$28+Control!$B$29*(Control!$B$38-2))+(Control!$B$32+Control!$B$33*(Control!$B$38-2))+IF(AND(Control!$B$5&gt;0,Control!$B$6="Y",20&gt;=Control!$B$39),Control!$B$36,0))*POWER(1+Control!$B$17,19))+((((Control!$B$20*$A$10)*Control!$B$38*2+IF(AND(Control!$B$5&gt;0,Control!$B$6="Y",20&gt;=Control!$B$39),(Control!$B$20*$A$10)*2,0))*Control!$B$41)*(Control!$B$42+Control!$B$44)*POWER(1+Control!$B$17,19))+(Control!$B$46*POWER(1+Control!$B$17,19)))-(((Control!$B$20*$A$10)*((Control!$B$28+Control!$B$29*(Control!$B$38-2))+(Control!$B$32+Control!$B$33*(Control!$B$38-2))+IF(AND(Control!$B$5&gt;0,Control!$B$6="Y",20&gt;=Control!$B$39),Control!$B$36,0))*POWER(1+Control!$B$17,19))*Control!$B$52+(((Control!$B$20*$A$10)*Control!$B$38*2+IF(AND(Control!$B$5&gt;0,Control!$B$6="Y",20&gt;=Control!$B$39),(Control!$B$20*$A$10)*2,0))*Control!$B$41)*(Control!$B$43+Control!$B$45)*POWER(1+Control!$B$18,19)+Control!$B$47*POWER(1+Control!$B$18,19)+(Control!$B$48+Control!$B$49+Control!$B$50+Control!$B$51)*12*POWER(1+Control!$B$18,19)+((Control!$B$20*$A$10)*((Control!$B$28+Control!$B$29*(Control!$B$38-2))+(Control!$B$32+Control!$B$33*(Control!$B$38-2))+IF(AND(Control!$B$5&gt;0,Control!$B$6="Y",20&gt;=Control!$B$39),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Control!$B$78,20)*(1-Control!$B$79)</f>
        <v>18564243.127240393</v>
      </c>
    </row>
    <row r="58" spans="1:23" x14ac:dyDescent="0.3">
      <c r="A58" s="110" t="s">
        <v>553</v>
      </c>
      <c r="B58" s="110"/>
      <c r="C58" s="110"/>
      <c r="D58" s="110">
        <f>D57</f>
        <v>980351.39176200249</v>
      </c>
      <c r="E58" s="110">
        <f t="shared" ref="E58:V58" si="3">D58+E57</f>
        <v>2009720.3531121053</v>
      </c>
      <c r="F58" s="110">
        <f t="shared" si="3"/>
        <v>3090557.7625297131</v>
      </c>
      <c r="G58" s="110">
        <f t="shared" si="3"/>
        <v>4225437.0424182015</v>
      </c>
      <c r="H58" s="110">
        <f t="shared" si="3"/>
        <v>5417060.2863011137</v>
      </c>
      <c r="I58" s="110">
        <f t="shared" si="3"/>
        <v>6668264.6923781727</v>
      </c>
      <c r="J58" s="110">
        <f t="shared" si="3"/>
        <v>7982029.3187590837</v>
      </c>
      <c r="K58" s="110">
        <f t="shared" si="3"/>
        <v>9361482.1764590405</v>
      </c>
      <c r="L58" s="110">
        <f t="shared" si="3"/>
        <v>10809907.677043995</v>
      </c>
      <c r="M58" s="110">
        <f t="shared" si="3"/>
        <v>12330754.452658197</v>
      </c>
      <c r="N58" s="110">
        <f t="shared" si="3"/>
        <v>13927643.567053109</v>
      </c>
      <c r="O58" s="110">
        <f t="shared" si="3"/>
        <v>15604377.137167769</v>
      </c>
      <c r="P58" s="110">
        <f t="shared" si="3"/>
        <v>17364947.385788161</v>
      </c>
      <c r="Q58" s="110">
        <f t="shared" si="3"/>
        <v>19213546.146839574</v>
      </c>
      <c r="R58" s="110">
        <f t="shared" si="3"/>
        <v>21154574.845943555</v>
      </c>
      <c r="S58" s="110">
        <f t="shared" si="3"/>
        <v>23192654.980002735</v>
      </c>
      <c r="T58" s="110">
        <f t="shared" si="3"/>
        <v>25332639.120764874</v>
      </c>
      <c r="U58" s="110">
        <f t="shared" si="3"/>
        <v>27579622.468565121</v>
      </c>
      <c r="V58" s="110">
        <f t="shared" si="3"/>
        <v>29938954.98375538</v>
      </c>
      <c r="W58" s="110"/>
    </row>
    <row r="59" spans="1:23" x14ac:dyDescent="0.3">
      <c r="A59" s="110" t="s">
        <v>554</v>
      </c>
      <c r="B59" s="110"/>
      <c r="C59" s="114">
        <f>-Control!$B$15</f>
        <v>-6400000</v>
      </c>
      <c r="D59" s="110">
        <f>Control!$B$11*(((((((Control!$B$20*$A$11)*((Control!$B$28+Control!$B$29*(Control!$B$38-2))+(Control!$B$32+Control!$B$33*(Control!$B$38-2))+IF(AND(Control!$B$5&gt;0,Control!$B$6="Y",1&gt;=Control!$B$39),Control!$B$36,0))*POWER(1+Control!$B$17,0))+((((Control!$B$20*$A$11)*Control!$B$38*2+IF(AND(Control!$B$5&gt;0,Control!$B$6="Y",1&gt;=Control!$B$39),(Control!$B$20*$A$11)*2,0))*Control!$B$41)*(Control!$B$42+Control!$B$44)*POWER(1+Control!$B$17,0))+(Control!$B$46*POWER(1+Control!$B$17,0)))-(((Control!$B$20*$A$11)*((Control!$B$28+Control!$B$29*(Control!$B$38-2))+(Control!$B$32+Control!$B$33*(Control!$B$38-2))+IF(AND(Control!$B$5&gt;0,Control!$B$6="Y",1&gt;=Control!$B$39),Control!$B$36,0))*POWER(1+Control!$B$17,0))*Control!$B$52+(((Control!$B$20*$A$11)*Control!$B$38*2+IF(AND(Control!$B$5&gt;0,Control!$B$6="Y",1&gt;=Control!$B$39),(Control!$B$20*$A$11)*2,0))*Control!$B$41)*(Control!$B$43+Control!$B$45)*POWER(1+Control!$B$18,0)+Control!$B$47*POWER(1+Control!$B$18,0)+(Control!$B$48+Control!$B$49+Control!$B$50+Control!$B$51)*12*POWER(1+Control!$B$18,0)+((Control!$B$20*$A$11)*((Control!$B$28+Control!$B$29*(Control!$B$38-2))+(Control!$B$32+Control!$B$33*(Control!$B$38-2))+IF(AND(Control!$B$5&gt;0,Control!$B$6="Y",1&gt;=Control!$B$39),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1026360.6455120025</v>
      </c>
      <c r="E59" s="110">
        <f>Control!$B$11*(((((((Control!$B$20*$A$11)*((Control!$B$28+Control!$B$29*(Control!$B$38-2))+(Control!$B$32+Control!$B$33*(Control!$B$38-2))+IF(AND(Control!$B$5&gt;0,Control!$B$6="Y",2&gt;=Control!$B$39),Control!$B$36,0))*POWER(1+Control!$B$17,1))+((((Control!$B$20*$A$11)*Control!$B$38*2+IF(AND(Control!$B$5&gt;0,Control!$B$6="Y",2&gt;=Control!$B$39),(Control!$B$20*$A$11)*2,0))*Control!$B$41)*(Control!$B$42+Control!$B$44)*POWER(1+Control!$B$17,1))+(Control!$B$46*POWER(1+Control!$B$17,1)))-(((Control!$B$20*$A$11)*((Control!$B$28+Control!$B$29*(Control!$B$38-2))+(Control!$B$32+Control!$B$33*(Control!$B$38-2))+IF(AND(Control!$B$5&gt;0,Control!$B$6="Y",2&gt;=Control!$B$39),Control!$B$36,0))*POWER(1+Control!$B$17,1))*Control!$B$52+(((Control!$B$20*$A$11)*Control!$B$38*2+IF(AND(Control!$B$5&gt;0,Control!$B$6="Y",2&gt;=Control!$B$39),(Control!$B$20*$A$11)*2,0))*Control!$B$41)*(Control!$B$43+Control!$B$45)*POWER(1+Control!$B$18,1)+Control!$B$47*POWER(1+Control!$B$18,1)+(Control!$B$48+Control!$B$49+Control!$B$50+Control!$B$51)*12*POWER(1+Control!$B$18,1)+((Control!$B$20*$A$11)*((Control!$B$28+Control!$B$29*(Control!$B$38-2))+(Control!$B$32+Control!$B$33*(Control!$B$38-2))+IF(AND(Control!$B$5&gt;0,Control!$B$6="Y",2&gt;=Control!$B$39),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1077678.6777876026</v>
      </c>
      <c r="F59" s="110">
        <f>Control!$B$11*(((((((Control!$B$20*$A$11)*((Control!$B$28+Control!$B$29*(Control!$B$38-2))+(Control!$B$32+Control!$B$33*(Control!$B$38-2))+IF(AND(Control!$B$5&gt;0,Control!$B$6="Y",3&gt;=Control!$B$39),Control!$B$36,0))*POWER(1+Control!$B$17,2))+((((Control!$B$20*$A$11)*Control!$B$38*2+IF(AND(Control!$B$5&gt;0,Control!$B$6="Y",3&gt;=Control!$B$39),(Control!$B$20*$A$11)*2,0))*Control!$B$41)*(Control!$B$42+Control!$B$44)*POWER(1+Control!$B$17,2))+(Control!$B$46*POWER(1+Control!$B$17,2)))-(((Control!$B$20*$A$11)*((Control!$B$28+Control!$B$29*(Control!$B$38-2))+(Control!$B$32+Control!$B$33*(Control!$B$38-2))+IF(AND(Control!$B$5&gt;0,Control!$B$6="Y",3&gt;=Control!$B$39),Control!$B$36,0))*POWER(1+Control!$B$17,2))*Control!$B$52+(((Control!$B$20*$A$11)*Control!$B$38*2+IF(AND(Control!$B$5&gt;0,Control!$B$6="Y",3&gt;=Control!$B$39),(Control!$B$20*$A$11)*2,0))*Control!$B$41)*(Control!$B$43+Control!$B$45)*POWER(1+Control!$B$18,2)+Control!$B$47*POWER(1+Control!$B$18,2)+(Control!$B$48+Control!$B$49+Control!$B$50+Control!$B$51)*12*POWER(1+Control!$B$18,2)+((Control!$B$20*$A$11)*((Control!$B$28+Control!$B$29*(Control!$B$38-2))+(Control!$B$32+Control!$B$33*(Control!$B$38-2))+IF(AND(Control!$B$5&gt;0,Control!$B$6="Y",3&gt;=Control!$B$39),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1131562.6116769828</v>
      </c>
      <c r="G59" s="110">
        <f>Control!$B$11*(((((((Control!$B$20*$A$11)*((Control!$B$28+Control!$B$29*(Control!$B$38-2))+(Control!$B$32+Control!$B$33*(Control!$B$38-2))+IF(AND(Control!$B$5&gt;0,Control!$B$6="Y",4&gt;=Control!$B$39),Control!$B$36,0))*POWER(1+Control!$B$17,3))+((((Control!$B$20*$A$11)*Control!$B$38*2+IF(AND(Control!$B$5&gt;0,Control!$B$6="Y",4&gt;=Control!$B$39),(Control!$B$20*$A$11)*2,0))*Control!$B$41)*(Control!$B$42+Control!$B$44)*POWER(1+Control!$B$17,3))+(Control!$B$46*POWER(1+Control!$B$17,3)))-(((Control!$B$20*$A$11)*((Control!$B$28+Control!$B$29*(Control!$B$38-2))+(Control!$B$32+Control!$B$33*(Control!$B$38-2))+IF(AND(Control!$B$5&gt;0,Control!$B$6="Y",4&gt;=Control!$B$39),Control!$B$36,0))*POWER(1+Control!$B$17,3))*Control!$B$52+(((Control!$B$20*$A$11)*Control!$B$38*2+IF(AND(Control!$B$5&gt;0,Control!$B$6="Y",4&gt;=Control!$B$39),(Control!$B$20*$A$11)*2,0))*Control!$B$41)*(Control!$B$43+Control!$B$45)*POWER(1+Control!$B$18,3)+Control!$B$47*POWER(1+Control!$B$18,3)+(Control!$B$48+Control!$B$49+Control!$B$50+Control!$B$51)*12*POWER(1+Control!$B$18,3)+((Control!$B$20*$A$11)*((Control!$B$28+Control!$B$29*(Control!$B$38-2))+(Control!$B$32+Control!$B$33*(Control!$B$38-2))+IF(AND(Control!$B$5&gt;0,Control!$B$6="Y",4&gt;=Control!$B$39),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1188140.7422608321</v>
      </c>
      <c r="H59" s="110">
        <f>Control!$B$11*(((((((Control!$B$20*$A$11)*((Control!$B$28+Control!$B$29*(Control!$B$38-2))+(Control!$B$32+Control!$B$33*(Control!$B$38-2))+IF(AND(Control!$B$5&gt;0,Control!$B$6="Y",5&gt;=Control!$B$39),Control!$B$36,0))*POWER(1+Control!$B$17,4))+((((Control!$B$20*$A$11)*Control!$B$38*2+IF(AND(Control!$B$5&gt;0,Control!$B$6="Y",5&gt;=Control!$B$39),(Control!$B$20*$A$11)*2,0))*Control!$B$41)*(Control!$B$42+Control!$B$44)*POWER(1+Control!$B$17,4))+(Control!$B$46*POWER(1+Control!$B$17,4)))-(((Control!$B$20*$A$11)*((Control!$B$28+Control!$B$29*(Control!$B$38-2))+(Control!$B$32+Control!$B$33*(Control!$B$38-2))+IF(AND(Control!$B$5&gt;0,Control!$B$6="Y",5&gt;=Control!$B$39),Control!$B$36,0))*POWER(1+Control!$B$17,4))*Control!$B$52+(((Control!$B$20*$A$11)*Control!$B$38*2+IF(AND(Control!$B$5&gt;0,Control!$B$6="Y",5&gt;=Control!$B$39),(Control!$B$20*$A$11)*2,0))*Control!$B$41)*(Control!$B$43+Control!$B$45)*POWER(1+Control!$B$18,4)+Control!$B$47*POWER(1+Control!$B$18,4)+(Control!$B$48+Control!$B$49+Control!$B$50+Control!$B$51)*12*POWER(1+Control!$B$18,4)+((Control!$B$20*$A$11)*((Control!$B$28+Control!$B$29*(Control!$B$38-2))+(Control!$B$32+Control!$B$33*(Control!$B$38-2))+IF(AND(Control!$B$5&gt;0,Control!$B$6="Y",5&gt;=Control!$B$39),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1247547.779373874</v>
      </c>
      <c r="I59" s="110">
        <f>Control!$B$11*(((((((Control!$B$20*$A$11)*((Control!$B$28+Control!$B$29*(Control!$B$38-2))+(Control!$B$32+Control!$B$33*(Control!$B$38-2))+IF(AND(Control!$B$5&gt;0,Control!$B$6="Y",6&gt;=Control!$B$39),Control!$B$36,0))*POWER(1+Control!$B$17,5))+((((Control!$B$20*$A$11)*Control!$B$38*2+IF(AND(Control!$B$5&gt;0,Control!$B$6="Y",6&gt;=Control!$B$39),(Control!$B$20*$A$11)*2,0))*Control!$B$41)*(Control!$B$42+Control!$B$44)*POWER(1+Control!$B$17,5))+(Control!$B$46*POWER(1+Control!$B$17,5)))-(((Control!$B$20*$A$11)*((Control!$B$28+Control!$B$29*(Control!$B$38-2))+(Control!$B$32+Control!$B$33*(Control!$B$38-2))+IF(AND(Control!$B$5&gt;0,Control!$B$6="Y",6&gt;=Control!$B$39),Control!$B$36,0))*POWER(1+Control!$B$17,5))*Control!$B$52+(((Control!$B$20*$A$11)*Control!$B$38*2+IF(AND(Control!$B$5&gt;0,Control!$B$6="Y",6&gt;=Control!$B$39),(Control!$B$20*$A$11)*2,0))*Control!$B$41)*(Control!$B$43+Control!$B$45)*POWER(1+Control!$B$18,5)+Control!$B$47*POWER(1+Control!$B$18,5)+(Control!$B$48+Control!$B$49+Control!$B$50+Control!$B$51)*12*POWER(1+Control!$B$18,5)+((Control!$B$20*$A$11)*((Control!$B$28+Control!$B$29*(Control!$B$38-2))+(Control!$B$32+Control!$B$33*(Control!$B$38-2))+IF(AND(Control!$B$5&gt;0,Control!$B$6="Y",6&gt;=Control!$B$39),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1309925.1683425673</v>
      </c>
      <c r="J59" s="110">
        <f>Control!$B$11*(((((((Control!$B$20*$A$11)*((Control!$B$28+Control!$B$29*(Control!$B$38-2))+(Control!$B$32+Control!$B$33*(Control!$B$38-2))+IF(AND(Control!$B$5&gt;0,Control!$B$6="Y",7&gt;=Control!$B$39),Control!$B$36,0))*POWER(1+Control!$B$17,6))+((((Control!$B$20*$A$11)*Control!$B$38*2+IF(AND(Control!$B$5&gt;0,Control!$B$6="Y",7&gt;=Control!$B$39),(Control!$B$20*$A$11)*2,0))*Control!$B$41)*(Control!$B$42+Control!$B$44)*POWER(1+Control!$B$17,6))+(Control!$B$46*POWER(1+Control!$B$17,6)))-(((Control!$B$20*$A$11)*((Control!$B$28+Control!$B$29*(Control!$B$38-2))+(Control!$B$32+Control!$B$33*(Control!$B$38-2))+IF(AND(Control!$B$5&gt;0,Control!$B$6="Y",7&gt;=Control!$B$39),Control!$B$36,0))*POWER(1+Control!$B$17,6))*Control!$B$52+(((Control!$B$20*$A$11)*Control!$B$38*2+IF(AND(Control!$B$5&gt;0,Control!$B$6="Y",7&gt;=Control!$B$39),(Control!$B$20*$A$11)*2,0))*Control!$B$41)*(Control!$B$43+Control!$B$45)*POWER(1+Control!$B$18,6)+Control!$B$47*POWER(1+Control!$B$18,6)+(Control!$B$48+Control!$B$49+Control!$B$50+Control!$B$51)*12*POWER(1+Control!$B$18,6)+((Control!$B$20*$A$11)*((Control!$B$28+Control!$B$29*(Control!$B$38-2))+(Control!$B$32+Control!$B$33*(Control!$B$38-2))+IF(AND(Control!$B$5&gt;0,Control!$B$6="Y",7&gt;=Control!$B$39),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1375421.4267596954</v>
      </c>
      <c r="K59" s="110">
        <f>Control!$B$11*(((((((Control!$B$20*$A$11)*((Control!$B$28+Control!$B$29*(Control!$B$38-2))+(Control!$B$32+Control!$B$33*(Control!$B$38-2))+IF(AND(Control!$B$5&gt;0,Control!$B$6="Y",8&gt;=Control!$B$39),Control!$B$36,0))*POWER(1+Control!$B$17,7))+((((Control!$B$20*$A$11)*Control!$B$38*2+IF(AND(Control!$B$5&gt;0,Control!$B$6="Y",8&gt;=Control!$B$39),(Control!$B$20*$A$11)*2,0))*Control!$B$41)*(Control!$B$42+Control!$B$44)*POWER(1+Control!$B$17,7))+(Control!$B$46*POWER(1+Control!$B$17,7)))-(((Control!$B$20*$A$11)*((Control!$B$28+Control!$B$29*(Control!$B$38-2))+(Control!$B$32+Control!$B$33*(Control!$B$38-2))+IF(AND(Control!$B$5&gt;0,Control!$B$6="Y",8&gt;=Control!$B$39),Control!$B$36,0))*POWER(1+Control!$B$17,7))*Control!$B$52+(((Control!$B$20*$A$11)*Control!$B$38*2+IF(AND(Control!$B$5&gt;0,Control!$B$6="Y",8&gt;=Control!$B$39),(Control!$B$20*$A$11)*2,0))*Control!$B$41)*(Control!$B$43+Control!$B$45)*POWER(1+Control!$B$18,7)+Control!$B$47*POWER(1+Control!$B$18,7)+(Control!$B$48+Control!$B$49+Control!$B$50+Control!$B$51)*12*POWER(1+Control!$B$18,7)+((Control!$B$20*$A$11)*((Control!$B$28+Control!$B$29*(Control!$B$38-2))+(Control!$B$32+Control!$B$33*(Control!$B$38-2))+IF(AND(Control!$B$5&gt;0,Control!$B$6="Y",8&gt;=Control!$B$39),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1444192.4980976805</v>
      </c>
      <c r="L59" s="110">
        <f>Control!$B$11*(((((((Control!$B$20*$A$11)*((Control!$B$28+Control!$B$29*(Control!$B$38-2))+(Control!$B$32+Control!$B$33*(Control!$B$38-2))+IF(AND(Control!$B$5&gt;0,Control!$B$6="Y",9&gt;=Control!$B$39),Control!$B$36,0))*POWER(1+Control!$B$17,8))+((((Control!$B$20*$A$11)*Control!$B$38*2+IF(AND(Control!$B$5&gt;0,Control!$B$6="Y",9&gt;=Control!$B$39),(Control!$B$20*$A$11)*2,0))*Control!$B$41)*(Control!$B$42+Control!$B$44)*POWER(1+Control!$B$17,8))+(Control!$B$46*POWER(1+Control!$B$17,8)))-(((Control!$B$20*$A$11)*((Control!$B$28+Control!$B$29*(Control!$B$38-2))+(Control!$B$32+Control!$B$33*(Control!$B$38-2))+IF(AND(Control!$B$5&gt;0,Control!$B$6="Y",9&gt;=Control!$B$39),Control!$B$36,0))*POWER(1+Control!$B$17,8))*Control!$B$52+(((Control!$B$20*$A$11)*Control!$B$38*2+IF(AND(Control!$B$5&gt;0,Control!$B$6="Y",9&gt;=Control!$B$39),(Control!$B$20*$A$11)*2,0))*Control!$B$41)*(Control!$B$43+Control!$B$45)*POWER(1+Control!$B$18,8)+Control!$B$47*POWER(1+Control!$B$18,8)+(Control!$B$48+Control!$B$49+Control!$B$50+Control!$B$51)*12*POWER(1+Control!$B$18,8)+((Control!$B$20*$A$11)*((Control!$B$28+Control!$B$29*(Control!$B$38-2))+(Control!$B$32+Control!$B$33*(Control!$B$38-2))+IF(AND(Control!$B$5&gt;0,Control!$B$6="Y",9&gt;=Control!$B$39),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1516402.1230025645</v>
      </c>
      <c r="M59" s="110">
        <f>Control!$B$11*(((((((Control!$B$20*$A$11)*((Control!$B$28+Control!$B$29*(Control!$B$38-2))+(Control!$B$32+Control!$B$33*(Control!$B$38-2))+IF(AND(Control!$B$5&gt;0,Control!$B$6="Y",10&gt;=Control!$B$39),Control!$B$36,0))*POWER(1+Control!$B$17,9))+((((Control!$B$20*$A$11)*Control!$B$38*2+IF(AND(Control!$B$5&gt;0,Control!$B$6="Y",10&gt;=Control!$B$39),(Control!$B$20*$A$11)*2,0))*Control!$B$41)*(Control!$B$42+Control!$B$44)*POWER(1+Control!$B$17,9))+(Control!$B$46*POWER(1+Control!$B$17,9)))-(((Control!$B$20*$A$11)*((Control!$B$28+Control!$B$29*(Control!$B$38-2))+(Control!$B$32+Control!$B$33*(Control!$B$38-2))+IF(AND(Control!$B$5&gt;0,Control!$B$6="Y",10&gt;=Control!$B$39),Control!$B$36,0))*POWER(1+Control!$B$17,9))*Control!$B$52+(((Control!$B$20*$A$11)*Control!$B$38*2+IF(AND(Control!$B$5&gt;0,Control!$B$6="Y",10&gt;=Control!$B$39),(Control!$B$20*$A$11)*2,0))*Control!$B$41)*(Control!$B$43+Control!$B$45)*POWER(1+Control!$B$18,9)+Control!$B$47*POWER(1+Control!$B$18,9)+(Control!$B$48+Control!$B$49+Control!$B$50+Control!$B$51)*12*POWER(1+Control!$B$18,9)+((Control!$B$20*$A$11)*((Control!$B$28+Control!$B$29*(Control!$B$38-2))+(Control!$B$32+Control!$B$33*(Control!$B$38-2))+IF(AND(Control!$B$5&gt;0,Control!$B$6="Y",10&gt;=Control!$B$39),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1592222.2291526927</v>
      </c>
      <c r="N59" s="110">
        <f>Control!$B$11*(((((((Control!$B$20*$A$11)*((Control!$B$28+Control!$B$29*(Control!$B$38-2))+(Control!$B$32+Control!$B$33*(Control!$B$38-2))+IF(AND(Control!$B$5&gt;0,Control!$B$6="Y",11&gt;=Control!$B$39),Control!$B$36,0))*POWER(1+Control!$B$17,10))+((((Control!$B$20*$A$11)*Control!$B$38*2+IF(AND(Control!$B$5&gt;0,Control!$B$6="Y",11&gt;=Control!$B$39),(Control!$B$20*$A$11)*2,0))*Control!$B$41)*(Control!$B$42+Control!$B$44)*POWER(1+Control!$B$17,10))+(Control!$B$46*POWER(1+Control!$B$17,10)))-(((Control!$B$20*$A$11)*((Control!$B$28+Control!$B$29*(Control!$B$38-2))+(Control!$B$32+Control!$B$33*(Control!$B$38-2))+IF(AND(Control!$B$5&gt;0,Control!$B$6="Y",11&gt;=Control!$B$39),Control!$B$36,0))*POWER(1+Control!$B$17,10))*Control!$B$52+(((Control!$B$20*$A$11)*Control!$B$38*2+IF(AND(Control!$B$5&gt;0,Control!$B$6="Y",11&gt;=Control!$B$39),(Control!$B$20*$A$11)*2,0))*Control!$B$41)*(Control!$B$43+Control!$B$45)*POWER(1+Control!$B$18,10)+Control!$B$47*POWER(1+Control!$B$18,10)+(Control!$B$48+Control!$B$49+Control!$B$50+Control!$B$51)*12*POWER(1+Control!$B$18,10)+((Control!$B$20*$A$11)*((Control!$B$28+Control!$B$29*(Control!$B$38-2))+(Control!$B$32+Control!$B$33*(Control!$B$38-2))+IF(AND(Control!$B$5&gt;0,Control!$B$6="Y",11&gt;=Control!$B$39),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1671833.3406103272</v>
      </c>
      <c r="O59" s="110">
        <f>Control!$B$11*(((((((Control!$B$20*$A$11)*((Control!$B$28+Control!$B$29*(Control!$B$38-2))+(Control!$B$32+Control!$B$33*(Control!$B$38-2))+IF(AND(Control!$B$5&gt;0,Control!$B$6="Y",12&gt;=Control!$B$39),Control!$B$36,0))*POWER(1+Control!$B$17,11))+((((Control!$B$20*$A$11)*Control!$B$38*2+IF(AND(Control!$B$5&gt;0,Control!$B$6="Y",12&gt;=Control!$B$39),(Control!$B$20*$A$11)*2,0))*Control!$B$41)*(Control!$B$42+Control!$B$44)*POWER(1+Control!$B$17,11))+(Control!$B$46*POWER(1+Control!$B$17,11)))-(((Control!$B$20*$A$11)*((Control!$B$28+Control!$B$29*(Control!$B$38-2))+(Control!$B$32+Control!$B$33*(Control!$B$38-2))+IF(AND(Control!$B$5&gt;0,Control!$B$6="Y",12&gt;=Control!$B$39),Control!$B$36,0))*POWER(1+Control!$B$17,11))*Control!$B$52+(((Control!$B$20*$A$11)*Control!$B$38*2+IF(AND(Control!$B$5&gt;0,Control!$B$6="Y",12&gt;=Control!$B$39),(Control!$B$20*$A$11)*2,0))*Control!$B$41)*(Control!$B$43+Control!$B$45)*POWER(1+Control!$B$18,11)+Control!$B$47*POWER(1+Control!$B$18,11)+(Control!$B$48+Control!$B$49+Control!$B$50+Control!$B$51)*12*POWER(1+Control!$B$18,11)+((Control!$B$20*$A$11)*((Control!$B$28+Control!$B$29*(Control!$B$38-2))+(Control!$B$32+Control!$B$33*(Control!$B$38-2))+IF(AND(Control!$B$5&gt;0,Control!$B$6="Y",12&gt;=Control!$B$39),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1755425.007640844</v>
      </c>
      <c r="P59" s="110">
        <f>Control!$B$11*(((((((Control!$B$20*$A$11)*((Control!$B$28+Control!$B$29*(Control!$B$38-2))+(Control!$B$32+Control!$B$33*(Control!$B$38-2))+IF(AND(Control!$B$5&gt;0,Control!$B$6="Y",13&gt;=Control!$B$39),Control!$B$36,0))*POWER(1+Control!$B$17,12))+((((Control!$B$20*$A$11)*Control!$B$38*2+IF(AND(Control!$B$5&gt;0,Control!$B$6="Y",13&gt;=Control!$B$39),(Control!$B$20*$A$11)*2,0))*Control!$B$41)*(Control!$B$42+Control!$B$44)*POWER(1+Control!$B$17,12))+(Control!$B$46*POWER(1+Control!$B$17,12)))-(((Control!$B$20*$A$11)*((Control!$B$28+Control!$B$29*(Control!$B$38-2))+(Control!$B$32+Control!$B$33*(Control!$B$38-2))+IF(AND(Control!$B$5&gt;0,Control!$B$6="Y",13&gt;=Control!$B$39),Control!$B$36,0))*POWER(1+Control!$B$17,12))*Control!$B$52+(((Control!$B$20*$A$11)*Control!$B$38*2+IF(AND(Control!$B$5&gt;0,Control!$B$6="Y",13&gt;=Control!$B$39),(Control!$B$20*$A$11)*2,0))*Control!$B$41)*(Control!$B$43+Control!$B$45)*POWER(1+Control!$B$18,12)+Control!$B$47*POWER(1+Control!$B$18,12)+(Control!$B$48+Control!$B$49+Control!$B$50+Control!$B$51)*12*POWER(1+Control!$B$18,12)+((Control!$B$20*$A$11)*((Control!$B$28+Control!$B$29*(Control!$B$38-2))+(Control!$B$32+Control!$B$33*(Control!$B$38-2))+IF(AND(Control!$B$5&gt;0,Control!$B$6="Y",13&gt;=Control!$B$39),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1843196.2580228862</v>
      </c>
      <c r="Q59" s="110">
        <f>Control!$B$11*(((((((Control!$B$20*$A$11)*((Control!$B$28+Control!$B$29*(Control!$B$38-2))+(Control!$B$32+Control!$B$33*(Control!$B$38-2))+IF(AND(Control!$B$5&gt;0,Control!$B$6="Y",14&gt;=Control!$B$39),Control!$B$36,0))*POWER(1+Control!$B$17,13))+((((Control!$B$20*$A$11)*Control!$B$38*2+IF(AND(Control!$B$5&gt;0,Control!$B$6="Y",14&gt;=Control!$B$39),(Control!$B$20*$A$11)*2,0))*Control!$B$41)*(Control!$B$42+Control!$B$44)*POWER(1+Control!$B$17,13))+(Control!$B$46*POWER(1+Control!$B$17,13)))-(((Control!$B$20*$A$11)*((Control!$B$28+Control!$B$29*(Control!$B$38-2))+(Control!$B$32+Control!$B$33*(Control!$B$38-2))+IF(AND(Control!$B$5&gt;0,Control!$B$6="Y",14&gt;=Control!$B$39),Control!$B$36,0))*POWER(1+Control!$B$17,13))*Control!$B$52+(((Control!$B$20*$A$11)*Control!$B$38*2+IF(AND(Control!$B$5&gt;0,Control!$B$6="Y",14&gt;=Control!$B$39),(Control!$B$20*$A$11)*2,0))*Control!$B$41)*(Control!$B$43+Control!$B$45)*POWER(1+Control!$B$18,13)+Control!$B$47*POWER(1+Control!$B$18,13)+(Control!$B$48+Control!$B$49+Control!$B$50+Control!$B$51)*12*POWER(1+Control!$B$18,13)+((Control!$B$20*$A$11)*((Control!$B$28+Control!$B$29*(Control!$B$38-2))+(Control!$B$32+Control!$B$33*(Control!$B$38-2))+IF(AND(Control!$B$5&gt;0,Control!$B$6="Y",14&gt;=Control!$B$39),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1935356.0709240299</v>
      </c>
      <c r="R59" s="110">
        <f>Control!$B$11*(((((((Control!$B$20*$A$11)*((Control!$B$28+Control!$B$29*(Control!$B$38-2))+(Control!$B$32+Control!$B$33*(Control!$B$38-2))+IF(AND(Control!$B$5&gt;0,Control!$B$6="Y",15&gt;=Control!$B$39),Control!$B$36,0))*POWER(1+Control!$B$17,14))+((((Control!$B$20*$A$11)*Control!$B$38*2+IF(AND(Control!$B$5&gt;0,Control!$B$6="Y",15&gt;=Control!$B$39),(Control!$B$20*$A$11)*2,0))*Control!$B$41)*(Control!$B$42+Control!$B$44)*POWER(1+Control!$B$17,14))+(Control!$B$46*POWER(1+Control!$B$17,14)))-(((Control!$B$20*$A$11)*((Control!$B$28+Control!$B$29*(Control!$B$38-2))+(Control!$B$32+Control!$B$33*(Control!$B$38-2))+IF(AND(Control!$B$5&gt;0,Control!$B$6="Y",15&gt;=Control!$B$39),Control!$B$36,0))*POWER(1+Control!$B$17,14))*Control!$B$52+(((Control!$B$20*$A$11)*Control!$B$38*2+IF(AND(Control!$B$5&gt;0,Control!$B$6="Y",15&gt;=Control!$B$39),(Control!$B$20*$A$11)*2,0))*Control!$B$41)*(Control!$B$43+Control!$B$45)*POWER(1+Control!$B$18,14)+Control!$B$47*POWER(1+Control!$B$18,14)+(Control!$B$48+Control!$B$49+Control!$B$50+Control!$B$51)*12*POWER(1+Control!$B$18,14)+((Control!$B$20*$A$11)*((Control!$B$28+Control!$B$29*(Control!$B$38-2))+(Control!$B$32+Control!$B$33*(Control!$B$38-2))+IF(AND(Control!$B$5&gt;0,Control!$B$6="Y",15&gt;=Control!$B$39),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2032123.8744702314</v>
      </c>
      <c r="S59" s="110">
        <f>Control!$B$11*(((((((Control!$B$20*$A$11)*((Control!$B$28+Control!$B$29*(Control!$B$38-2))+(Control!$B$32+Control!$B$33*(Control!$B$38-2))+IF(AND(Control!$B$5&gt;0,Control!$B$6="Y",16&gt;=Control!$B$39),Control!$B$36,0))*POWER(1+Control!$B$17,15))+((((Control!$B$20*$A$11)*Control!$B$38*2+IF(AND(Control!$B$5&gt;0,Control!$B$6="Y",16&gt;=Control!$B$39),(Control!$B$20*$A$11)*2,0))*Control!$B$41)*(Control!$B$42+Control!$B$44)*POWER(1+Control!$B$17,15))+(Control!$B$46*POWER(1+Control!$B$17,15)))-(((Control!$B$20*$A$11)*((Control!$B$28+Control!$B$29*(Control!$B$38-2))+(Control!$B$32+Control!$B$33*(Control!$B$38-2))+IF(AND(Control!$B$5&gt;0,Control!$B$6="Y",16&gt;=Control!$B$39),Control!$B$36,0))*POWER(1+Control!$B$17,15))*Control!$B$52+(((Control!$B$20*$A$11)*Control!$B$38*2+IF(AND(Control!$B$5&gt;0,Control!$B$6="Y",16&gt;=Control!$B$39),(Control!$B$20*$A$11)*2,0))*Control!$B$41)*(Control!$B$43+Control!$B$45)*POWER(1+Control!$B$18,15)+Control!$B$47*POWER(1+Control!$B$18,15)+(Control!$B$48+Control!$B$49+Control!$B$50+Control!$B$51)*12*POWER(1+Control!$B$18,15)+((Control!$B$20*$A$11)*((Control!$B$28+Control!$B$29*(Control!$B$38-2))+(Control!$B$32+Control!$B$33*(Control!$B$38-2))+IF(AND(Control!$B$5&gt;0,Control!$B$6="Y",16&gt;=Control!$B$39),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2133730.0681937439</v>
      </c>
      <c r="T59" s="110">
        <f>Control!$B$11*(((((((Control!$B$20*$A$11)*((Control!$B$28+Control!$B$29*(Control!$B$38-2))+(Control!$B$32+Control!$B$33*(Control!$B$38-2))+IF(AND(Control!$B$5&gt;0,Control!$B$6="Y",17&gt;=Control!$B$39),Control!$B$36,0))*POWER(1+Control!$B$17,16))+((((Control!$B$20*$A$11)*Control!$B$38*2+IF(AND(Control!$B$5&gt;0,Control!$B$6="Y",17&gt;=Control!$B$39),(Control!$B$20*$A$11)*2,0))*Control!$B$41)*(Control!$B$42+Control!$B$44)*POWER(1+Control!$B$17,16))+(Control!$B$46*POWER(1+Control!$B$17,16)))-(((Control!$B$20*$A$11)*((Control!$B$28+Control!$B$29*(Control!$B$38-2))+(Control!$B$32+Control!$B$33*(Control!$B$38-2))+IF(AND(Control!$B$5&gt;0,Control!$B$6="Y",17&gt;=Control!$B$39),Control!$B$36,0))*POWER(1+Control!$B$17,16))*Control!$B$52+(((Control!$B$20*$A$11)*Control!$B$38*2+IF(AND(Control!$B$5&gt;0,Control!$B$6="Y",17&gt;=Control!$B$39),(Control!$B$20*$A$11)*2,0))*Control!$B$41)*(Control!$B$43+Control!$B$45)*POWER(1+Control!$B$18,16)+Control!$B$47*POWER(1+Control!$B$18,16)+(Control!$B$48+Control!$B$49+Control!$B$50+Control!$B$51)*12*POWER(1+Control!$B$18,16)+((Control!$B$20*$A$11)*((Control!$B$28+Control!$B$29*(Control!$B$38-2))+(Control!$B$32+Control!$B$33*(Control!$B$38-2))+IF(AND(Control!$B$5&gt;0,Control!$B$6="Y",17&gt;=Control!$B$39),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2240416.57160343</v>
      </c>
      <c r="U59" s="110">
        <f>Control!$B$11*(((((((Control!$B$20*$A$11)*((Control!$B$28+Control!$B$29*(Control!$B$38-2))+(Control!$B$32+Control!$B$33*(Control!$B$38-2))+IF(AND(Control!$B$5&gt;0,Control!$B$6="Y",18&gt;=Control!$B$39),Control!$B$36,0))*POWER(1+Control!$B$17,17))+((((Control!$B$20*$A$11)*Control!$B$38*2+IF(AND(Control!$B$5&gt;0,Control!$B$6="Y",18&gt;=Control!$B$39),(Control!$B$20*$A$11)*2,0))*Control!$B$41)*(Control!$B$42+Control!$B$44)*POWER(1+Control!$B$17,17))+(Control!$B$46*POWER(1+Control!$B$17,17)))-(((Control!$B$20*$A$11)*((Control!$B$28+Control!$B$29*(Control!$B$38-2))+(Control!$B$32+Control!$B$33*(Control!$B$38-2))+IF(AND(Control!$B$5&gt;0,Control!$B$6="Y",18&gt;=Control!$B$39),Control!$B$36,0))*POWER(1+Control!$B$17,17))*Control!$B$52+(((Control!$B$20*$A$11)*Control!$B$38*2+IF(AND(Control!$B$5&gt;0,Control!$B$6="Y",18&gt;=Control!$B$39),(Control!$B$20*$A$11)*2,0))*Control!$B$41)*(Control!$B$43+Control!$B$45)*POWER(1+Control!$B$18,17)+Control!$B$47*POWER(1+Control!$B$18,17)+(Control!$B$48+Control!$B$49+Control!$B$50+Control!$B$51)*12*POWER(1+Control!$B$18,17)+((Control!$B$20*$A$11)*((Control!$B$28+Control!$B$29*(Control!$B$38-2))+(Control!$B$32+Control!$B$33*(Control!$B$38-2))+IF(AND(Control!$B$5&gt;0,Control!$B$6="Y",18&gt;=Control!$B$39),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2352437.4001836022</v>
      </c>
      <c r="V59" s="110">
        <f>Control!$B$11*(((((((Control!$B$20*$A$11)*((Control!$B$28+Control!$B$29*(Control!$B$38-2))+(Control!$B$32+Control!$B$33*(Control!$B$38-2))+IF(AND(Control!$B$5&gt;0,Control!$B$6="Y",19&gt;=Control!$B$39),Control!$B$36,0))*POWER(1+Control!$B$17,18))+((((Control!$B$20*$A$11)*Control!$B$38*2+IF(AND(Control!$B$5&gt;0,Control!$B$6="Y",19&gt;=Control!$B$39),(Control!$B$20*$A$11)*2,0))*Control!$B$41)*(Control!$B$42+Control!$B$44)*POWER(1+Control!$B$17,18))+(Control!$B$46*POWER(1+Control!$B$17,18)))-(((Control!$B$20*$A$11)*((Control!$B$28+Control!$B$29*(Control!$B$38-2))+(Control!$B$32+Control!$B$33*(Control!$B$38-2))+IF(AND(Control!$B$5&gt;0,Control!$B$6="Y",19&gt;=Control!$B$39),Control!$B$36,0))*POWER(1+Control!$B$17,18))*Control!$B$52+(((Control!$B$20*$A$11)*Control!$B$38*2+IF(AND(Control!$B$5&gt;0,Control!$B$6="Y",19&gt;=Control!$B$39),(Control!$B$20*$A$11)*2,0))*Control!$B$41)*(Control!$B$43+Control!$B$45)*POWER(1+Control!$B$18,18)+Control!$B$47*POWER(1+Control!$B$18,18)+(Control!$B$48+Control!$B$49+Control!$B$50+Control!$B$51)*12*POWER(1+Control!$B$18,18)+((Control!$B$20*$A$11)*((Control!$B$28+Control!$B$29*(Control!$B$38-2))+(Control!$B$32+Control!$B$33*(Control!$B$38-2))+IF(AND(Control!$B$5&gt;0,Control!$B$6="Y",19&gt;=Control!$B$39),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2470059.2701927829</v>
      </c>
      <c r="W59" s="110">
        <f>Control!$B$11*(((((((Control!$B$20*$A$11)*((Control!$B$28+Control!$B$29*(Control!$B$38-2))+(Control!$B$32+Control!$B$33*(Control!$B$38-2))+IF(AND(Control!$B$5&gt;0,Control!$B$6="Y",20&gt;=Control!$B$39),Control!$B$36,0))*POWER(1+Control!$B$17,19))+((((Control!$B$20*$A$11)*Control!$B$38*2+IF(AND(Control!$B$5&gt;0,Control!$B$6="Y",20&gt;=Control!$B$39),(Control!$B$20*$A$11)*2,0))*Control!$B$41)*(Control!$B$42+Control!$B$44)*POWER(1+Control!$B$17,19))+(Control!$B$46*POWER(1+Control!$B$17,19)))-(((Control!$B$20*$A$11)*((Control!$B$28+Control!$B$29*(Control!$B$38-2))+(Control!$B$32+Control!$B$33*(Control!$B$38-2))+IF(AND(Control!$B$5&gt;0,Control!$B$6="Y",20&gt;=Control!$B$39),Control!$B$36,0))*POWER(1+Control!$B$17,19))*Control!$B$52+(((Control!$B$20*$A$11)*Control!$B$38*2+IF(AND(Control!$B$5&gt;0,Control!$B$6="Y",20&gt;=Control!$B$39),(Control!$B$20*$A$11)*2,0))*Control!$B$41)*(Control!$B$43+Control!$B$45)*POWER(1+Control!$B$18,19)+Control!$B$47*POWER(1+Control!$B$18,19)+(Control!$B$48+Control!$B$49+Control!$B$50+Control!$B$51)*12*POWER(1+Control!$B$18,19)+((Control!$B$20*$A$11)*((Control!$B$28+Control!$B$29*(Control!$B$38-2))+(Control!$B$32+Control!$B$33*(Control!$B$38-2))+IF(AND(Control!$B$5&gt;0,Control!$B$6="Y",20&gt;=Control!$B$39),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Control!$B$78,20)*(1-Control!$B$79)</f>
        <v>18680506.219993047</v>
      </c>
    </row>
    <row r="60" spans="1:23" x14ac:dyDescent="0.3">
      <c r="A60" s="110" t="s">
        <v>555</v>
      </c>
      <c r="B60" s="110"/>
      <c r="C60" s="110"/>
      <c r="D60" s="110">
        <f>D59</f>
        <v>1026360.6455120025</v>
      </c>
      <c r="E60" s="110">
        <f t="shared" ref="E60:V60" si="4">D60+E59</f>
        <v>2104039.3232996054</v>
      </c>
      <c r="F60" s="110">
        <f t="shared" si="4"/>
        <v>3235601.934976588</v>
      </c>
      <c r="G60" s="110">
        <f t="shared" si="4"/>
        <v>4423742.6772374203</v>
      </c>
      <c r="H60" s="110">
        <f t="shared" si="4"/>
        <v>5671290.4566112943</v>
      </c>
      <c r="I60" s="110">
        <f t="shared" si="4"/>
        <v>6981215.6249538613</v>
      </c>
      <c r="J60" s="110">
        <f t="shared" si="4"/>
        <v>8356637.051713557</v>
      </c>
      <c r="K60" s="110">
        <f t="shared" si="4"/>
        <v>9800829.5498112366</v>
      </c>
      <c r="L60" s="110">
        <f t="shared" si="4"/>
        <v>11317231.672813801</v>
      </c>
      <c r="M60" s="110">
        <f t="shared" si="4"/>
        <v>12909453.901966494</v>
      </c>
      <c r="N60" s="110">
        <f t="shared" si="4"/>
        <v>14581287.242576821</v>
      </c>
      <c r="O60" s="110">
        <f t="shared" si="4"/>
        <v>16336712.250217665</v>
      </c>
      <c r="P60" s="110">
        <f t="shared" si="4"/>
        <v>18179908.508240551</v>
      </c>
      <c r="Q60" s="110">
        <f t="shared" si="4"/>
        <v>20115264.57916458</v>
      </c>
      <c r="R60" s="110">
        <f t="shared" si="4"/>
        <v>22147388.45363481</v>
      </c>
      <c r="S60" s="110">
        <f t="shared" si="4"/>
        <v>24281118.521828555</v>
      </c>
      <c r="T60" s="110">
        <f t="shared" si="4"/>
        <v>26521535.093431983</v>
      </c>
      <c r="U60" s="110">
        <f t="shared" si="4"/>
        <v>28873972.493615586</v>
      </c>
      <c r="V60" s="110">
        <f t="shared" si="4"/>
        <v>31344031.76380837</v>
      </c>
      <c r="W60" s="110"/>
    </row>
    <row r="61" spans="1:23" x14ac:dyDescent="0.3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</row>
    <row r="62" spans="1:23" x14ac:dyDescent="0.3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</row>
    <row r="63" spans="1:23" x14ac:dyDescent="0.3">
      <c r="A63" s="110" t="s">
        <v>556</v>
      </c>
      <c r="B63" s="110"/>
      <c r="C63" s="114">
        <f>-Control!$B$15</f>
        <v>-6400000</v>
      </c>
      <c r="D63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$15,0))+(((Control!$B$20*(Control!$B$30*Control!$B$31+Control!$B$34*Control!$B$35+IF(AND(Control!$B$5&gt;0,Control!$B$6="Y",1&gt;=Control!$B$39),Control!$B$37*Control!$B$38,0)))*Control!$B$41)*(Control!$B$42+Control!$B$44)*POWER(1+$A$15,0))+(Control!$B$46*POWER(1+$A$15,0)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$15,0)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$15,0))*Control!$B$26))+(((Control!$B$54*Control!$B$55+Control!$B$57*Control!$B$58*Control!$B$59*Control!$B$60)*POWER(1+$A$15,0))-((Control!$B$57*Control!$B$58*Control!$B$59*Control!$B$60*POWER(1+$A$15,0))*Control!$B$63+(Control!$B$64+Control!$B$65+Control!$B$66)*12*POWER(1+Control!$B$18,0)+((Control!$B$54*Control!$B$55+Control!$B$57*Control!$B$58*Control!$B$59*Control!$B$60)*POWER(1+$A$15,0))*Control!$B$26))+((Control!$B$68*12*POWER(1+$A$15,0))-((Control!$B$70+Control!$B$71+Control!$B$72)*12*POWER(1+Control!$B$18,0)+(Control!$B$68*12*POWER(1+$A$15,0))*Control!$B$26)))*(1-Control!$B$23))-IF(AND(Control!$B$5&gt;0,Control!$B$6="Y",1=Control!$B$39-1),Control!$B$40,0))</f>
        <v>952520.39754989708</v>
      </c>
      <c r="E63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$15,1))+(((Control!$B$20*(Control!$B$30*Control!$B$31+Control!$B$34*Control!$B$35+IF(AND(Control!$B$5&gt;0,Control!$B$6="Y",2&gt;=Control!$B$39),Control!$B$37*Control!$B$38,0)))*Control!$B$41)*(Control!$B$42+Control!$B$44)*POWER(1+$A$15,1))+(Control!$B$46*POWER(1+$A$15,1)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$15,1)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$15,1))*Control!$B$26))+(((Control!$B$54*Control!$B$55+Control!$B$57*Control!$B$58*Control!$B$59*Control!$B$60)*POWER(1+$A$15,1))-((Control!$B$57*Control!$B$58*Control!$B$59*Control!$B$60*POWER(1+$A$15,1))*Control!$B$63+(Control!$B$64+Control!$B$65+Control!$B$66)*12*POWER(1+Control!$B$18,1)+((Control!$B$54*Control!$B$55+Control!$B$57*Control!$B$58*Control!$B$59*Control!$B$60)*POWER(1+$A$15,1))*Control!$B$26))+((Control!$B$68*12*POWER(1+$A$15,1))-((Control!$B$70+Control!$B$71+Control!$B$72)*12*POWER(1+Control!$B$18,1)+(Control!$B$68*12*POWER(1+$A$15,1))*Control!$B$26)))*(1-Control!$B$23))-IF(AND(Control!$B$5&gt;0,Control!$B$6="Y",2=Control!$B$39-1),Control!$B$40,0))</f>
        <v>963113.68430129869</v>
      </c>
      <c r="F63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$15,2))+(((Control!$B$20*(Control!$B$30*Control!$B$31+Control!$B$34*Control!$B$35+IF(AND(Control!$B$5&gt;0,Control!$B$6="Y",3&gt;=Control!$B$39),Control!$B$37*Control!$B$38,0)))*Control!$B$41)*(Control!$B$42+Control!$B$44)*POWER(1+$A$15,2))+(Control!$B$46*POWER(1+$A$15,2)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$15,2)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$15,2))*Control!$B$26))+(((Control!$B$54*Control!$B$55+Control!$B$57*Control!$B$58*Control!$B$59*Control!$B$60)*POWER(1+$A$15,2))-((Control!$B$57*Control!$B$58*Control!$B$59*Control!$B$60*POWER(1+$A$15,2))*Control!$B$63+(Control!$B$64+Control!$B$65+Control!$B$66)*12*POWER(1+Control!$B$18,2)+((Control!$B$54*Control!$B$55+Control!$B$57*Control!$B$58*Control!$B$59*Control!$B$60)*POWER(1+$A$15,2))*Control!$B$26))+((Control!$B$68*12*POWER(1+$A$15,2))-((Control!$B$70+Control!$B$71+Control!$B$72)*12*POWER(1+Control!$B$18,2)+(Control!$B$68*12*POWER(1+$A$15,2))*Control!$B$26)))*(1-Control!$B$23))-IF(AND(Control!$B$5&gt;0,Control!$B$6="Y",3=Control!$B$39-1),Control!$B$40,0))</f>
        <v>973125.65339648747</v>
      </c>
      <c r="G63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$15,3))+(((Control!$B$20*(Control!$B$30*Control!$B$31+Control!$B$34*Control!$B$35+IF(AND(Control!$B$5&gt;0,Control!$B$6="Y",4&gt;=Control!$B$39),Control!$B$37*Control!$B$38,0)))*Control!$B$41)*(Control!$B$42+Control!$B$44)*POWER(1+$A$15,3))+(Control!$B$46*POWER(1+$A$15,3)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$15,3)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$15,3))*Control!$B$26))+(((Control!$B$54*Control!$B$55+Control!$B$57*Control!$B$58*Control!$B$59*Control!$B$60)*POWER(1+$A$15,3))-((Control!$B$57*Control!$B$58*Control!$B$59*Control!$B$60*POWER(1+$A$15,3))*Control!$B$63+(Control!$B$64+Control!$B$65+Control!$B$66)*12*POWER(1+Control!$B$18,3)+((Control!$B$54*Control!$B$55+Control!$B$57*Control!$B$58*Control!$B$59*Control!$B$60)*POWER(1+$A$15,3))*Control!$B$26))+((Control!$B$68*12*POWER(1+$A$15,3))-((Control!$B$70+Control!$B$71+Control!$B$72)*12*POWER(1+Control!$B$18,3)+(Control!$B$68*12*POWER(1+$A$15,3))*Control!$B$26)))*(1-Control!$B$23))-IF(AND(Control!$B$5&gt;0,Control!$B$6="Y",4=Control!$B$39-1),Control!$B$40,0))</f>
        <v>982493.90949283983</v>
      </c>
      <c r="H63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$15,4))+(((Control!$B$20*(Control!$B$30*Control!$B$31+Control!$B$34*Control!$B$35+IF(AND(Control!$B$5&gt;0,Control!$B$6="Y",5&gt;=Control!$B$39),Control!$B$37*Control!$B$38,0)))*Control!$B$41)*(Control!$B$42+Control!$B$44)*POWER(1+$A$15,4))+(Control!$B$46*POWER(1+$A$15,4)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$15,4)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$15,4))*Control!$B$26))+(((Control!$B$54*Control!$B$55+Control!$B$57*Control!$B$58*Control!$B$59*Control!$B$60)*POWER(1+$A$15,4))-((Control!$B$57*Control!$B$58*Control!$B$59*Control!$B$60*POWER(1+$A$15,4))*Control!$B$63+(Control!$B$64+Control!$B$65+Control!$B$66)*12*POWER(1+Control!$B$18,4)+((Control!$B$54*Control!$B$55+Control!$B$57*Control!$B$58*Control!$B$59*Control!$B$60)*POWER(1+$A$15,4))*Control!$B$26))+((Control!$B$68*12*POWER(1+$A$15,4))-((Control!$B$70+Control!$B$71+Control!$B$72)*12*POWER(1+Control!$B$18,4)+(Control!$B$68*12*POWER(1+$A$15,4))*Control!$B$26)))*(1-Control!$B$23))-IF(AND(Control!$B$5&gt;0,Control!$B$6="Y",5=Control!$B$39-1),Control!$B$40,0))</f>
        <v>991151.93759680563</v>
      </c>
      <c r="I63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$15,5))+(((Control!$B$20*(Control!$B$30*Control!$B$31+Control!$B$34*Control!$B$35+IF(AND(Control!$B$5&gt;0,Control!$B$6="Y",6&gt;=Control!$B$39),Control!$B$37*Control!$B$38,0)))*Control!$B$41)*(Control!$B$42+Control!$B$44)*POWER(1+$A$15,5))+(Control!$B$46*POWER(1+$A$15,5)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$15,5)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$15,5))*Control!$B$26))+(((Control!$B$54*Control!$B$55+Control!$B$57*Control!$B$58*Control!$B$59*Control!$B$60)*POWER(1+$A$15,5))-((Control!$B$57*Control!$B$58*Control!$B$59*Control!$B$60*POWER(1+$A$15,5))*Control!$B$63+(Control!$B$64+Control!$B$65+Control!$B$66)*12*POWER(1+Control!$B$18,5)+((Control!$B$54*Control!$B$55+Control!$B$57*Control!$B$58*Control!$B$59*Control!$B$60)*POWER(1+$A$15,5))*Control!$B$26))+((Control!$B$68*12*POWER(1+$A$15,5))-((Control!$B$70+Control!$B$71+Control!$B$72)*12*POWER(1+Control!$B$18,5)+(Control!$B$68*12*POWER(1+$A$15,5))*Control!$B$26)))*(1-Control!$B$23))-IF(AND(Control!$B$5&gt;0,Control!$B$6="Y",6=Control!$B$39-1),Control!$B$40,0))</f>
        <v>999028.86708484904</v>
      </c>
      <c r="J63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$15,6))+(((Control!$B$20*(Control!$B$30*Control!$B$31+Control!$B$34*Control!$B$35+IF(AND(Control!$B$5&gt;0,Control!$B$6="Y",7&gt;=Control!$B$39),Control!$B$37*Control!$B$38,0)))*Control!$B$41)*(Control!$B$42+Control!$B$44)*POWER(1+$A$15,6))+(Control!$B$46*POWER(1+$A$15,6)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$15,6)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$15,6))*Control!$B$26))+(((Control!$B$54*Control!$B$55+Control!$B$57*Control!$B$58*Control!$B$59*Control!$B$60)*POWER(1+$A$15,6))-((Control!$B$57*Control!$B$58*Control!$B$59*Control!$B$60*POWER(1+$A$15,6))*Control!$B$63+(Control!$B$64+Control!$B$65+Control!$B$66)*12*POWER(1+Control!$B$18,6)+((Control!$B$54*Control!$B$55+Control!$B$57*Control!$B$58*Control!$B$59*Control!$B$60)*POWER(1+$A$15,6))*Control!$B$26))+((Control!$B$68*12*POWER(1+$A$15,6))-((Control!$B$70+Control!$B$71+Control!$B$72)*12*POWER(1+Control!$B$18,6)+(Control!$B$68*12*POWER(1+$A$15,6))*Control!$B$26)))*(1-Control!$B$23))-IF(AND(Control!$B$5&gt;0,Control!$B$6="Y",7=Control!$B$39-1),Control!$B$40,0))</f>
        <v>1006049.2230255409</v>
      </c>
      <c r="K63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$15,7))+(((Control!$B$20*(Control!$B$30*Control!$B$31+Control!$B$34*Control!$B$35+IF(AND(Control!$B$5&gt;0,Control!$B$6="Y",8&gt;=Control!$B$39),Control!$B$37*Control!$B$38,0)))*Control!$B$41)*(Control!$B$42+Control!$B$44)*POWER(1+$A$15,7))+(Control!$B$46*POWER(1+$A$15,7)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$15,7)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$15,7))*Control!$B$26))+(((Control!$B$54*Control!$B$55+Control!$B$57*Control!$B$58*Control!$B$59*Control!$B$60)*POWER(1+$A$15,7))-((Control!$B$57*Control!$B$58*Control!$B$59*Control!$B$60*POWER(1+$A$15,7))*Control!$B$63+(Control!$B$64+Control!$B$65+Control!$B$66)*12*POWER(1+Control!$B$18,7)+((Control!$B$54*Control!$B$55+Control!$B$57*Control!$B$58*Control!$B$59*Control!$B$60)*POWER(1+$A$15,7))*Control!$B$26))+((Control!$B$68*12*POWER(1+$A$15,7))-((Control!$B$70+Control!$B$71+Control!$B$72)*12*POWER(1+Control!$B$18,7)+(Control!$B$68*12*POWER(1+$A$15,7))*Control!$B$26)))*(1-Control!$B$23))-IF(AND(Control!$B$5&gt;0,Control!$B$6="Y",8=Control!$B$39-1),Control!$B$40,0))</f>
        <v>1012132.664140861</v>
      </c>
      <c r="L63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$15,8))+(((Control!$B$20*(Control!$B$30*Control!$B$31+Control!$B$34*Control!$B$35+IF(AND(Control!$B$5&gt;0,Control!$B$6="Y",9&gt;=Control!$B$39),Control!$B$37*Control!$B$38,0)))*Control!$B$41)*(Control!$B$42+Control!$B$44)*POWER(1+$A$15,8))+(Control!$B$46*POWER(1+$A$15,8)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$15,8)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$15,8))*Control!$B$26))+(((Control!$B$54*Control!$B$55+Control!$B$57*Control!$B$58*Control!$B$59*Control!$B$60)*POWER(1+$A$15,8))-((Control!$B$57*Control!$B$58*Control!$B$59*Control!$B$60*POWER(1+$A$15,8))*Control!$B$63+(Control!$B$64+Control!$B$65+Control!$B$66)*12*POWER(1+Control!$B$18,8)+((Control!$B$54*Control!$B$55+Control!$B$57*Control!$B$58*Control!$B$59*Control!$B$60)*POWER(1+$A$15,8))*Control!$B$26))+((Control!$B$68*12*POWER(1+$A$15,8))-((Control!$B$70+Control!$B$71+Control!$B$72)*12*POWER(1+Control!$B$18,8)+(Control!$B$68*12*POWER(1+$A$15,8))*Control!$B$26)))*(1-Control!$B$23))-IF(AND(Control!$B$5&gt;0,Control!$B$6="Y",9=Control!$B$39-1),Control!$B$40,0))</f>
        <v>1017193.7067108684</v>
      </c>
      <c r="M63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$15,9))+(((Control!$B$20*(Control!$B$30*Control!$B$31+Control!$B$34*Control!$B$35+IF(AND(Control!$B$5&gt;0,Control!$B$6="Y",10&gt;=Control!$B$39),Control!$B$37*Control!$B$38,0)))*Control!$B$41)*(Control!$B$42+Control!$B$44)*POWER(1+$A$15,9))+(Control!$B$46*POWER(1+$A$15,9)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$15,9)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$15,9))*Control!$B$26))+(((Control!$B$54*Control!$B$55+Control!$B$57*Control!$B$58*Control!$B$59*Control!$B$60)*POWER(1+$A$15,9))-((Control!$B$57*Control!$B$58*Control!$B$59*Control!$B$60*POWER(1+$A$15,9))*Control!$B$63+(Control!$B$64+Control!$B$65+Control!$B$66)*12*POWER(1+Control!$B$18,9)+((Control!$B$54*Control!$B$55+Control!$B$57*Control!$B$58*Control!$B$59*Control!$B$60)*POWER(1+$A$15,9))*Control!$B$26))+((Control!$B$68*12*POWER(1+$A$15,9))-((Control!$B$70+Control!$B$71+Control!$B$72)*12*POWER(1+Control!$B$18,9)+(Control!$B$68*12*POWER(1+$A$15,9))*Control!$B$26)))*(1-Control!$B$23))-IF(AND(Control!$B$5&gt;0,Control!$B$6="Y",10=Control!$B$39-1),Control!$B$40,0))</f>
        <v>1021141.4336902647</v>
      </c>
      <c r="N63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$15,10))+(((Control!$B$20*(Control!$B$30*Control!$B$31+Control!$B$34*Control!$B$35+IF(AND(Control!$B$5&gt;0,Control!$B$6="Y",11&gt;=Control!$B$39),Control!$B$37*Control!$B$38,0)))*Control!$B$41)*(Control!$B$42+Control!$B$44)*POWER(1+$A$15,10))+(Control!$B$46*POWER(1+$A$15,10)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$15,10)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$15,10))*Control!$B$26))+(((Control!$B$54*Control!$B$55+Control!$B$57*Control!$B$58*Control!$B$59*Control!$B$60)*POWER(1+$A$15,10))-((Control!$B$57*Control!$B$58*Control!$B$59*Control!$B$60*POWER(1+$A$15,10))*Control!$B$63+(Control!$B$64+Control!$B$65+Control!$B$66)*12*POWER(1+Control!$B$18,10)+((Control!$B$54*Control!$B$55+Control!$B$57*Control!$B$58*Control!$B$59*Control!$B$60)*POWER(1+$A$15,10))*Control!$B$26))+((Control!$B$68*12*POWER(1+$A$15,10))-((Control!$B$70+Control!$B$71+Control!$B$72)*12*POWER(1+Control!$B$18,10)+(Control!$B$68*12*POWER(1+$A$15,10))*Control!$B$26)))*(1-Control!$B$23))-IF(AND(Control!$B$5&gt;0,Control!$B$6="Y",11=Control!$B$39-1),Control!$B$40,0))</f>
        <v>1023879.1882679474</v>
      </c>
      <c r="O63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$15,11))+(((Control!$B$20*(Control!$B$30*Control!$B$31+Control!$B$34*Control!$B$35+IF(AND(Control!$B$5&gt;0,Control!$B$6="Y",12&gt;=Control!$B$39),Control!$B$37*Control!$B$38,0)))*Control!$B$41)*(Control!$B$42+Control!$B$44)*POWER(1+$A$15,11))+(Control!$B$46*POWER(1+$A$15,11)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$15,11)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$15,11))*Control!$B$26))+(((Control!$B$54*Control!$B$55+Control!$B$57*Control!$B$58*Control!$B$59*Control!$B$60)*POWER(1+$A$15,11))-((Control!$B$57*Control!$B$58*Control!$B$59*Control!$B$60*POWER(1+$A$15,11))*Control!$B$63+(Control!$B$64+Control!$B$65+Control!$B$66)*12*POWER(1+Control!$B$18,11)+((Control!$B$54*Control!$B$55+Control!$B$57*Control!$B$58*Control!$B$59*Control!$B$60)*POWER(1+$A$15,11))*Control!$B$26))+((Control!$B$68*12*POWER(1+$A$15,11))-((Control!$B$70+Control!$B$71+Control!$B$72)*12*POWER(1+Control!$B$18,11)+(Control!$B$68*12*POWER(1+$A$15,11))*Control!$B$26)))*(1-Control!$B$23))-IF(AND(Control!$B$5&gt;0,Control!$B$6="Y",12=Control!$B$39-1),Control!$B$40,0))</f>
        <v>1025304.2510613077</v>
      </c>
      <c r="P63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$15,12))+(((Control!$B$20*(Control!$B$30*Control!$B$31+Control!$B$34*Control!$B$35+IF(AND(Control!$B$5&gt;0,Control!$B$6="Y",13&gt;=Control!$B$39),Control!$B$37*Control!$B$38,0)))*Control!$B$41)*(Control!$B$42+Control!$B$44)*POWER(1+$A$15,12))+(Control!$B$46*POWER(1+$A$15,12)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$15,12)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$15,12))*Control!$B$26))+(((Control!$B$54*Control!$B$55+Control!$B$57*Control!$B$58*Control!$B$59*Control!$B$60)*POWER(1+$A$15,12))-((Control!$B$57*Control!$B$58*Control!$B$59*Control!$B$60*POWER(1+$A$15,12))*Control!$B$63+(Control!$B$64+Control!$B$65+Control!$B$66)*12*POWER(1+Control!$B$18,12)+((Control!$B$54*Control!$B$55+Control!$B$57*Control!$B$58*Control!$B$59*Control!$B$60)*POWER(1+$A$15,12))*Control!$B$26))+((Control!$B$68*12*POWER(1+$A$15,12))-((Control!$B$70+Control!$B$71+Control!$B$72)*12*POWER(1+Control!$B$18,12)+(Control!$B$68*12*POWER(1+$A$15,12))*Control!$B$26)))*(1-Control!$B$23))-IF(AND(Control!$B$5&gt;0,Control!$B$6="Y",13=Control!$B$39-1),Control!$B$40,0))</f>
        <v>1025307.500095736</v>
      </c>
      <c r="Q63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$15,13))+(((Control!$B$20*(Control!$B$30*Control!$B$31+Control!$B$34*Control!$B$35+IF(AND(Control!$B$5&gt;0,Control!$B$6="Y",14&gt;=Control!$B$39),Control!$B$37*Control!$B$38,0)))*Control!$B$41)*(Control!$B$42+Control!$B$44)*POWER(1+$A$15,13))+(Control!$B$46*POWER(1+$A$15,13)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$15,13)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$15,13))*Control!$B$26))+(((Control!$B$54*Control!$B$55+Control!$B$57*Control!$B$58*Control!$B$59*Control!$B$60)*POWER(1+$A$15,13))-((Control!$B$57*Control!$B$58*Control!$B$59*Control!$B$60*POWER(1+$A$15,13))*Control!$B$63+(Control!$B$64+Control!$B$65+Control!$B$66)*12*POWER(1+Control!$B$18,13)+((Control!$B$54*Control!$B$55+Control!$B$57*Control!$B$58*Control!$B$59*Control!$B$60)*POWER(1+$A$15,13))*Control!$B$26))+((Control!$B$68*12*POWER(1+$A$15,13))-((Control!$B$70+Control!$B$71+Control!$B$72)*12*POWER(1+Control!$B$18,13)+(Control!$B$68*12*POWER(1+$A$15,13))*Control!$B$26)))*(1-Control!$B$23))-IF(AND(Control!$B$5&gt;0,Control!$B$6="Y",14=Control!$B$39-1),Control!$B$40,0))</f>
        <v>1023773.0526763258</v>
      </c>
      <c r="R63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$15,14))+(((Control!$B$20*(Control!$B$30*Control!$B$31+Control!$B$34*Control!$B$35+IF(AND(Control!$B$5&gt;0,Control!$B$6="Y",15&gt;=Control!$B$39),Control!$B$37*Control!$B$38,0)))*Control!$B$41)*(Control!$B$42+Control!$B$44)*POWER(1+$A$15,14))+(Control!$B$46*POWER(1+$A$15,14)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$15,14)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$15,14))*Control!$B$26))+(((Control!$B$54*Control!$B$55+Control!$B$57*Control!$B$58*Control!$B$59*Control!$B$60)*POWER(1+$A$15,14))-((Control!$B$57*Control!$B$58*Control!$B$59*Control!$B$60*POWER(1+$A$15,14))*Control!$B$63+(Control!$B$64+Control!$B$65+Control!$B$66)*12*POWER(1+Control!$B$18,14)+((Control!$B$54*Control!$B$55+Control!$B$57*Control!$B$58*Control!$B$59*Control!$B$60)*POWER(1+$A$15,14))*Control!$B$26))+((Control!$B$68*12*POWER(1+$A$15,14))-((Control!$B$70+Control!$B$71+Control!$B$72)*12*POWER(1+Control!$B$18,14)+(Control!$B$68*12*POWER(1+$A$15,14))*Control!$B$26)))*(1-Control!$B$23))-IF(AND(Control!$B$5&gt;0,Control!$B$6="Y",15=Control!$B$39-1),Control!$B$40,0))</f>
        <v>1020577.8882132211</v>
      </c>
      <c r="S63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$15,15))+(((Control!$B$20*(Control!$B$30*Control!$B$31+Control!$B$34*Control!$B$35+IF(AND(Control!$B$5&gt;0,Control!$B$6="Y",16&gt;=Control!$B$39),Control!$B$37*Control!$B$38,0)))*Control!$B$41)*(Control!$B$42+Control!$B$44)*POWER(1+$A$15,15))+(Control!$B$46*POWER(1+$A$15,15)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$15,15)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$15,15))*Control!$B$26))+(((Control!$B$54*Control!$B$55+Control!$B$57*Control!$B$58*Control!$B$59*Control!$B$60)*POWER(1+$A$15,15))-((Control!$B$57*Control!$B$58*Control!$B$59*Control!$B$60*POWER(1+$A$15,15))*Control!$B$63+(Control!$B$64+Control!$B$65+Control!$B$66)*12*POWER(1+Control!$B$18,15)+((Control!$B$54*Control!$B$55+Control!$B$57*Control!$B$58*Control!$B$59*Control!$B$60)*POWER(1+$A$15,15))*Control!$B$26))+((Control!$B$68*12*POWER(1+$A$15,15))-((Control!$B$70+Control!$B$71+Control!$B$72)*12*POWER(1+Control!$B$18,15)+(Control!$B$68*12*POWER(1+$A$15,15))*Control!$B$26)))*(1-Control!$B$23))-IF(AND(Control!$B$5&gt;0,Control!$B$6="Y",16=Control!$B$39-1),Control!$B$40,0))</f>
        <v>1015591.4510140516</v>
      </c>
      <c r="T63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$15,16))+(((Control!$B$20*(Control!$B$30*Control!$B$31+Control!$B$34*Control!$B$35+IF(AND(Control!$B$5&gt;0,Control!$B$6="Y",17&gt;=Control!$B$39),Control!$B$37*Control!$B$38,0)))*Control!$B$41)*(Control!$B$42+Control!$B$44)*POWER(1+$A$15,16))+(Control!$B$46*POWER(1+$A$15,16)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$15,16)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$15,16))*Control!$B$26))+(((Control!$B$54*Control!$B$55+Control!$B$57*Control!$B$58*Control!$B$59*Control!$B$60)*POWER(1+$A$15,16))-((Control!$B$57*Control!$B$58*Control!$B$59*Control!$B$60*POWER(1+$A$15,16))*Control!$B$63+(Control!$B$64+Control!$B$65+Control!$B$66)*12*POWER(1+Control!$B$18,16)+((Control!$B$54*Control!$B$55+Control!$B$57*Control!$B$58*Control!$B$59*Control!$B$60)*POWER(1+$A$15,16))*Control!$B$26))+((Control!$B$68*12*POWER(1+$A$15,16))-((Control!$B$70+Control!$B$71+Control!$B$72)*12*POWER(1+Control!$B$18,16)+(Control!$B$68*12*POWER(1+$A$15,16))*Control!$B$26)))*(1-Control!$B$23))-IF(AND(Control!$B$5&gt;0,Control!$B$6="Y",17=Control!$B$39-1),Control!$B$40,0))</f>
        <v>1008675.2320066293</v>
      </c>
      <c r="U63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$15,17))+(((Control!$B$20*(Control!$B$30*Control!$B$31+Control!$B$34*Control!$B$35+IF(AND(Control!$B$5&gt;0,Control!$B$6="Y",18&gt;=Control!$B$39),Control!$B$37*Control!$B$38,0)))*Control!$B$41)*(Control!$B$42+Control!$B$44)*POWER(1+$A$15,17))+(Control!$B$46*POWER(1+$A$15,17)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$15,17)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$15,17))*Control!$B$26))+(((Control!$B$54*Control!$B$55+Control!$B$57*Control!$B$58*Control!$B$59*Control!$B$60)*POWER(1+$A$15,17))-((Control!$B$57*Control!$B$58*Control!$B$59*Control!$B$60*POWER(1+$A$15,17))*Control!$B$63+(Control!$B$64+Control!$B$65+Control!$B$66)*12*POWER(1+Control!$B$18,17)+((Control!$B$54*Control!$B$55+Control!$B$57*Control!$B$58*Control!$B$59*Control!$B$60)*POWER(1+$A$15,17))*Control!$B$26))+((Control!$B$68*12*POWER(1+$A$15,17))-((Control!$B$70+Control!$B$71+Control!$B$72)*12*POWER(1+Control!$B$18,17)+(Control!$B$68*12*POWER(1+$A$15,17))*Control!$B$26)))*(1-Control!$B$23))-IF(AND(Control!$B$5&gt;0,Control!$B$6="Y",18=Control!$B$39-1),Control!$B$40,0))</f>
        <v>999682.3283020911</v>
      </c>
      <c r="V63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$15,18))+(((Control!$B$20*(Control!$B$30*Control!$B$31+Control!$B$34*Control!$B$35+IF(AND(Control!$B$5&gt;0,Control!$B$6="Y",19&gt;=Control!$B$39),Control!$B$37*Control!$B$38,0)))*Control!$B$41)*(Control!$B$42+Control!$B$44)*POWER(1+$A$15,18))+(Control!$B$46*POWER(1+$A$15,18)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$15,18)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$15,18))*Control!$B$26))+(((Control!$B$54*Control!$B$55+Control!$B$57*Control!$B$58*Control!$B$59*Control!$B$60)*POWER(1+$A$15,18))-((Control!$B$57*Control!$B$58*Control!$B$59*Control!$B$60*POWER(1+$A$15,18))*Control!$B$63+(Control!$B$64+Control!$B$65+Control!$B$66)*12*POWER(1+Control!$B$18,18)+((Control!$B$54*Control!$B$55+Control!$B$57*Control!$B$58*Control!$B$59*Control!$B$60)*POWER(1+$A$15,18))*Control!$B$26))+((Control!$B$68*12*POWER(1+$A$15,18))-((Control!$B$70+Control!$B$71+Control!$B$72)*12*POWER(1+Control!$B$18,18)+(Control!$B$68*12*POWER(1+$A$15,18))*Control!$B$26)))*(1-Control!$B$23))-IF(AND(Control!$B$5&gt;0,Control!$B$6="Y",19=Control!$B$39-1),Control!$B$40,0))</f>
        <v>988456.97945318162</v>
      </c>
      <c r="W63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$15,19))+(((Control!$B$20*(Control!$B$30*Control!$B$31+Control!$B$34*Control!$B$35+IF(AND(Control!$B$5&gt;0,Control!$B$6="Y",20&gt;=Control!$B$39),Control!$B$37*Control!$B$38,0)))*Control!$B$41)*(Control!$B$42+Control!$B$44)*POWER(1+$A$15,19))+(Control!$B$46*POWER(1+$A$15,19)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$15,19)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$15,19))*Control!$B$26))+(((Control!$B$54*Control!$B$55+Control!$B$57*Control!$B$58*Control!$B$59*Control!$B$60)*POWER(1+$A$15,19))-((Control!$B$57*Control!$B$58*Control!$B$59*Control!$B$60*POWER(1+$A$15,19))*Control!$B$63+(Control!$B$64+Control!$B$65+Control!$B$66)*12*POWER(1+Control!$B$18,19)+((Control!$B$54*Control!$B$55+Control!$B$57*Control!$B$58*Control!$B$59*Control!$B$60)*POWER(1+$A$15,19))*Control!$B$26))+((Control!$B$68*12*POWER(1+$A$15,19))-((Control!$B$70+Control!$B$71+Control!$B$72)*12*POWER(1+Control!$B$18,19)+(Control!$B$68*12*POWER(1+$A$15,19))*Control!$B$26)))*(1-Control!$B$23))-IF(AND(Control!$B$5&gt;0,Control!$B$6="Y",20=Control!$B$39-1),Control!$B$40,0))+Valuation!$F$10*POWER(1+Control!$B$78,20)*(1-Control!$B$79)</f>
        <v>17061778.06549453</v>
      </c>
    </row>
    <row r="64" spans="1:23" x14ac:dyDescent="0.3">
      <c r="A64" s="110" t="s">
        <v>557</v>
      </c>
      <c r="B64" s="110"/>
      <c r="C64" s="110"/>
      <c r="D64" s="110">
        <f>D63</f>
        <v>952520.39754989708</v>
      </c>
      <c r="E64" s="110">
        <f t="shared" ref="E64:V64" si="5">D64+E63</f>
        <v>1915634.0818511958</v>
      </c>
      <c r="F64" s="110">
        <f t="shared" si="5"/>
        <v>2888759.7352476832</v>
      </c>
      <c r="G64" s="110">
        <f t="shared" si="5"/>
        <v>3871253.6447405228</v>
      </c>
      <c r="H64" s="110">
        <f t="shared" si="5"/>
        <v>4862405.5823373282</v>
      </c>
      <c r="I64" s="110">
        <f t="shared" si="5"/>
        <v>5861434.4494221769</v>
      </c>
      <c r="J64" s="110">
        <f t="shared" si="5"/>
        <v>6867483.6724477177</v>
      </c>
      <c r="K64" s="110">
        <f t="shared" si="5"/>
        <v>7879616.3365885783</v>
      </c>
      <c r="L64" s="110">
        <f t="shared" si="5"/>
        <v>8896810.0432994459</v>
      </c>
      <c r="M64" s="110">
        <f t="shared" si="5"/>
        <v>9917951.4769897107</v>
      </c>
      <c r="N64" s="110">
        <f t="shared" si="5"/>
        <v>10941830.665257659</v>
      </c>
      <c r="O64" s="110">
        <f t="shared" si="5"/>
        <v>11967134.916318966</v>
      </c>
      <c r="P64" s="110">
        <f t="shared" si="5"/>
        <v>12992442.416414702</v>
      </c>
      <c r="Q64" s="110">
        <f t="shared" si="5"/>
        <v>14016215.469091028</v>
      </c>
      <c r="R64" s="110">
        <f t="shared" si="5"/>
        <v>15036793.357304249</v>
      </c>
      <c r="S64" s="110">
        <f t="shared" si="5"/>
        <v>16052384.8083183</v>
      </c>
      <c r="T64" s="110">
        <f t="shared" si="5"/>
        <v>17061060.04032493</v>
      </c>
      <c r="U64" s="110">
        <f t="shared" si="5"/>
        <v>18060742.368627023</v>
      </c>
      <c r="V64" s="110">
        <f t="shared" si="5"/>
        <v>19049199.348080203</v>
      </c>
      <c r="W64" s="110"/>
    </row>
    <row r="65" spans="1:23" x14ac:dyDescent="0.3">
      <c r="A65" s="110" t="s">
        <v>558</v>
      </c>
      <c r="B65" s="110"/>
      <c r="C65" s="114">
        <f>-Control!$B$15</f>
        <v>-6400000</v>
      </c>
      <c r="D65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$16,0))+(((Control!$B$20*(Control!$B$30*Control!$B$31+Control!$B$34*Control!$B$35+IF(AND(Control!$B$5&gt;0,Control!$B$6="Y",1&gt;=Control!$B$39),Control!$B$37*Control!$B$38,0)))*Control!$B$41)*(Control!$B$42+Control!$B$44)*POWER(1+$A$16,0))+(Control!$B$46*POWER(1+$A$16,0)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$16,0)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$16,0))*Control!$B$26))+(((Control!$B$54*Control!$B$55+Control!$B$57*Control!$B$58*Control!$B$59*Control!$B$60)*POWER(1+$A$16,0))-((Control!$B$57*Control!$B$58*Control!$B$59*Control!$B$60*POWER(1+$A$16,0))*Control!$B$63+(Control!$B$64+Control!$B$65+Control!$B$66)*12*POWER(1+Control!$B$18,0)+((Control!$B$54*Control!$B$55+Control!$B$57*Control!$B$58*Control!$B$59*Control!$B$60)*POWER(1+$A$16,0))*Control!$B$26))+((Control!$B$68*12*POWER(1+$A$16,0))-((Control!$B$70+Control!$B$71+Control!$B$72)*12*POWER(1+Control!$B$18,0)+(Control!$B$68*12*POWER(1+$A$16,0))*Control!$B$26)))*(1-Control!$B$23))-IF(AND(Control!$B$5&gt;0,Control!$B$6="Y",1=Control!$B$39-1),Control!$B$40,0))</f>
        <v>952520.39754989708</v>
      </c>
      <c r="E65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$16,1))+(((Control!$B$20*(Control!$B$30*Control!$B$31+Control!$B$34*Control!$B$35+IF(AND(Control!$B$5&gt;0,Control!$B$6="Y",2&gt;=Control!$B$39),Control!$B$37*Control!$B$38,0)))*Control!$B$41)*(Control!$B$42+Control!$B$44)*POWER(1+$A$16,1))+(Control!$B$46*POWER(1+$A$16,1)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$16,1)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$16,1))*Control!$B$26))+(((Control!$B$54*Control!$B$55+Control!$B$57*Control!$B$58*Control!$B$59*Control!$B$60)*POWER(1+$A$16,1))-((Control!$B$57*Control!$B$58*Control!$B$59*Control!$B$60*POWER(1+$A$16,1))*Control!$B$63+(Control!$B$64+Control!$B$65+Control!$B$66)*12*POWER(1+Control!$B$18,1)+((Control!$B$54*Control!$B$55+Control!$B$57*Control!$B$58*Control!$B$59*Control!$B$60)*POWER(1+$A$16,1))*Control!$B$26))+((Control!$B$68*12*POWER(1+$A$16,1))-((Control!$B$70+Control!$B$71+Control!$B$72)*12*POWER(1+Control!$B$18,1)+(Control!$B$68*12*POWER(1+$A$16,1))*Control!$B$26)))*(1-Control!$B$23))-IF(AND(Control!$B$5&gt;0,Control!$B$6="Y",2=Control!$B$39-1),Control!$B$40,0))</f>
        <v>981630.05086434551</v>
      </c>
      <c r="F65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$16,2))+(((Control!$B$20*(Control!$B$30*Control!$B$31+Control!$B$34*Control!$B$35+IF(AND(Control!$B$5&gt;0,Control!$B$6="Y",3&gt;=Control!$B$39),Control!$B$37*Control!$B$38,0)))*Control!$B$41)*(Control!$B$42+Control!$B$44)*POWER(1+$A$16,2))+(Control!$B$46*POWER(1+$A$16,2)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$16,2)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$16,2))*Control!$B$26))+(((Control!$B$54*Control!$B$55+Control!$B$57*Control!$B$58*Control!$B$59*Control!$B$60)*POWER(1+$A$16,2))-((Control!$B$57*Control!$B$58*Control!$B$59*Control!$B$60*POWER(1+$A$16,2))*Control!$B$63+(Control!$B$64+Control!$B$65+Control!$B$66)*12*POWER(1+Control!$B$18,2)+((Control!$B$54*Control!$B$55+Control!$B$57*Control!$B$58*Control!$B$59*Control!$B$60)*POWER(1+$A$16,2))*Control!$B$26))+((Control!$B$68*12*POWER(1+$A$16,2))-((Control!$B$70+Control!$B$71+Control!$B$72)*12*POWER(1+Control!$B$18,2)+(Control!$B$68*12*POWER(1+$A$16,2))*Control!$B$26)))*(1-Control!$B$23))-IF(AND(Control!$B$5&gt;0,Control!$B$6="Y",3=Control!$B$39-1),Control!$B$40,0))</f>
        <v>1011454.5321819944</v>
      </c>
      <c r="G65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$16,3))+(((Control!$B$20*(Control!$B$30*Control!$B$31+Control!$B$34*Control!$B$35+IF(AND(Control!$B$5&gt;0,Control!$B$6="Y",4&gt;=Control!$B$39),Control!$B$37*Control!$B$38,0)))*Control!$B$41)*(Control!$B$42+Control!$B$44)*POWER(1+$A$16,3))+(Control!$B$46*POWER(1+$A$16,3)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$16,3)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$16,3))*Control!$B$26))+(((Control!$B$54*Control!$B$55+Control!$B$57*Control!$B$58*Control!$B$59*Control!$B$60)*POWER(1+$A$16,3))-((Control!$B$57*Control!$B$58*Control!$B$59*Control!$B$60*POWER(1+$A$16,3))*Control!$B$63+(Control!$B$64+Control!$B$65+Control!$B$66)*12*POWER(1+Control!$B$18,3)+((Control!$B$54*Control!$B$55+Control!$B$57*Control!$B$58*Control!$B$59*Control!$B$60)*POWER(1+$A$16,3))*Control!$B$26))+((Control!$B$68*12*POWER(1+$A$16,3))-((Control!$B$70+Control!$B$71+Control!$B$72)*12*POWER(1+Control!$B$18,3)+(Control!$B$68*12*POWER(1+$A$16,3))*Control!$B$26)))*(1-Control!$B$23))-IF(AND(Control!$B$5&gt;0,Control!$B$6="Y",4=Control!$B$39-1),Control!$B$40,0))</f>
        <v>1041999.9567165026</v>
      </c>
      <c r="H65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$16,4))+(((Control!$B$20*(Control!$B$30*Control!$B$31+Control!$B$34*Control!$B$35+IF(AND(Control!$B$5&gt;0,Control!$B$6="Y",5&gt;=Control!$B$39),Control!$B$37*Control!$B$38,0)))*Control!$B$41)*(Control!$B$42+Control!$B$44)*POWER(1+$A$16,4))+(Control!$B$46*POWER(1+$A$16,4)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$16,4)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$16,4))*Control!$B$26))+(((Control!$B$54*Control!$B$55+Control!$B$57*Control!$B$58*Control!$B$59*Control!$B$60)*POWER(1+$A$16,4))-((Control!$B$57*Control!$B$58*Control!$B$59*Control!$B$60*POWER(1+$A$16,4))*Control!$B$63+(Control!$B$64+Control!$B$65+Control!$B$66)*12*POWER(1+Control!$B$18,4)+((Control!$B$54*Control!$B$55+Control!$B$57*Control!$B$58*Control!$B$59*Control!$B$60)*POWER(1+$A$16,4))*Control!$B$26))+((Control!$B$68*12*POWER(1+$A$16,4))-((Control!$B$70+Control!$B$71+Control!$B$72)*12*POWER(1+Control!$B$18,4)+(Control!$B$68*12*POWER(1+$A$16,4))*Control!$B$26)))*(1-Control!$B$23))-IF(AND(Control!$B$5&gt;0,Control!$B$6="Y",5=Control!$B$39-1),Control!$B$40,0))</f>
        <v>1073271.5603947537</v>
      </c>
      <c r="I65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$16,5))+(((Control!$B$20*(Control!$B$30*Control!$B$31+Control!$B$34*Control!$B$35+IF(AND(Control!$B$5&gt;0,Control!$B$6="Y",6&gt;=Control!$B$39),Control!$B$37*Control!$B$38,0)))*Control!$B$41)*(Control!$B$42+Control!$B$44)*POWER(1+$A$16,5))+(Control!$B$46*POWER(1+$A$16,5)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$16,5)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$16,5))*Control!$B$26))+(((Control!$B$54*Control!$B$55+Control!$B$57*Control!$B$58*Control!$B$59*Control!$B$60)*POWER(1+$A$16,5))-((Control!$B$57*Control!$B$58*Control!$B$59*Control!$B$60*POWER(1+$A$16,5))*Control!$B$63+(Control!$B$64+Control!$B$65+Control!$B$66)*12*POWER(1+Control!$B$18,5)+((Control!$B$54*Control!$B$55+Control!$B$57*Control!$B$58*Control!$B$59*Control!$B$60)*POWER(1+$A$16,5))*Control!$B$26))+((Control!$B$68*12*POWER(1+$A$16,5))-((Control!$B$70+Control!$B$71+Control!$B$72)*12*POWER(1+Control!$B$18,5)+(Control!$B$68*12*POWER(1+$A$16,5))*Control!$B$26)))*(1-Control!$B$23))-IF(AND(Control!$B$5&gt;0,Control!$B$6="Y",6=Control!$B$39-1),Control!$B$40,0))</f>
        <v>1105273.6084906133</v>
      </c>
      <c r="J65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$16,6))+(((Control!$B$20*(Control!$B$30*Control!$B$31+Control!$B$34*Control!$B$35+IF(AND(Control!$B$5&gt;0,Control!$B$6="Y",7&gt;=Control!$B$39),Control!$B$37*Control!$B$38,0)))*Control!$B$41)*(Control!$B$42+Control!$B$44)*POWER(1+$A$16,6))+(Control!$B$46*POWER(1+$A$16,6)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$16,6)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$16,6))*Control!$B$26))+(((Control!$B$54*Control!$B$55+Control!$B$57*Control!$B$58*Control!$B$59*Control!$B$60)*POWER(1+$A$16,6))-((Control!$B$57*Control!$B$58*Control!$B$59*Control!$B$60*POWER(1+$A$16,6))*Control!$B$63+(Control!$B$64+Control!$B$65+Control!$B$66)*12*POWER(1+Control!$B$18,6)+((Control!$B$54*Control!$B$55+Control!$B$57*Control!$B$58*Control!$B$59*Control!$B$60)*POWER(1+$A$16,6))*Control!$B$26))+((Control!$B$68*12*POWER(1+$A$16,6))-((Control!$B$70+Control!$B$71+Control!$B$72)*12*POWER(1+Control!$B$18,6)+(Control!$B$68*12*POWER(1+$A$16,6))*Control!$B$26)))*(1-Control!$B$23))-IF(AND(Control!$B$5&gt;0,Control!$B$6="Y",7=Control!$B$39-1),Control!$B$40,0))</f>
        <v>1138009.2977943113</v>
      </c>
      <c r="K65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$16,7))+(((Control!$B$20*(Control!$B$30*Control!$B$31+Control!$B$34*Control!$B$35+IF(AND(Control!$B$5&gt;0,Control!$B$6="Y",8&gt;=Control!$B$39),Control!$B$37*Control!$B$38,0)))*Control!$B$41)*(Control!$B$42+Control!$B$44)*POWER(1+$A$16,7))+(Control!$B$46*POWER(1+$A$16,7)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$16,7)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$16,7))*Control!$B$26))+(((Control!$B$54*Control!$B$55+Control!$B$57*Control!$B$58*Control!$B$59*Control!$B$60)*POWER(1+$A$16,7))-((Control!$B$57*Control!$B$58*Control!$B$59*Control!$B$60*POWER(1+$A$16,7))*Control!$B$63+(Control!$B$64+Control!$B$65+Control!$B$66)*12*POWER(1+Control!$B$18,7)+((Control!$B$54*Control!$B$55+Control!$B$57*Control!$B$58*Control!$B$59*Control!$B$60)*POWER(1+$A$16,7))*Control!$B$26))+((Control!$B$68*12*POWER(1+$A$16,7))-((Control!$B$70+Control!$B$71+Control!$B$72)*12*POWER(1+Control!$B$18,7)+(Control!$B$68*12*POWER(1+$A$16,7))*Control!$B$26)))*(1-Control!$B$23))-IF(AND(Control!$B$5&gt;0,Control!$B$6="Y",8=Control!$B$39-1),Control!$B$40,0))</f>
        <v>1171480.6519183603</v>
      </c>
      <c r="L65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$16,8))+(((Control!$B$20*(Control!$B$30*Control!$B$31+Control!$B$34*Control!$B$35+IF(AND(Control!$B$5&gt;0,Control!$B$6="Y",9&gt;=Control!$B$39),Control!$B$37*Control!$B$38,0)))*Control!$B$41)*(Control!$B$42+Control!$B$44)*POWER(1+$A$16,8))+(Control!$B$46*POWER(1+$A$16,8)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$16,8)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$16,8))*Control!$B$26))+(((Control!$B$54*Control!$B$55+Control!$B$57*Control!$B$58*Control!$B$59*Control!$B$60)*POWER(1+$A$16,8))-((Control!$B$57*Control!$B$58*Control!$B$59*Control!$B$60*POWER(1+$A$16,8))*Control!$B$63+(Control!$B$64+Control!$B$65+Control!$B$66)*12*POWER(1+Control!$B$18,8)+((Control!$B$54*Control!$B$55+Control!$B$57*Control!$B$58*Control!$B$59*Control!$B$60)*POWER(1+$A$16,8))*Control!$B$26))+((Control!$B$68*12*POWER(1+$A$16,8))-((Control!$B$70+Control!$B$71+Control!$B$72)*12*POWER(1+Control!$B$18,8)+(Control!$B$68*12*POWER(1+$A$16,8))*Control!$B$26)))*(1-Control!$B$23))-IF(AND(Control!$B$5&gt;0,Control!$B$6="Y",9=Control!$B$39-1),Control!$B$40,0))</f>
        <v>1205688.4093179859</v>
      </c>
      <c r="M65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$16,9))+(((Control!$B$20*(Control!$B$30*Control!$B$31+Control!$B$34*Control!$B$35+IF(AND(Control!$B$5&gt;0,Control!$B$6="Y",10&gt;=Control!$B$39),Control!$B$37*Control!$B$38,0)))*Control!$B$41)*(Control!$B$42+Control!$B$44)*POWER(1+$A$16,9))+(Control!$B$46*POWER(1+$A$16,9)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$16,9)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$16,9))*Control!$B$26))+(((Control!$B$54*Control!$B$55+Control!$B$57*Control!$B$58*Control!$B$59*Control!$B$60)*POWER(1+$A$16,9))-((Control!$B$57*Control!$B$58*Control!$B$59*Control!$B$60*POWER(1+$A$16,9))*Control!$B$63+(Control!$B$64+Control!$B$65+Control!$B$66)*12*POWER(1+Control!$B$18,9)+((Control!$B$54*Control!$B$55+Control!$B$57*Control!$B$58*Control!$B$59*Control!$B$60)*POWER(1+$A$16,9))*Control!$B$26))+((Control!$B$68*12*POWER(1+$A$16,9))-((Control!$B$70+Control!$B$71+Control!$B$72)*12*POWER(1+Control!$B$18,9)+(Control!$B$68*12*POWER(1+$A$16,9))*Control!$B$26)))*(1-Control!$B$23))-IF(AND(Control!$B$5&gt;0,Control!$B$6="Y",10=Control!$B$39-1),Control!$B$40,0))</f>
        <v>1240631.9035797413</v>
      </c>
      <c r="N65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$16,10))+(((Control!$B$20*(Control!$B$30*Control!$B$31+Control!$B$34*Control!$B$35+IF(AND(Control!$B$5&gt;0,Control!$B$6="Y",11&gt;=Control!$B$39),Control!$B$37*Control!$B$38,0)))*Control!$B$41)*(Control!$B$42+Control!$B$44)*POWER(1+$A$16,10))+(Control!$B$46*POWER(1+$A$16,10)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$16,10)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$16,10))*Control!$B$26))+(((Control!$B$54*Control!$B$55+Control!$B$57*Control!$B$58*Control!$B$59*Control!$B$60)*POWER(1+$A$16,10))-((Control!$B$57*Control!$B$58*Control!$B$59*Control!$B$60*POWER(1+$A$16,10))*Control!$B$63+(Control!$B$64+Control!$B$65+Control!$B$66)*12*POWER(1+Control!$B$18,10)+((Control!$B$54*Control!$B$55+Control!$B$57*Control!$B$58*Control!$B$59*Control!$B$60)*POWER(1+$A$16,10))*Control!$B$26))+((Control!$B$68*12*POWER(1+$A$16,10))-((Control!$B$70+Control!$B$71+Control!$B$72)*12*POWER(1+Control!$B$18,10)+(Control!$B$68*12*POWER(1+$A$16,10))*Control!$B$26)))*(1-Control!$B$23))-IF(AND(Control!$B$5&gt;0,Control!$B$6="Y",11=Control!$B$39-1),Control!$B$40,0))</f>
        <v>1276308.9355064176</v>
      </c>
      <c r="O65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$16,11))+(((Control!$B$20*(Control!$B$30*Control!$B$31+Control!$B$34*Control!$B$35+IF(AND(Control!$B$5&gt;0,Control!$B$6="Y",12&gt;=Control!$B$39),Control!$B$37*Control!$B$38,0)))*Control!$B$41)*(Control!$B$42+Control!$B$44)*POWER(1+$A$16,11))+(Control!$B$46*POWER(1+$A$16,11)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$16,11)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$16,11))*Control!$B$26))+(((Control!$B$54*Control!$B$55+Control!$B$57*Control!$B$58*Control!$B$59*Control!$B$60)*POWER(1+$A$16,11))-((Control!$B$57*Control!$B$58*Control!$B$59*Control!$B$60*POWER(1+$A$16,11))*Control!$B$63+(Control!$B$64+Control!$B$65+Control!$B$66)*12*POWER(1+Control!$B$18,11)+((Control!$B$54*Control!$B$55+Control!$B$57*Control!$B$58*Control!$B$59*Control!$B$60)*POWER(1+$A$16,11))*Control!$B$26))+((Control!$B$68*12*POWER(1+$A$16,11))-((Control!$B$70+Control!$B$71+Control!$B$72)*12*POWER(1+Control!$B$18,11)+(Control!$B$68*12*POWER(1+$A$16,11))*Control!$B$26)))*(1-Control!$B$23))-IF(AND(Control!$B$5&gt;0,Control!$B$6="Y",12=Control!$B$39-1),Control!$B$40,0))</f>
        <v>1312715.6364993351</v>
      </c>
      <c r="P65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$16,12))+(((Control!$B$20*(Control!$B$30*Control!$B$31+Control!$B$34*Control!$B$35+IF(AND(Control!$B$5&gt;0,Control!$B$6="Y",13&gt;=Control!$B$39),Control!$B$37*Control!$B$38,0)))*Control!$B$41)*(Control!$B$42+Control!$B$44)*POWER(1+$A$16,12))+(Control!$B$46*POWER(1+$A$16,12)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$16,12)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$16,12))*Control!$B$26))+(((Control!$B$54*Control!$B$55+Control!$B$57*Control!$B$58*Control!$B$59*Control!$B$60)*POWER(1+$A$16,12))-((Control!$B$57*Control!$B$58*Control!$B$59*Control!$B$60*POWER(1+$A$16,12))*Control!$B$63+(Control!$B$64+Control!$B$65+Control!$B$66)*12*POWER(1+Control!$B$18,12)+((Control!$B$54*Control!$B$55+Control!$B$57*Control!$B$58*Control!$B$59*Control!$B$60)*POWER(1+$A$16,12))*Control!$B$26))+((Control!$B$68*12*POWER(1+$A$16,12))-((Control!$B$70+Control!$B$71+Control!$B$72)*12*POWER(1+Control!$B$18,12)+(Control!$B$68*12*POWER(1+$A$16,12))*Control!$B$26)))*(1-Control!$B$23))-IF(AND(Control!$B$5&gt;0,Control!$B$6="Y",13=Control!$B$39-1),Control!$B$40,0))</f>
        <v>1349846.3227106039</v>
      </c>
      <c r="Q65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$16,13))+(((Control!$B$20*(Control!$B$30*Control!$B$31+Control!$B$34*Control!$B$35+IF(AND(Control!$B$5&gt;0,Control!$B$6="Y",14&gt;=Control!$B$39),Control!$B$37*Control!$B$38,0)))*Control!$B$41)*(Control!$B$42+Control!$B$44)*POWER(1+$A$16,13))+(Control!$B$46*POWER(1+$A$16,13)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$16,13)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$16,13))*Control!$B$26))+(((Control!$B$54*Control!$B$55+Control!$B$57*Control!$B$58*Control!$B$59*Control!$B$60)*POWER(1+$A$16,13))-((Control!$B$57*Control!$B$58*Control!$B$59*Control!$B$60*POWER(1+$A$16,13))*Control!$B$63+(Control!$B$64+Control!$B$65+Control!$B$66)*12*POWER(1+Control!$B$18,13)+((Control!$B$54*Control!$B$55+Control!$B$57*Control!$B$58*Control!$B$59*Control!$B$60)*POWER(1+$A$16,13))*Control!$B$26))+((Control!$B$68*12*POWER(1+$A$16,13))-((Control!$B$70+Control!$B$71+Control!$B$72)*12*POWER(1+Control!$B$18,13)+(Control!$B$68*12*POWER(1+$A$16,13))*Control!$B$26)))*(1-Control!$B$23))-IF(AND(Control!$B$5&gt;0,Control!$B$6="Y",14=Control!$B$39-1),Control!$B$40,0))</f>
        <v>1387693.3394078873</v>
      </c>
      <c r="R65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$16,14))+(((Control!$B$20*(Control!$B$30*Control!$B$31+Control!$B$34*Control!$B$35+IF(AND(Control!$B$5&gt;0,Control!$B$6="Y",15&gt;=Control!$B$39),Control!$B$37*Control!$B$38,0)))*Control!$B$41)*(Control!$B$42+Control!$B$44)*POWER(1+$A$16,14))+(Control!$B$46*POWER(1+$A$16,14)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$16,14)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$16,14))*Control!$B$26))+(((Control!$B$54*Control!$B$55+Control!$B$57*Control!$B$58*Control!$B$59*Control!$B$60)*POWER(1+$A$16,14))-((Control!$B$57*Control!$B$58*Control!$B$59*Control!$B$60*POWER(1+$A$16,14))*Control!$B$63+(Control!$B$64+Control!$B$65+Control!$B$66)*12*POWER(1+Control!$B$18,14)+((Control!$B$54*Control!$B$55+Control!$B$57*Control!$B$58*Control!$B$59*Control!$B$60)*POWER(1+$A$16,14))*Control!$B$26))+((Control!$B$68*12*POWER(1+$A$16,14))-((Control!$B$70+Control!$B$71+Control!$B$72)*12*POWER(1+Control!$B$18,14)+(Control!$B$68*12*POWER(1+$A$16,14))*Control!$B$26)))*(1-Control!$B$23))-IF(AND(Control!$B$5&gt;0,Control!$B$6="Y",15=Control!$B$39-1),Control!$B$40,0))</f>
        <v>1426246.894962505</v>
      </c>
      <c r="S65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$16,15))+(((Control!$B$20*(Control!$B$30*Control!$B$31+Control!$B$34*Control!$B$35+IF(AND(Control!$B$5&gt;0,Control!$B$6="Y",16&gt;=Control!$B$39),Control!$B$37*Control!$B$38,0)))*Control!$B$41)*(Control!$B$42+Control!$B$44)*POWER(1+$A$16,15))+(Control!$B$46*POWER(1+$A$16,15)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$16,15)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$16,15))*Control!$B$26))+(((Control!$B$54*Control!$B$55+Control!$B$57*Control!$B$58*Control!$B$59*Control!$B$60)*POWER(1+$A$16,15))-((Control!$B$57*Control!$B$58*Control!$B$59*Control!$B$60*POWER(1+$A$16,15))*Control!$B$63+(Control!$B$64+Control!$B$65+Control!$B$66)*12*POWER(1+Control!$B$18,15)+((Control!$B$54*Control!$B$55+Control!$B$57*Control!$B$58*Control!$B$59*Control!$B$60)*POWER(1+$A$16,15))*Control!$B$26))+((Control!$B$68*12*POWER(1+$A$16,15))-((Control!$B$70+Control!$B$71+Control!$B$72)*12*POWER(1+Control!$B$18,15)+(Control!$B$68*12*POWER(1+$A$16,15))*Control!$B$26)))*(1-Control!$B$23))-IF(AND(Control!$B$5&gt;0,Control!$B$6="Y",16=Control!$B$39-1),Control!$B$40,0))</f>
        <v>1465494.8838382219</v>
      </c>
      <c r="T65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$16,16))+(((Control!$B$20*(Control!$B$30*Control!$B$31+Control!$B$34*Control!$B$35+IF(AND(Control!$B$5&gt;0,Control!$B$6="Y",17&gt;=Control!$B$39),Control!$B$37*Control!$B$38,0)))*Control!$B$41)*(Control!$B$42+Control!$B$44)*POWER(1+$A$16,16))+(Control!$B$46*POWER(1+$A$16,16)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$16,16)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$16,16))*Control!$B$26))+(((Control!$B$54*Control!$B$55+Control!$B$57*Control!$B$58*Control!$B$59*Control!$B$60)*POWER(1+$A$16,16))-((Control!$B$57*Control!$B$58*Control!$B$59*Control!$B$60*POWER(1+$A$16,16))*Control!$B$63+(Control!$B$64+Control!$B$65+Control!$B$66)*12*POWER(1+Control!$B$18,16)+((Control!$B$54*Control!$B$55+Control!$B$57*Control!$B$58*Control!$B$59*Control!$B$60)*POWER(1+$A$16,16))*Control!$B$26))+((Control!$B$68*12*POWER(1+$A$16,16))-((Control!$B$70+Control!$B$71+Control!$B$72)*12*POWER(1+Control!$B$18,16)+(Control!$B$68*12*POWER(1+$A$16,16))*Control!$B$26)))*(1-Control!$B$23))-IF(AND(Control!$B$5&gt;0,Control!$B$6="Y",17=Control!$B$39-1),Control!$B$40,0))</f>
        <v>1505422.69792283</v>
      </c>
      <c r="U65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$16,17))+(((Control!$B$20*(Control!$B$30*Control!$B$31+Control!$B$34*Control!$B$35+IF(AND(Control!$B$5&gt;0,Control!$B$6="Y",18&gt;=Control!$B$39),Control!$B$37*Control!$B$38,0)))*Control!$B$41)*(Control!$B$42+Control!$B$44)*POWER(1+$A$16,17))+(Control!$B$46*POWER(1+$A$16,17)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$16,17)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$16,17))*Control!$B$26))+(((Control!$B$54*Control!$B$55+Control!$B$57*Control!$B$58*Control!$B$59*Control!$B$60)*POWER(1+$A$16,17))-((Control!$B$57*Control!$B$58*Control!$B$59*Control!$B$60*POWER(1+$A$16,17))*Control!$B$63+(Control!$B$64+Control!$B$65+Control!$B$66)*12*POWER(1+Control!$B$18,17)+((Control!$B$54*Control!$B$55+Control!$B$57*Control!$B$58*Control!$B$59*Control!$B$60)*POWER(1+$A$16,17))*Control!$B$26))+((Control!$B$68*12*POWER(1+$A$16,17))-((Control!$B$70+Control!$B$71+Control!$B$72)*12*POWER(1+Control!$B$18,17)+(Control!$B$68*12*POWER(1+$A$16,17))*Control!$B$26)))*(1-Control!$B$23))-IF(AND(Control!$B$5&gt;0,Control!$B$6="Y",18=Control!$B$39-1),Control!$B$40,0))</f>
        <v>1546013.0255073747</v>
      </c>
      <c r="V65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$16,18))+(((Control!$B$20*(Control!$B$30*Control!$B$31+Control!$B$34*Control!$B$35+IF(AND(Control!$B$5&gt;0,Control!$B$6="Y",19&gt;=Control!$B$39),Control!$B$37*Control!$B$38,0)))*Control!$B$41)*(Control!$B$42+Control!$B$44)*POWER(1+$A$16,18))+(Control!$B$46*POWER(1+$A$16,18)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$16,18)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$16,18))*Control!$B$26))+(((Control!$B$54*Control!$B$55+Control!$B$57*Control!$B$58*Control!$B$59*Control!$B$60)*POWER(1+$A$16,18))-((Control!$B$57*Control!$B$58*Control!$B$59*Control!$B$60*POWER(1+$A$16,18))*Control!$B$63+(Control!$B$64+Control!$B$65+Control!$B$66)*12*POWER(1+Control!$B$18,18)+((Control!$B$54*Control!$B$55+Control!$B$57*Control!$B$58*Control!$B$59*Control!$B$60)*POWER(1+$A$16,18))*Control!$B$26))+((Control!$B$68*12*POWER(1+$A$16,18))-((Control!$B$70+Control!$B$71+Control!$B$72)*12*POWER(1+Control!$B$18,18)+(Control!$B$68*12*POWER(1+$A$16,18))*Control!$B$26)))*(1-Control!$B$23))-IF(AND(Control!$B$5&gt;0,Control!$B$6="Y",19=Control!$B$39-1),Control!$B$40,0))</f>
        <v>1587245.6371786839</v>
      </c>
      <c r="W65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$16,19))+(((Control!$B$20*(Control!$B$30*Control!$B$31+Control!$B$34*Control!$B$35+IF(AND(Control!$B$5&gt;0,Control!$B$6="Y",20&gt;=Control!$B$39),Control!$B$37*Control!$B$38,0)))*Control!$B$41)*(Control!$B$42+Control!$B$44)*POWER(1+$A$16,19))+(Control!$B$46*POWER(1+$A$16,19)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$16,19)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$16,19))*Control!$B$26))+(((Control!$B$54*Control!$B$55+Control!$B$57*Control!$B$58*Control!$B$59*Control!$B$60)*POWER(1+$A$16,19))-((Control!$B$57*Control!$B$58*Control!$B$59*Control!$B$60*POWER(1+$A$16,19))*Control!$B$63+(Control!$B$64+Control!$B$65+Control!$B$66)*12*POWER(1+Control!$B$18,19)+((Control!$B$54*Control!$B$55+Control!$B$57*Control!$B$58*Control!$B$59*Control!$B$60)*POWER(1+$A$16,19))*Control!$B$26))+((Control!$B$68*12*POWER(1+$A$16,19))-((Control!$B$70+Control!$B$71+Control!$B$72)*12*POWER(1+Control!$B$18,19)+(Control!$B$68*12*POWER(1+$A$16,19))*Control!$B$26)))*(1-Control!$B$23))-IF(AND(Control!$B$5&gt;0,Control!$B$6="Y",20=Control!$B$39-1),Control!$B$40,0))+Valuation!$F$10*POWER(1+Control!$B$78,20)*(1-Control!$B$79)</f>
        <v>17716041.144140016</v>
      </c>
    </row>
    <row r="66" spans="1:23" x14ac:dyDescent="0.3">
      <c r="A66" s="110" t="s">
        <v>559</v>
      </c>
      <c r="B66" s="110"/>
      <c r="C66" s="110"/>
      <c r="D66" s="110">
        <f>D65</f>
        <v>952520.39754989708</v>
      </c>
      <c r="E66" s="110">
        <f t="shared" ref="E66:V66" si="6">D66+E65</f>
        <v>1934150.4484142426</v>
      </c>
      <c r="F66" s="110">
        <f t="shared" si="6"/>
        <v>2945604.9805962369</v>
      </c>
      <c r="G66" s="110">
        <f t="shared" si="6"/>
        <v>3987604.9373127394</v>
      </c>
      <c r="H66" s="110">
        <f t="shared" si="6"/>
        <v>5060876.4977074936</v>
      </c>
      <c r="I66" s="110">
        <f t="shared" si="6"/>
        <v>6166150.1061981069</v>
      </c>
      <c r="J66" s="110">
        <f t="shared" si="6"/>
        <v>7304159.4039924182</v>
      </c>
      <c r="K66" s="110">
        <f t="shared" si="6"/>
        <v>8475640.0559107792</v>
      </c>
      <c r="L66" s="110">
        <f t="shared" si="6"/>
        <v>9681328.4652287643</v>
      </c>
      <c r="M66" s="110">
        <f t="shared" si="6"/>
        <v>10921960.368808506</v>
      </c>
      <c r="N66" s="110">
        <f t="shared" si="6"/>
        <v>12198269.304314924</v>
      </c>
      <c r="O66" s="110">
        <f t="shared" si="6"/>
        <v>13510984.94081426</v>
      </c>
      <c r="P66" s="110">
        <f t="shared" si="6"/>
        <v>14860831.263524864</v>
      </c>
      <c r="Q66" s="110">
        <f t="shared" si="6"/>
        <v>16248524.602932751</v>
      </c>
      <c r="R66" s="110">
        <f t="shared" si="6"/>
        <v>17674771.497895256</v>
      </c>
      <c r="S66" s="110">
        <f t="shared" si="6"/>
        <v>19140266.381733477</v>
      </c>
      <c r="T66" s="110">
        <f t="shared" si="6"/>
        <v>20645689.079656307</v>
      </c>
      <c r="U66" s="110">
        <f t="shared" si="6"/>
        <v>22191702.105163682</v>
      </c>
      <c r="V66" s="110">
        <f t="shared" si="6"/>
        <v>23778947.742342368</v>
      </c>
      <c r="W66" s="110"/>
    </row>
    <row r="67" spans="1:23" x14ac:dyDescent="0.3">
      <c r="A67" s="110" t="s">
        <v>560</v>
      </c>
      <c r="B67" s="110"/>
      <c r="C67" s="114">
        <f>-Control!$B$15</f>
        <v>-6400000</v>
      </c>
      <c r="D67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$17,0))+(((Control!$B$20*(Control!$B$30*Control!$B$31+Control!$B$34*Control!$B$35+IF(AND(Control!$B$5&gt;0,Control!$B$6="Y",1&gt;=Control!$B$39),Control!$B$37*Control!$B$38,0)))*Control!$B$41)*(Control!$B$42+Control!$B$44)*POWER(1+$A$17,0))+(Control!$B$46*POWER(1+$A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$17,0)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$17,0))*Control!$B$26))+(((Control!$B$54*Control!$B$55+Control!$B$57*Control!$B$58*Control!$B$59*Control!$B$60)*POWER(1+$A$17,0))-((Control!$B$57*Control!$B$58*Control!$B$59*Control!$B$60*POWER(1+$A$17,0))*Control!$B$63+(Control!$B$64+Control!$B$65+Control!$B$66)*12*POWER(1+Control!$B$18,0)+((Control!$B$54*Control!$B$55+Control!$B$57*Control!$B$58*Control!$B$59*Control!$B$60)*POWER(1+$A$17,0))*Control!$B$26))+((Control!$B$68*12*POWER(1+$A$17,0))-((Control!$B$70+Control!$B$71+Control!$B$72)*12*POWER(1+Control!$B$18,0)+(Control!$B$68*12*POWER(1+$A$17,0))*Control!$B$26)))*(1-Control!$B$23))-IF(AND(Control!$B$5&gt;0,Control!$B$6="Y",1=Control!$B$39-1),Control!$B$40,0))</f>
        <v>952520.39754989708</v>
      </c>
      <c r="E67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$17,1))+(((Control!$B$20*(Control!$B$30*Control!$B$31+Control!$B$34*Control!$B$35+IF(AND(Control!$B$5&gt;0,Control!$B$6="Y",2&gt;=Control!$B$39),Control!$B$37*Control!$B$38,0)))*Control!$B$41)*(Control!$B$42+Control!$B$44)*POWER(1+$A$17,1))+(Control!$B$46*POWER(1+$A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$17,1)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$17,1))*Control!$B$26))+(((Control!$B$54*Control!$B$55+Control!$B$57*Control!$B$58*Control!$B$59*Control!$B$60)*POWER(1+$A$17,1))-((Control!$B$57*Control!$B$58*Control!$B$59*Control!$B$60*POWER(1+$A$17,1))*Control!$B$63+(Control!$B$64+Control!$B$65+Control!$B$66)*12*POWER(1+Control!$B$18,1)+((Control!$B$54*Control!$B$55+Control!$B$57*Control!$B$58*Control!$B$59*Control!$B$60)*POWER(1+$A$17,1))*Control!$B$26))+((Control!$B$68*12*POWER(1+$A$17,1))-((Control!$B$70+Control!$B$71+Control!$B$72)*12*POWER(1+Control!$B$18,1)+(Control!$B$68*12*POWER(1+$A$17,1))*Control!$B$26)))*(1-Control!$B$23))-IF(AND(Control!$B$5&gt;0,Control!$B$6="Y",2=Control!$B$39-1),Control!$B$40,0))</f>
        <v>1000146.4174273919</v>
      </c>
      <c r="F67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$17,2))+(((Control!$B$20*(Control!$B$30*Control!$B$31+Control!$B$34*Control!$B$35+IF(AND(Control!$B$5&gt;0,Control!$B$6="Y",3&gt;=Control!$B$39),Control!$B$37*Control!$B$38,0)))*Control!$B$41)*(Control!$B$42+Control!$B$44)*POWER(1+$A$17,2))+(Control!$B$46*POWER(1+$A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$17,2)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$17,2))*Control!$B$26))+(((Control!$B$54*Control!$B$55+Control!$B$57*Control!$B$58*Control!$B$59*Control!$B$60)*POWER(1+$A$17,2))-((Control!$B$57*Control!$B$58*Control!$B$59*Control!$B$60*POWER(1+$A$17,2))*Control!$B$63+(Control!$B$64+Control!$B$65+Control!$B$66)*12*POWER(1+Control!$B$18,2)+((Control!$B$54*Control!$B$55+Control!$B$57*Control!$B$58*Control!$B$59*Control!$B$60)*POWER(1+$A$17,2))*Control!$B$26))+((Control!$B$68*12*POWER(1+$A$17,2))-((Control!$B$70+Control!$B$71+Control!$B$72)*12*POWER(1+Control!$B$18,2)+(Control!$B$68*12*POWER(1+$A$17,2))*Control!$B$26)))*(1-Control!$B$23))-IF(AND(Control!$B$5&gt;0,Control!$B$6="Y",3=Control!$B$39-1),Control!$B$40,0))</f>
        <v>1050153.7382987617</v>
      </c>
      <c r="G67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$17,3))+(((Control!$B$20*(Control!$B$30*Control!$B$31+Control!$B$34*Control!$B$35+IF(AND(Control!$B$5&gt;0,Control!$B$6="Y",4&gt;=Control!$B$39),Control!$B$37*Control!$B$38,0)))*Control!$B$41)*(Control!$B$42+Control!$B$44)*POWER(1+$A$17,3))+(Control!$B$46*POWER(1+$A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$17,3)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$17,3))*Control!$B$26))+(((Control!$B$54*Control!$B$55+Control!$B$57*Control!$B$58*Control!$B$59*Control!$B$60)*POWER(1+$A$17,3))-((Control!$B$57*Control!$B$58*Control!$B$59*Control!$B$60*POWER(1+$A$17,3))*Control!$B$63+(Control!$B$64+Control!$B$65+Control!$B$66)*12*POWER(1+Control!$B$18,3)+((Control!$B$54*Control!$B$55+Control!$B$57*Control!$B$58*Control!$B$59*Control!$B$60)*POWER(1+$A$17,3))*Control!$B$26))+((Control!$B$68*12*POWER(1+$A$17,3))-((Control!$B$70+Control!$B$71+Control!$B$72)*12*POWER(1+Control!$B$18,3)+(Control!$B$68*12*POWER(1+$A$17,3))*Control!$B$26)))*(1-Control!$B$23))-IF(AND(Control!$B$5&gt;0,Control!$B$6="Y",4=Control!$B$39-1),Control!$B$40,0))</f>
        <v>1102661.4252136999</v>
      </c>
      <c r="H67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$17,4))+(((Control!$B$20*(Control!$B$30*Control!$B$31+Control!$B$34*Control!$B$35+IF(AND(Control!$B$5&gt;0,Control!$B$6="Y",5&gt;=Control!$B$39),Control!$B$37*Control!$B$38,0)))*Control!$B$41)*(Control!$B$42+Control!$B$44)*POWER(1+$A$17,4))+(Control!$B$46*POWER(1+$A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$17,4)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$17,4))*Control!$B$26))+(((Control!$B$54*Control!$B$55+Control!$B$57*Control!$B$58*Control!$B$59*Control!$B$60)*POWER(1+$A$17,4))-((Control!$B$57*Control!$B$58*Control!$B$59*Control!$B$60*POWER(1+$A$17,4))*Control!$B$63+(Control!$B$64+Control!$B$65+Control!$B$66)*12*POWER(1+Control!$B$18,4)+((Control!$B$54*Control!$B$55+Control!$B$57*Control!$B$58*Control!$B$59*Control!$B$60)*POWER(1+$A$17,4))*Control!$B$26))+((Control!$B$68*12*POWER(1+$A$17,4))-((Control!$B$70+Control!$B$71+Control!$B$72)*12*POWER(1+Control!$B$18,4)+(Control!$B$68*12*POWER(1+$A$17,4))*Control!$B$26)))*(1-Control!$B$23))-IF(AND(Control!$B$5&gt;0,Control!$B$6="Y",5=Control!$B$39-1),Control!$B$40,0))</f>
        <v>1157794.4964743843</v>
      </c>
      <c r="I67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$17,5))+(((Control!$B$20*(Control!$B$30*Control!$B$31+Control!$B$34*Control!$B$35+IF(AND(Control!$B$5&gt;0,Control!$B$6="Y",6&gt;=Control!$B$39),Control!$B$37*Control!$B$38,0)))*Control!$B$41)*(Control!$B$42+Control!$B$44)*POWER(1+$A$17,5))+(Control!$B$46*POWER(1+$A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$17,5)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$17,5))*Control!$B$26))+(((Control!$B$54*Control!$B$55+Control!$B$57*Control!$B$58*Control!$B$59*Control!$B$60)*POWER(1+$A$17,5))-((Control!$B$57*Control!$B$58*Control!$B$59*Control!$B$60*POWER(1+$A$17,5))*Control!$B$63+(Control!$B$64+Control!$B$65+Control!$B$66)*12*POWER(1+Control!$B$18,5)+((Control!$B$54*Control!$B$55+Control!$B$57*Control!$B$58*Control!$B$59*Control!$B$60)*POWER(1+$A$17,5))*Control!$B$26))+((Control!$B$68*12*POWER(1+$A$17,5))-((Control!$B$70+Control!$B$71+Control!$B$72)*12*POWER(1+Control!$B$18,5)+(Control!$B$68*12*POWER(1+$A$17,5))*Control!$B$26)))*(1-Control!$B$23))-IF(AND(Control!$B$5&gt;0,Control!$B$6="Y",6=Control!$B$39-1),Control!$B$40,0))</f>
        <v>1215684.2212981042</v>
      </c>
      <c r="J67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$17,6))+(((Control!$B$20*(Control!$B$30*Control!$B$31+Control!$B$34*Control!$B$35+IF(AND(Control!$B$5&gt;0,Control!$B$6="Y",7&gt;=Control!$B$39),Control!$B$37*Control!$B$38,0)))*Control!$B$41)*(Control!$B$42+Control!$B$44)*POWER(1+$A$17,6))+(Control!$B$46*POWER(1+$A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$17,6)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$17,6))*Control!$B$26))+(((Control!$B$54*Control!$B$55+Control!$B$57*Control!$B$58*Control!$B$59*Control!$B$60)*POWER(1+$A$17,6))-((Control!$B$57*Control!$B$58*Control!$B$59*Control!$B$60*POWER(1+$A$17,6))*Control!$B$63+(Control!$B$64+Control!$B$65+Control!$B$66)*12*POWER(1+Control!$B$18,6)+((Control!$B$54*Control!$B$55+Control!$B$57*Control!$B$58*Control!$B$59*Control!$B$60)*POWER(1+$A$17,6))*Control!$B$26))+((Control!$B$68*12*POWER(1+$A$17,6))-((Control!$B$70+Control!$B$71+Control!$B$72)*12*POWER(1+Control!$B$18,6)+(Control!$B$68*12*POWER(1+$A$17,6))*Control!$B$26)))*(1-Control!$B$23))-IF(AND(Control!$B$5&gt;0,Control!$B$6="Y",7=Control!$B$39-1),Control!$B$40,0))</f>
        <v>1276468.4323630091</v>
      </c>
      <c r="K67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$17,7))+(((Control!$B$20*(Control!$B$30*Control!$B$31+Control!$B$34*Control!$B$35+IF(AND(Control!$B$5&gt;0,Control!$B$6="Y",8&gt;=Control!$B$39),Control!$B$37*Control!$B$38,0)))*Control!$B$41)*(Control!$B$42+Control!$B$44)*POWER(1+$A$17,7))+(Control!$B$46*POWER(1+$A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$17,7)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$17,7))*Control!$B$26))+(((Control!$B$54*Control!$B$55+Control!$B$57*Control!$B$58*Control!$B$59*Control!$B$60)*POWER(1+$A$17,7))-((Control!$B$57*Control!$B$58*Control!$B$59*Control!$B$60*POWER(1+$A$17,7))*Control!$B$63+(Control!$B$64+Control!$B$65+Control!$B$66)*12*POWER(1+Control!$B$18,7)+((Control!$B$54*Control!$B$55+Control!$B$57*Control!$B$58*Control!$B$59*Control!$B$60)*POWER(1+$A$17,7))*Control!$B$26))+((Control!$B$68*12*POWER(1+$A$17,7))-((Control!$B$70+Control!$B$71+Control!$B$72)*12*POWER(1+Control!$B$18,7)+(Control!$B$68*12*POWER(1+$A$17,7))*Control!$B$26)))*(1-Control!$B$23))-IF(AND(Control!$B$5&gt;0,Control!$B$6="Y",8=Control!$B$39-1),Control!$B$40,0))</f>
        <v>1340291.8539811596</v>
      </c>
      <c r="L67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$17,8))+(((Control!$B$20*(Control!$B$30*Control!$B$31+Control!$B$34*Control!$B$35+IF(AND(Control!$B$5&gt;0,Control!$B$6="Y",9&gt;=Control!$B$39),Control!$B$37*Control!$B$38,0)))*Control!$B$41)*(Control!$B$42+Control!$B$44)*POWER(1+$A$17,8))+(Control!$B$46*POWER(1+$A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$17,8)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$17,8))*Control!$B$26))+(((Control!$B$54*Control!$B$55+Control!$B$57*Control!$B$58*Control!$B$59*Control!$B$60)*POWER(1+$A$17,8))-((Control!$B$57*Control!$B$58*Control!$B$59*Control!$B$60*POWER(1+$A$17,8))*Control!$B$63+(Control!$B$64+Control!$B$65+Control!$B$66)*12*POWER(1+Control!$B$18,8)+((Control!$B$54*Control!$B$55+Control!$B$57*Control!$B$58*Control!$B$59*Control!$B$60)*POWER(1+$A$17,8))*Control!$B$26))+((Control!$B$68*12*POWER(1+$A$17,8))-((Control!$B$70+Control!$B$71+Control!$B$72)*12*POWER(1+Control!$B$18,8)+(Control!$B$68*12*POWER(1+$A$17,8))*Control!$B$26)))*(1-Control!$B$23))-IF(AND(Control!$B$5&gt;0,Control!$B$6="Y",9=Control!$B$39-1),Control!$B$40,0))</f>
        <v>1407306.4466802173</v>
      </c>
      <c r="M67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$17,9))+(((Control!$B$20*(Control!$B$30*Control!$B$31+Control!$B$34*Control!$B$35+IF(AND(Control!$B$5&gt;0,Control!$B$6="Y",10&gt;=Control!$B$39),Control!$B$37*Control!$B$38,0)))*Control!$B$41)*(Control!$B$42+Control!$B$44)*POWER(1+$A$17,9))+(Control!$B$46*POWER(1+$A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$17,9)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$17,9))*Control!$B$26))+(((Control!$B$54*Control!$B$55+Control!$B$57*Control!$B$58*Control!$B$59*Control!$B$60)*POWER(1+$A$17,9))-((Control!$B$57*Control!$B$58*Control!$B$59*Control!$B$60*POWER(1+$A$17,9))*Control!$B$63+(Control!$B$64+Control!$B$65+Control!$B$66)*12*POWER(1+Control!$B$18,9)+((Control!$B$54*Control!$B$55+Control!$B$57*Control!$B$58*Control!$B$59*Control!$B$60)*POWER(1+$A$17,9))*Control!$B$26))+((Control!$B$68*12*POWER(1+$A$17,9))-((Control!$B$70+Control!$B$71+Control!$B$72)*12*POWER(1+Control!$B$18,9)+(Control!$B$68*12*POWER(1+$A$17,9))*Control!$B$26)))*(1-Control!$B$23))-IF(AND(Control!$B$5&gt;0,Control!$B$6="Y",10=Control!$B$39-1),Control!$B$40,0))</f>
        <v>1477671.7690142284</v>
      </c>
      <c r="N67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$17,10))+(((Control!$B$20*(Control!$B$30*Control!$B$31+Control!$B$34*Control!$B$35+IF(AND(Control!$B$5&gt;0,Control!$B$6="Y",11&gt;=Control!$B$39),Control!$B$37*Control!$B$38,0)))*Control!$B$41)*(Control!$B$42+Control!$B$44)*POWER(1+$A$17,10))+(Control!$B$46*POWER(1+$A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$17,10)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$17,10))*Control!$B$26))+(((Control!$B$54*Control!$B$55+Control!$B$57*Control!$B$58*Control!$B$59*Control!$B$60)*POWER(1+$A$17,10))-((Control!$B$57*Control!$B$58*Control!$B$59*Control!$B$60*POWER(1+$A$17,10))*Control!$B$63+(Control!$B$64+Control!$B$65+Control!$B$66)*12*POWER(1+Control!$B$18,10)+((Control!$B$54*Control!$B$55+Control!$B$57*Control!$B$58*Control!$B$59*Control!$B$60)*POWER(1+$A$17,10))*Control!$B$26))+((Control!$B$68*12*POWER(1+$A$17,10))-((Control!$B$70+Control!$B$71+Control!$B$72)*12*POWER(1+Control!$B$18,10)+(Control!$B$68*12*POWER(1+$A$17,10))*Control!$B$26)))*(1-Control!$B$23))-IF(AND(Control!$B$5&gt;0,Control!$B$6="Y",11=Control!$B$39-1),Control!$B$40,0))</f>
        <v>1551555.3574649398</v>
      </c>
      <c r="O67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$17,11))+(((Control!$B$20*(Control!$B$30*Control!$B$31+Control!$B$34*Control!$B$35+IF(AND(Control!$B$5&gt;0,Control!$B$6="Y",12&gt;=Control!$B$39),Control!$B$37*Control!$B$38,0)))*Control!$B$41)*(Control!$B$42+Control!$B$44)*POWER(1+$A$17,11))+(Control!$B$46*POWER(1+$A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$17,11)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$17,11))*Control!$B$26))+(((Control!$B$54*Control!$B$55+Control!$B$57*Control!$B$58*Control!$B$59*Control!$B$60)*POWER(1+$A$17,11))-((Control!$B$57*Control!$B$58*Control!$B$59*Control!$B$60*POWER(1+$A$17,11))*Control!$B$63+(Control!$B$64+Control!$B$65+Control!$B$66)*12*POWER(1+Control!$B$18,11)+((Control!$B$54*Control!$B$55+Control!$B$57*Control!$B$58*Control!$B$59*Control!$B$60)*POWER(1+$A$17,11))*Control!$B$26))+((Control!$B$68*12*POWER(1+$A$17,11))-((Control!$B$70+Control!$B$71+Control!$B$72)*12*POWER(1+Control!$B$18,11)+(Control!$B$68*12*POWER(1+$A$17,11))*Control!$B$26)))*(1-Control!$B$23))-IF(AND(Control!$B$5&gt;0,Control!$B$6="Y",12=Control!$B$39-1),Control!$B$40,0))</f>
        <v>1629133.125338187</v>
      </c>
      <c r="P67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$17,12))+(((Control!$B$20*(Control!$B$30*Control!$B$31+Control!$B$34*Control!$B$35+IF(AND(Control!$B$5&gt;0,Control!$B$6="Y",13&gt;=Control!$B$39),Control!$B$37*Control!$B$38,0)))*Control!$B$41)*(Control!$B$42+Control!$B$44)*POWER(1+$A$17,12))+(Control!$B$46*POWER(1+$A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$17,12)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$17,12))*Control!$B$26))+(((Control!$B$54*Control!$B$55+Control!$B$57*Control!$B$58*Control!$B$59*Control!$B$60)*POWER(1+$A$17,12))-((Control!$B$57*Control!$B$58*Control!$B$59*Control!$B$60*POWER(1+$A$17,12))*Control!$B$63+(Control!$B$64+Control!$B$65+Control!$B$66)*12*POWER(1+Control!$B$18,12)+((Control!$B$54*Control!$B$55+Control!$B$57*Control!$B$58*Control!$B$59*Control!$B$60)*POWER(1+$A$17,12))*Control!$B$26))+((Control!$B$68*12*POWER(1+$A$17,12))-((Control!$B$70+Control!$B$71+Control!$B$72)*12*POWER(1+Control!$B$18,12)+(Control!$B$68*12*POWER(1+$A$17,12))*Control!$B$26)))*(1-Control!$B$23))-IF(AND(Control!$B$5&gt;0,Control!$B$6="Y",13=Control!$B$39-1),Control!$B$40,0))</f>
        <v>1710589.7816050961</v>
      </c>
      <c r="Q67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$17,13))+(((Control!$B$20*(Control!$B$30*Control!$B$31+Control!$B$34*Control!$B$35+IF(AND(Control!$B$5&gt;0,Control!$B$6="Y",14&gt;=Control!$B$39),Control!$B$37*Control!$B$38,0)))*Control!$B$41)*(Control!$B$42+Control!$B$44)*POWER(1+$A$17,13))+(Control!$B$46*POWER(1+$A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$17,13)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$17,13))*Control!$B$26))+(((Control!$B$54*Control!$B$55+Control!$B$57*Control!$B$58*Control!$B$59*Control!$B$60)*POWER(1+$A$17,13))-((Control!$B$57*Control!$B$58*Control!$B$59*Control!$B$60*POWER(1+$A$17,13))*Control!$B$63+(Control!$B$64+Control!$B$65+Control!$B$66)*12*POWER(1+Control!$B$18,13)+((Control!$B$54*Control!$B$55+Control!$B$57*Control!$B$58*Control!$B$59*Control!$B$60)*POWER(1+$A$17,13))*Control!$B$26))+((Control!$B$68*12*POWER(1+$A$17,13))-((Control!$B$70+Control!$B$71+Control!$B$72)*12*POWER(1+Control!$B$18,13)+(Control!$B$68*12*POWER(1+$A$17,13))*Control!$B$26)))*(1-Control!$B$23))-IF(AND(Control!$B$5&gt;0,Control!$B$6="Y",14=Control!$B$39-1),Control!$B$40,0))</f>
        <v>1796119.2706853508</v>
      </c>
      <c r="R67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$17,14))+(((Control!$B$20*(Control!$B$30*Control!$B$31+Control!$B$34*Control!$B$35+IF(AND(Control!$B$5&gt;0,Control!$B$6="Y",15&gt;=Control!$B$39),Control!$B$37*Control!$B$38,0)))*Control!$B$41)*(Control!$B$42+Control!$B$44)*POWER(1+$A$17,14))+(Control!$B$46*POWER(1+$A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$17,14)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$17,14))*Control!$B$26))+(((Control!$B$54*Control!$B$55+Control!$B$57*Control!$B$58*Control!$B$59*Control!$B$60)*POWER(1+$A$17,14))-((Control!$B$57*Control!$B$58*Control!$B$59*Control!$B$60*POWER(1+$A$17,14))*Control!$B$63+(Control!$B$64+Control!$B$65+Control!$B$66)*12*POWER(1+Control!$B$18,14)+((Control!$B$54*Control!$B$55+Control!$B$57*Control!$B$58*Control!$B$59*Control!$B$60)*POWER(1+$A$17,14))*Control!$B$26))+((Control!$B$68*12*POWER(1+$A$17,14))-((Control!$B$70+Control!$B$71+Control!$B$72)*12*POWER(1+Control!$B$18,14)+(Control!$B$68*12*POWER(1+$A$17,14))*Control!$B$26)))*(1-Control!$B$23))-IF(AND(Control!$B$5&gt;0,Control!$B$6="Y",15=Control!$B$39-1),Control!$B$40,0))</f>
        <v>1885925.2342196186</v>
      </c>
      <c r="S67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$17,15))+(((Control!$B$20*(Control!$B$30*Control!$B$31+Control!$B$34*Control!$B$35+IF(AND(Control!$B$5&gt;0,Control!$B$6="Y",16&gt;=Control!$B$39),Control!$B$37*Control!$B$38,0)))*Control!$B$41)*(Control!$B$42+Control!$B$44)*POWER(1+$A$17,15))+(Control!$B$46*POWER(1+$A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$17,15)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$17,15))*Control!$B$26))+(((Control!$B$54*Control!$B$55+Control!$B$57*Control!$B$58*Control!$B$59*Control!$B$60)*POWER(1+$A$17,15))-((Control!$B$57*Control!$B$58*Control!$B$59*Control!$B$60*POWER(1+$A$17,15))*Control!$B$63+(Control!$B$64+Control!$B$65+Control!$B$66)*12*POWER(1+Control!$B$18,15)+((Control!$B$54*Control!$B$55+Control!$B$57*Control!$B$58*Control!$B$59*Control!$B$60)*POWER(1+$A$17,15))*Control!$B$26))+((Control!$B$68*12*POWER(1+$A$17,15))-((Control!$B$70+Control!$B$71+Control!$B$72)*12*POWER(1+Control!$B$18,15)+(Control!$B$68*12*POWER(1+$A$17,15))*Control!$B$26)))*(1-Control!$B$23))-IF(AND(Control!$B$5&gt;0,Control!$B$6="Y",16=Control!$B$39-1),Control!$B$40,0))</f>
        <v>1980221.4959305997</v>
      </c>
      <c r="T67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$17,16))+(((Control!$B$20*(Control!$B$30*Control!$B$31+Control!$B$34*Control!$B$35+IF(AND(Control!$B$5&gt;0,Control!$B$6="Y",17&gt;=Control!$B$39),Control!$B$37*Control!$B$38,0)))*Control!$B$41)*(Control!$B$42+Control!$B$44)*POWER(1+$A$17,16))+(Control!$B$46*POWER(1+$A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$17,16)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$17,16))*Control!$B$26))+(((Control!$B$54*Control!$B$55+Control!$B$57*Control!$B$58*Control!$B$59*Control!$B$60)*POWER(1+$A$17,16))-((Control!$B$57*Control!$B$58*Control!$B$59*Control!$B$60*POWER(1+$A$17,16))*Control!$B$63+(Control!$B$64+Control!$B$65+Control!$B$66)*12*POWER(1+Control!$B$18,16)+((Control!$B$54*Control!$B$55+Control!$B$57*Control!$B$58*Control!$B$59*Control!$B$60)*POWER(1+$A$17,16))*Control!$B$26))+((Control!$B$68*12*POWER(1+$A$17,16))-((Control!$B$70+Control!$B$71+Control!$B$72)*12*POWER(1+Control!$B$18,16)+(Control!$B$68*12*POWER(1+$A$17,16))*Control!$B$26)))*(1-Control!$B$23))-IF(AND(Control!$B$5&gt;0,Control!$B$6="Y",17=Control!$B$39-1),Control!$B$40,0))</f>
        <v>2079232.5707271304</v>
      </c>
      <c r="U67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$17,17))+(((Control!$B$20*(Control!$B$30*Control!$B$31+Control!$B$34*Control!$B$35+IF(AND(Control!$B$5&gt;0,Control!$B$6="Y",18&gt;=Control!$B$39),Control!$B$37*Control!$B$38,0)))*Control!$B$41)*(Control!$B$42+Control!$B$44)*POWER(1+$A$17,17))+(Control!$B$46*POWER(1+$A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$17,17)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$17,17))*Control!$B$26))+(((Control!$B$54*Control!$B$55+Control!$B$57*Control!$B$58*Control!$B$59*Control!$B$60)*POWER(1+$A$17,17))-((Control!$B$57*Control!$B$58*Control!$B$59*Control!$B$60*POWER(1+$A$17,17))*Control!$B$63+(Control!$B$64+Control!$B$65+Control!$B$66)*12*POWER(1+Control!$B$18,17)+((Control!$B$54*Control!$B$55+Control!$B$57*Control!$B$58*Control!$B$59*Control!$B$60)*POWER(1+$A$17,17))*Control!$B$26))+((Control!$B$68*12*POWER(1+$A$17,17))-((Control!$B$70+Control!$B$71+Control!$B$72)*12*POWER(1+Control!$B$18,17)+(Control!$B$68*12*POWER(1+$A$17,17))*Control!$B$26)))*(1-Control!$B$23))-IF(AND(Control!$B$5&gt;0,Control!$B$6="Y",18=Control!$B$39-1),Control!$B$40,0))</f>
        <v>2183194.1992634865</v>
      </c>
      <c r="V67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$17,18))+(((Control!$B$20*(Control!$B$30*Control!$B$31+Control!$B$34*Control!$B$35+IF(AND(Control!$B$5&gt;0,Control!$B$6="Y",19&gt;=Control!$B$39),Control!$B$37*Control!$B$38,0)))*Control!$B$41)*(Control!$B$42+Control!$B$44)*POWER(1+$A$17,18))+(Control!$B$46*POWER(1+$A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$17,18)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$17,18))*Control!$B$26))+(((Control!$B$54*Control!$B$55+Control!$B$57*Control!$B$58*Control!$B$59*Control!$B$60)*POWER(1+$A$17,18))-((Control!$B$57*Control!$B$58*Control!$B$59*Control!$B$60*POWER(1+$A$17,18))*Control!$B$63+(Control!$B$64+Control!$B$65+Control!$B$66)*12*POWER(1+Control!$B$18,18)+((Control!$B$54*Control!$B$55+Control!$B$57*Control!$B$58*Control!$B$59*Control!$B$60)*POWER(1+$A$17,18))*Control!$B$26))+((Control!$B$68*12*POWER(1+$A$17,18))-((Control!$B$70+Control!$B$71+Control!$B$72)*12*POWER(1+Control!$B$18,18)+(Control!$B$68*12*POWER(1+$A$17,18))*Control!$B$26)))*(1-Control!$B$23))-IF(AND(Control!$B$5&gt;0,Control!$B$6="Y",19=Control!$B$39-1),Control!$B$40,0))</f>
        <v>2292353.9092266611</v>
      </c>
      <c r="W67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$17,19))+(((Control!$B$20*(Control!$B$30*Control!$B$31+Control!$B$34*Control!$B$35+IF(AND(Control!$B$5&gt;0,Control!$B$6="Y",20&gt;=Control!$B$39),Control!$B$37*Control!$B$38,0)))*Control!$B$41)*(Control!$B$42+Control!$B$44)*POWER(1+$A$17,19))+(Control!$B$46*POWER(1+$A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$17,19)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$17,19))*Control!$B$26))+(((Control!$B$54*Control!$B$55+Control!$B$57*Control!$B$58*Control!$B$59*Control!$B$60)*POWER(1+$A$17,19))-((Control!$B$57*Control!$B$58*Control!$B$59*Control!$B$60*POWER(1+$A$17,19))*Control!$B$63+(Control!$B$64+Control!$B$65+Control!$B$66)*12*POWER(1+Control!$B$18,19)+((Control!$B$54*Control!$B$55+Control!$B$57*Control!$B$58*Control!$B$59*Control!$B$60)*POWER(1+$A$17,19))*Control!$B$26))+((Control!$B$68*12*POWER(1+$A$17,19))-((Control!$B$70+Control!$B$71+Control!$B$72)*12*POWER(1+Control!$B$18,19)+(Control!$B$68*12*POWER(1+$A$17,19))*Control!$B$26)))*(1-Control!$B$23))-IF(AND(Control!$B$5&gt;0,Control!$B$6="Y",20=Control!$B$39-1),Control!$B$40,0))+Valuation!$F$10*POWER(1+Control!$B$78,20)*(1-Control!$B$79)</f>
        <v>18493915.590978615</v>
      </c>
    </row>
    <row r="68" spans="1:23" x14ac:dyDescent="0.3">
      <c r="A68" s="110" t="s">
        <v>561</v>
      </c>
      <c r="B68" s="110"/>
      <c r="C68" s="110"/>
      <c r="D68" s="110">
        <f>D67</f>
        <v>952520.39754989708</v>
      </c>
      <c r="E68" s="110">
        <f t="shared" ref="E68:V68" si="7">D68+E67</f>
        <v>1952666.8149772889</v>
      </c>
      <c r="F68" s="110">
        <f t="shared" si="7"/>
        <v>3002820.5532760508</v>
      </c>
      <c r="G68" s="110">
        <f t="shared" si="7"/>
        <v>4105481.978489751</v>
      </c>
      <c r="H68" s="110">
        <f t="shared" si="7"/>
        <v>5263276.4749641353</v>
      </c>
      <c r="I68" s="110">
        <f t="shared" si="7"/>
        <v>6478960.6962622395</v>
      </c>
      <c r="J68" s="110">
        <f t="shared" si="7"/>
        <v>7755429.1286252486</v>
      </c>
      <c r="K68" s="110">
        <f t="shared" si="7"/>
        <v>9095720.9826064073</v>
      </c>
      <c r="L68" s="110">
        <f t="shared" si="7"/>
        <v>10503027.429286625</v>
      </c>
      <c r="M68" s="110">
        <f t="shared" si="7"/>
        <v>11980699.198300853</v>
      </c>
      <c r="N68" s="110">
        <f t="shared" si="7"/>
        <v>13532254.555765793</v>
      </c>
      <c r="O68" s="110">
        <f t="shared" si="7"/>
        <v>15161387.68110398</v>
      </c>
      <c r="P68" s="110">
        <f t="shared" si="7"/>
        <v>16871977.462709077</v>
      </c>
      <c r="Q68" s="110">
        <f t="shared" si="7"/>
        <v>18668096.733394429</v>
      </c>
      <c r="R68" s="110">
        <f t="shared" si="7"/>
        <v>20554021.967614047</v>
      </c>
      <c r="S68" s="110">
        <f t="shared" si="7"/>
        <v>22534243.463544648</v>
      </c>
      <c r="T68" s="110">
        <f t="shared" si="7"/>
        <v>24613476.034271777</v>
      </c>
      <c r="U68" s="110">
        <f t="shared" si="7"/>
        <v>26796670.233535264</v>
      </c>
      <c r="V68" s="110">
        <f t="shared" si="7"/>
        <v>29089024.142761923</v>
      </c>
      <c r="W68" s="110"/>
    </row>
    <row r="69" spans="1:23" x14ac:dyDescent="0.3">
      <c r="A69" s="110" t="s">
        <v>562</v>
      </c>
      <c r="B69" s="110"/>
      <c r="C69" s="114">
        <f>-Control!$B$15</f>
        <v>-6400000</v>
      </c>
      <c r="D69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$18,0))+(((Control!$B$20*(Control!$B$30*Control!$B$31+Control!$B$34*Control!$B$35+IF(AND(Control!$B$5&gt;0,Control!$B$6="Y",1&gt;=Control!$B$39),Control!$B$37*Control!$B$38,0)))*Control!$B$41)*(Control!$B$42+Control!$B$44)*POWER(1+$A$18,0))+(Control!$B$46*POWER(1+$A$18,0)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$18,0)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$18,0))*Control!$B$26))+(((Control!$B$54*Control!$B$55+Control!$B$57*Control!$B$58*Control!$B$59*Control!$B$60)*POWER(1+$A$18,0))-((Control!$B$57*Control!$B$58*Control!$B$59*Control!$B$60*POWER(1+$A$18,0))*Control!$B$63+(Control!$B$64+Control!$B$65+Control!$B$66)*12*POWER(1+Control!$B$18,0)+((Control!$B$54*Control!$B$55+Control!$B$57*Control!$B$58*Control!$B$59*Control!$B$60)*POWER(1+$A$18,0))*Control!$B$26))+((Control!$B$68*12*POWER(1+$A$18,0))-((Control!$B$70+Control!$B$71+Control!$B$72)*12*POWER(1+Control!$B$18,0)+(Control!$B$68*12*POWER(1+$A$18,0))*Control!$B$26)))*(1-Control!$B$23))-IF(AND(Control!$B$5&gt;0,Control!$B$6="Y",1=Control!$B$39-1),Control!$B$40,0))</f>
        <v>952520.39754989708</v>
      </c>
      <c r="E69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$18,1))+(((Control!$B$20*(Control!$B$30*Control!$B$31+Control!$B$34*Control!$B$35+IF(AND(Control!$B$5&gt;0,Control!$B$6="Y",2&gt;=Control!$B$39),Control!$B$37*Control!$B$38,0)))*Control!$B$41)*(Control!$B$42+Control!$B$44)*POWER(1+$A$18,1))+(Control!$B$46*POWER(1+$A$18,1)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$18,1)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$18,1))*Control!$B$26))+(((Control!$B$54*Control!$B$55+Control!$B$57*Control!$B$58*Control!$B$59*Control!$B$60)*POWER(1+$A$18,1))-((Control!$B$57*Control!$B$58*Control!$B$59*Control!$B$60*POWER(1+$A$18,1))*Control!$B$63+(Control!$B$64+Control!$B$65+Control!$B$66)*12*POWER(1+Control!$B$18,1)+((Control!$B$54*Control!$B$55+Control!$B$57*Control!$B$58*Control!$B$59*Control!$B$60)*POWER(1+$A$18,1))*Control!$B$26))+((Control!$B$68*12*POWER(1+$A$18,1))-((Control!$B$70+Control!$B$71+Control!$B$72)*12*POWER(1+Control!$B$18,1)+(Control!$B$68*12*POWER(1+$A$18,1))*Control!$B$26)))*(1-Control!$B$23))-IF(AND(Control!$B$5&gt;0,Control!$B$6="Y",2=Control!$B$39-1),Control!$B$40,0))</f>
        <v>1018662.7839904383</v>
      </c>
      <c r="F69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$18,2))+(((Control!$B$20*(Control!$B$30*Control!$B$31+Control!$B$34*Control!$B$35+IF(AND(Control!$B$5&gt;0,Control!$B$6="Y",3&gt;=Control!$B$39),Control!$B$37*Control!$B$38,0)))*Control!$B$41)*(Control!$B$42+Control!$B$44)*POWER(1+$A$18,2))+(Control!$B$46*POWER(1+$A$18,2)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$18,2)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$18,2))*Control!$B$26))+(((Control!$B$54*Control!$B$55+Control!$B$57*Control!$B$58*Control!$B$59*Control!$B$60)*POWER(1+$A$18,2))-((Control!$B$57*Control!$B$58*Control!$B$59*Control!$B$60*POWER(1+$A$18,2))*Control!$B$63+(Control!$B$64+Control!$B$65+Control!$B$66)*12*POWER(1+Control!$B$18,2)+((Control!$B$54*Control!$B$55+Control!$B$57*Control!$B$58*Control!$B$59*Control!$B$60)*POWER(1+$A$18,2))*Control!$B$26))+((Control!$B$68*12*POWER(1+$A$18,2))-((Control!$B$70+Control!$B$71+Control!$B$72)*12*POWER(1+Control!$B$18,2)+(Control!$B$68*12*POWER(1+$A$18,2))*Control!$B$26)))*(1-Control!$B$23))-IF(AND(Control!$B$5&gt;0,Control!$B$6="Y",3=Control!$B$39-1),Control!$B$40,0))</f>
        <v>1089223.27174679</v>
      </c>
      <c r="G69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$18,3))+(((Control!$B$20*(Control!$B$30*Control!$B$31+Control!$B$34*Control!$B$35+IF(AND(Control!$B$5&gt;0,Control!$B$6="Y",4&gt;=Control!$B$39),Control!$B$37*Control!$B$38,0)))*Control!$B$41)*(Control!$B$42+Control!$B$44)*POWER(1+$A$18,3))+(Control!$B$46*POWER(1+$A$18,3)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$18,3)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$18,3))*Control!$B$26))+(((Control!$B$54*Control!$B$55+Control!$B$57*Control!$B$58*Control!$B$59*Control!$B$60)*POWER(1+$A$18,3))-((Control!$B$57*Control!$B$58*Control!$B$59*Control!$B$60*POWER(1+$A$18,3))*Control!$B$63+(Control!$B$64+Control!$B$65+Control!$B$66)*12*POWER(1+Control!$B$18,3)+((Control!$B$54*Control!$B$55+Control!$B$57*Control!$B$58*Control!$B$59*Control!$B$60)*POWER(1+$A$18,3))*Control!$B$26))+((Control!$B$68*12*POWER(1+$A$18,3))-((Control!$B$70+Control!$B$71+Control!$B$72)*12*POWER(1+Control!$B$18,3)+(Control!$B$68*12*POWER(1+$A$18,3))*Control!$B$26)))*(1-Control!$B$23))-IF(AND(Control!$B$5&gt;0,Control!$B$6="Y",4=Control!$B$39-1),Control!$B$40,0))</f>
        <v>1164489.424804369</v>
      </c>
      <c r="H69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$18,4))+(((Control!$B$20*(Control!$B$30*Control!$B$31+Control!$B$34*Control!$B$35+IF(AND(Control!$B$5&gt;0,Control!$B$6="Y",5&gt;=Control!$B$39),Control!$B$37*Control!$B$38,0)))*Control!$B$41)*(Control!$B$42+Control!$B$44)*POWER(1+$A$18,4))+(Control!$B$46*POWER(1+$A$18,4)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$18,4)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$18,4))*Control!$B$26))+(((Control!$B$54*Control!$B$55+Control!$B$57*Control!$B$58*Control!$B$59*Control!$B$60)*POWER(1+$A$18,4))-((Control!$B$57*Control!$B$58*Control!$B$59*Control!$B$60*POWER(1+$A$18,4))*Control!$B$63+(Control!$B$64+Control!$B$65+Control!$B$66)*12*POWER(1+Control!$B$18,4)+((Control!$B$54*Control!$B$55+Control!$B$57*Control!$B$58*Control!$B$59*Control!$B$60)*POWER(1+$A$18,4))*Control!$B$26))+((Control!$B$68*12*POWER(1+$A$18,4))-((Control!$B$70+Control!$B$71+Control!$B$72)*12*POWER(1+Control!$B$18,4)+(Control!$B$68*12*POWER(1+$A$18,4))*Control!$B$26)))*(1-Control!$B$23))-IF(AND(Control!$B$5&gt;0,Control!$B$6="Y",5=Control!$B$39-1),Control!$B$40,0))</f>
        <v>1244767.1848830406</v>
      </c>
      <c r="I69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$18,5))+(((Control!$B$20*(Control!$B$30*Control!$B$31+Control!$B$34*Control!$B$35+IF(AND(Control!$B$5&gt;0,Control!$B$6="Y",6&gt;=Control!$B$39),Control!$B$37*Control!$B$38,0)))*Control!$B$41)*(Control!$B$42+Control!$B$44)*POWER(1+$A$18,5))+(Control!$B$46*POWER(1+$A$18,5)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$18,5)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$18,5))*Control!$B$26))+(((Control!$B$54*Control!$B$55+Control!$B$57*Control!$B$58*Control!$B$59*Control!$B$60)*POWER(1+$A$18,5))-((Control!$B$57*Control!$B$58*Control!$B$59*Control!$B$60*POWER(1+$A$18,5))*Control!$B$63+(Control!$B$64+Control!$B$65+Control!$B$66)*12*POWER(1+Control!$B$18,5)+((Control!$B$54*Control!$B$55+Control!$B$57*Control!$B$58*Control!$B$59*Control!$B$60)*POWER(1+$A$18,5))*Control!$B$26))+((Control!$B$68*12*POWER(1+$A$18,5))-((Control!$B$70+Control!$B$71+Control!$B$72)*12*POWER(1+Control!$B$18,5)+(Control!$B$68*12*POWER(1+$A$18,5))*Control!$B$26)))*(1-Control!$B$23))-IF(AND(Control!$B$5&gt;0,Control!$B$6="Y",6=Control!$B$39-1),Control!$B$40,0))</f>
        <v>1330382.0302959536</v>
      </c>
      <c r="J69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$18,6))+(((Control!$B$20*(Control!$B$30*Control!$B$31+Control!$B$34*Control!$B$35+IF(AND(Control!$B$5&gt;0,Control!$B$6="Y",7&gt;=Control!$B$39),Control!$B$37*Control!$B$38,0)))*Control!$B$41)*(Control!$B$42+Control!$B$44)*POWER(1+$A$18,6))+(Control!$B$46*POWER(1+$A$18,6)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$18,6)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$18,6))*Control!$B$26))+(((Control!$B$54*Control!$B$55+Control!$B$57*Control!$B$58*Control!$B$59*Control!$B$60)*POWER(1+$A$18,6))-((Control!$B$57*Control!$B$58*Control!$B$59*Control!$B$60*POWER(1+$A$18,6))*Control!$B$63+(Control!$B$64+Control!$B$65+Control!$B$66)*12*POWER(1+Control!$B$18,6)+((Control!$B$54*Control!$B$55+Control!$B$57*Control!$B$58*Control!$B$59*Control!$B$60)*POWER(1+$A$18,6))*Control!$B$26))+((Control!$B$68*12*POWER(1+$A$18,6))-((Control!$B$70+Control!$B$71+Control!$B$72)*12*POWER(1+Control!$B$18,6)+(Control!$B$68*12*POWER(1+$A$18,6))*Control!$B$26)))*(1-Control!$B$23))-IF(AND(Control!$B$5&gt;0,Control!$B$6="Y",7=Control!$B$39-1),Control!$B$40,0))</f>
        <v>1421680.2071496376</v>
      </c>
      <c r="K69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$18,7))+(((Control!$B$20*(Control!$B$30*Control!$B$31+Control!$B$34*Control!$B$35+IF(AND(Control!$B$5&gt;0,Control!$B$6="Y",8&gt;=Control!$B$39),Control!$B$37*Control!$B$38,0)))*Control!$B$41)*(Control!$B$42+Control!$B$44)*POWER(1+$A$18,7))+(Control!$B$46*POWER(1+$A$18,7)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$18,7)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$18,7))*Control!$B$26))+(((Control!$B$54*Control!$B$55+Control!$B$57*Control!$B$58*Control!$B$59*Control!$B$60)*POWER(1+$A$18,7))-((Control!$B$57*Control!$B$58*Control!$B$59*Control!$B$60*POWER(1+$A$18,7))*Control!$B$63+(Control!$B$64+Control!$B$65+Control!$B$66)*12*POWER(1+Control!$B$18,7)+((Control!$B$54*Control!$B$55+Control!$B$57*Control!$B$58*Control!$B$59*Control!$B$60)*POWER(1+$A$18,7))*Control!$B$26))+((Control!$B$68*12*POWER(1+$A$18,7))-((Control!$B$70+Control!$B$71+Control!$B$72)*12*POWER(1+Control!$B$18,7)+(Control!$B$68*12*POWER(1+$A$18,7))*Control!$B$26)))*(1-Control!$B$23))-IF(AND(Control!$B$5&gt;0,Control!$B$6="Y",8=Control!$B$39-1),Control!$B$40,0))</f>
        <v>1519030.0373663397</v>
      </c>
      <c r="L69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$18,8))+(((Control!$B$20*(Control!$B$30*Control!$B$31+Control!$B$34*Control!$B$35+IF(AND(Control!$B$5&gt;0,Control!$B$6="Y",9&gt;=Control!$B$39),Control!$B$37*Control!$B$38,0)))*Control!$B$41)*(Control!$B$42+Control!$B$44)*POWER(1+$A$18,8))+(Control!$B$46*POWER(1+$A$18,8)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$18,8)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$18,8))*Control!$B$26))+(((Control!$B$54*Control!$B$55+Control!$B$57*Control!$B$58*Control!$B$59*Control!$B$60)*POWER(1+$A$18,8))-((Control!$B$57*Control!$B$58*Control!$B$59*Control!$B$60*POWER(1+$A$18,8))*Control!$B$63+(Control!$B$64+Control!$B$65+Control!$B$66)*12*POWER(1+Control!$B$18,8)+((Control!$B$54*Control!$B$55+Control!$B$57*Control!$B$58*Control!$B$59*Control!$B$60)*POWER(1+$A$18,8))*Control!$B$26))+((Control!$B$68*12*POWER(1+$A$18,8))-((Control!$B$70+Control!$B$71+Control!$B$72)*12*POWER(1+Control!$B$18,8)+(Control!$B$68*12*POWER(1+$A$18,8))*Control!$B$26)))*(1-Control!$B$23))-IF(AND(Control!$B$5&gt;0,Control!$B$6="Y",9=Control!$B$39-1),Control!$B$40,0))</f>
        <v>1622823.3082854284</v>
      </c>
      <c r="M69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$18,9))+(((Control!$B$20*(Control!$B$30*Control!$B$31+Control!$B$34*Control!$B$35+IF(AND(Control!$B$5&gt;0,Control!$B$6="Y",10&gt;=Control!$B$39),Control!$B$37*Control!$B$38,0)))*Control!$B$41)*(Control!$B$42+Control!$B$44)*POWER(1+$A$18,9))+(Control!$B$46*POWER(1+$A$18,9)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$18,9)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$18,9))*Control!$B$26))+(((Control!$B$54*Control!$B$55+Control!$B$57*Control!$B$58*Control!$B$59*Control!$B$60)*POWER(1+$A$18,9))-((Control!$B$57*Control!$B$58*Control!$B$59*Control!$B$60*POWER(1+$A$18,9))*Control!$B$63+(Control!$B$64+Control!$B$65+Control!$B$66)*12*POWER(1+Control!$B$18,9)+((Control!$B$54*Control!$B$55+Control!$B$57*Control!$B$58*Control!$B$59*Control!$B$60)*POWER(1+$A$18,9))*Control!$B$26))+((Control!$B$68*12*POWER(1+$A$18,9))-((Control!$B$70+Control!$B$71+Control!$B$72)*12*POWER(1+Control!$B$18,9)+(Control!$B$68*12*POWER(1+$A$18,9))*Control!$B$26)))*(1-Control!$B$23))-IF(AND(Control!$B$5&gt;0,Control!$B$6="Y",10=Control!$B$39-1),Control!$B$40,0))</f>
        <v>1733476.7488935192</v>
      </c>
      <c r="N69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$18,10))+(((Control!$B$20*(Control!$B$30*Control!$B$31+Control!$B$34*Control!$B$35+IF(AND(Control!$B$5&gt;0,Control!$B$6="Y",11&gt;=Control!$B$39),Control!$B$37*Control!$B$38,0)))*Control!$B$41)*(Control!$B$42+Control!$B$44)*POWER(1+$A$18,10))+(Control!$B$46*POWER(1+$A$18,10)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$18,10)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$18,10))*Control!$B$26))+(((Control!$B$54*Control!$B$55+Control!$B$57*Control!$B$58*Control!$B$59*Control!$B$60)*POWER(1+$A$18,10))-((Control!$B$57*Control!$B$58*Control!$B$59*Control!$B$60*POWER(1+$A$18,10))*Control!$B$63+(Control!$B$64+Control!$B$65+Control!$B$66)*12*POWER(1+Control!$B$18,10)+((Control!$B$54*Control!$B$55+Control!$B$57*Control!$B$58*Control!$B$59*Control!$B$60)*POWER(1+$A$18,10))*Control!$B$26))+((Control!$B$68*12*POWER(1+$A$18,10))-((Control!$B$70+Control!$B$71+Control!$B$72)*12*POWER(1+Control!$B$18,10)+(Control!$B$68*12*POWER(1+$A$18,10))*Control!$B$26)))*(1-Control!$B$23))-IF(AND(Control!$B$5&gt;0,Control!$B$6="Y",11=Control!$B$39-1),Control!$B$40,0))</f>
        <v>1851433.5980436441</v>
      </c>
      <c r="O69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$18,11))+(((Control!$B$20*(Control!$B$30*Control!$B$31+Control!$B$34*Control!$B$35+IF(AND(Control!$B$5&gt;0,Control!$B$6="Y",12&gt;=Control!$B$39),Control!$B$37*Control!$B$38,0)))*Control!$B$41)*(Control!$B$42+Control!$B$44)*POWER(1+$A$18,11))+(Control!$B$46*POWER(1+$A$18,11)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$18,11)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$18,11))*Control!$B$26))+(((Control!$B$54*Control!$B$55+Control!$B$57*Control!$B$58*Control!$B$59*Control!$B$60)*POWER(1+$A$18,11))-((Control!$B$57*Control!$B$58*Control!$B$59*Control!$B$60*POWER(1+$A$18,11))*Control!$B$63+(Control!$B$64+Control!$B$65+Control!$B$66)*12*POWER(1+Control!$B$18,11)+((Control!$B$54*Control!$B$55+Control!$B$57*Control!$B$58*Control!$B$59*Control!$B$60)*POWER(1+$A$18,11))*Control!$B$26))+((Control!$B$68*12*POWER(1+$A$18,11))-((Control!$B$70+Control!$B$71+Control!$B$72)*12*POWER(1+Control!$B$18,11)+(Control!$B$68*12*POWER(1+$A$18,11))*Control!$B$26)))*(1-Control!$B$23))-IF(AND(Control!$B$5&gt;0,Control!$B$6="Y",12=Control!$B$39-1),Control!$B$40,0))</f>
        <v>1977165.2703536013</v>
      </c>
      <c r="P69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$18,12))+(((Control!$B$20*(Control!$B$30*Control!$B$31+Control!$B$34*Control!$B$35+IF(AND(Control!$B$5&gt;0,Control!$B$6="Y",13&gt;=Control!$B$39),Control!$B$37*Control!$B$38,0)))*Control!$B$41)*(Control!$B$42+Control!$B$44)*POWER(1+$A$18,12))+(Control!$B$46*POWER(1+$A$18,12)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$18,12)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$18,12))*Control!$B$26))+(((Control!$B$54*Control!$B$55+Control!$B$57*Control!$B$58*Control!$B$59*Control!$B$60)*POWER(1+$A$18,12))-((Control!$B$57*Control!$B$58*Control!$B$59*Control!$B$60*POWER(1+$A$18,12))*Control!$B$63+(Control!$B$64+Control!$B$65+Control!$B$66)*12*POWER(1+Control!$B$18,12)+((Control!$B$54*Control!$B$55+Control!$B$57*Control!$B$58*Control!$B$59*Control!$B$60)*POWER(1+$A$18,12))*Control!$B$26))+((Control!$B$68*12*POWER(1+$A$18,12))-((Control!$B$70+Control!$B$71+Control!$B$72)*12*POWER(1+Control!$B$18,12)+(Control!$B$68*12*POWER(1+$A$18,12))*Control!$B$26)))*(1-Control!$B$23))-IF(AND(Control!$B$5&gt;0,Control!$B$6="Y",13=Control!$B$39-1),Control!$B$40,0))</f>
        <v>2111173.1258235234</v>
      </c>
      <c r="Q69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$18,13))+(((Control!$B$20*(Control!$B$30*Control!$B$31+Control!$B$34*Control!$B$35+IF(AND(Control!$B$5&gt;0,Control!$B$6="Y",14&gt;=Control!$B$39),Control!$B$37*Control!$B$38,0)))*Control!$B$41)*(Control!$B$42+Control!$B$44)*POWER(1+$A$18,13))+(Control!$B$46*POWER(1+$A$18,13)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$18,13)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$18,13))*Control!$B$26))+(((Control!$B$54*Control!$B$55+Control!$B$57*Control!$B$58*Control!$B$59*Control!$B$60)*POWER(1+$A$18,13))-((Control!$B$57*Control!$B$58*Control!$B$59*Control!$B$60*POWER(1+$A$18,13))*Control!$B$63+(Control!$B$64+Control!$B$65+Control!$B$66)*12*POWER(1+Control!$B$18,13)+((Control!$B$54*Control!$B$55+Control!$B$57*Control!$B$58*Control!$B$59*Control!$B$60)*POWER(1+$A$18,13))*Control!$B$26))+((Control!$B$68*12*POWER(1+$A$18,13))-((Control!$B$70+Control!$B$71+Control!$B$72)*12*POWER(1+Control!$B$18,13)+(Control!$B$68*12*POWER(1+$A$18,13))*Control!$B$26)))*(1-Control!$B$23))-IF(AND(Control!$B$5&gt;0,Control!$B$6="Y",14=Control!$B$39-1),Control!$B$40,0))</f>
        <v>2253990.3495840756</v>
      </c>
      <c r="R69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$18,14))+(((Control!$B$20*(Control!$B$30*Control!$B$31+Control!$B$34*Control!$B$35+IF(AND(Control!$B$5&gt;0,Control!$B$6="Y",15&gt;=Control!$B$39),Control!$B$37*Control!$B$38,0)))*Control!$B$41)*(Control!$B$42+Control!$B$44)*POWER(1+$A$18,14))+(Control!$B$46*POWER(1+$A$18,14)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$18,14)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$18,14))*Control!$B$26))+(((Control!$B$54*Control!$B$55+Control!$B$57*Control!$B$58*Control!$B$59*Control!$B$60)*POWER(1+$A$18,14))-((Control!$B$57*Control!$B$58*Control!$B$59*Control!$B$60*POWER(1+$A$18,14))*Control!$B$63+(Control!$B$64+Control!$B$65+Control!$B$66)*12*POWER(1+Control!$B$18,14)+((Control!$B$54*Control!$B$55+Control!$B$57*Control!$B$58*Control!$B$59*Control!$B$60)*POWER(1+$A$18,14))*Control!$B$26))+((Control!$B$68*12*POWER(1+$A$18,14))-((Control!$B$70+Control!$B$71+Control!$B$72)*12*POWER(1+Control!$B$18,14)+(Control!$B$68*12*POWER(1+$A$18,14))*Control!$B$26)))*(1-Control!$B$23))-IF(AND(Control!$B$5&gt;0,Control!$B$6="Y",15=Control!$B$39-1),Control!$B$40,0))</f>
        <v>2406183.9485808187</v>
      </c>
      <c r="S69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$18,15))+(((Control!$B$20*(Control!$B$30*Control!$B$31+Control!$B$34*Control!$B$35+IF(AND(Control!$B$5&gt;0,Control!$B$6="Y",16&gt;=Control!$B$39),Control!$B$37*Control!$B$38,0)))*Control!$B$41)*(Control!$B$42+Control!$B$44)*POWER(1+$A$18,15))+(Control!$B$46*POWER(1+$A$18,15)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$18,15)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$18,15))*Control!$B$26))+(((Control!$B$54*Control!$B$55+Control!$B$57*Control!$B$58*Control!$B$59*Control!$B$60)*POWER(1+$A$18,15))-((Control!$B$57*Control!$B$58*Control!$B$59*Control!$B$60*POWER(1+$A$18,15))*Control!$B$63+(Control!$B$64+Control!$B$65+Control!$B$66)*12*POWER(1+Control!$B$18,15)+((Control!$B$54*Control!$B$55+Control!$B$57*Control!$B$58*Control!$B$59*Control!$B$60)*POWER(1+$A$18,15))*Control!$B$26))+((Control!$B$68*12*POWER(1+$A$18,15))-((Control!$B$70+Control!$B$71+Control!$B$72)*12*POWER(1+Control!$B$18,15)+(Control!$B$68*12*POWER(1+$A$18,15))*Control!$B$26)))*(1-Control!$B$23))-IF(AND(Control!$B$5&gt;0,Control!$B$6="Y",16=Control!$B$39-1),Control!$B$40,0))</f>
        <v>2568356.8724184511</v>
      </c>
      <c r="T69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$18,16))+(((Control!$B$20*(Control!$B$30*Control!$B$31+Control!$B$34*Control!$B$35+IF(AND(Control!$B$5&gt;0,Control!$B$6="Y",17&gt;=Control!$B$39),Control!$B$37*Control!$B$38,0)))*Control!$B$41)*(Control!$B$42+Control!$B$44)*POWER(1+$A$18,16))+(Control!$B$46*POWER(1+$A$18,16)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$18,16)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$18,16))*Control!$B$26))+(((Control!$B$54*Control!$B$55+Control!$B$57*Control!$B$58*Control!$B$59*Control!$B$60)*POWER(1+$A$18,16))-((Control!$B$57*Control!$B$58*Control!$B$59*Control!$B$60*POWER(1+$A$18,16))*Control!$B$63+(Control!$B$64+Control!$B$65+Control!$B$66)*12*POWER(1+Control!$B$18,16)+((Control!$B$54*Control!$B$55+Control!$B$57*Control!$B$58*Control!$B$59*Control!$B$60)*POWER(1+$A$18,16))*Control!$B$26))+((Control!$B$68*12*POWER(1+$A$18,16))-((Control!$B$70+Control!$B$71+Control!$B$72)*12*POWER(1+Control!$B$18,16)+(Control!$B$68*12*POWER(1+$A$18,16))*Control!$B$26)))*(1-Control!$B$23))-IF(AND(Control!$B$5&gt;0,Control!$B$6="Y",17=Control!$B$39-1),Control!$B$40,0))</f>
        <v>2741150.2660324797</v>
      </c>
      <c r="U69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$18,17))+(((Control!$B$20*(Control!$B$30*Control!$B$31+Control!$B$34*Control!$B$35+IF(AND(Control!$B$5&gt;0,Control!$B$6="Y",18&gt;=Control!$B$39),Control!$B$37*Control!$B$38,0)))*Control!$B$41)*(Control!$B$42+Control!$B$44)*POWER(1+$A$18,17))+(Control!$B$46*POWER(1+$A$18,17)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$18,17)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$18,17))*Control!$B$26))+(((Control!$B$54*Control!$B$55+Control!$B$57*Control!$B$58*Control!$B$59*Control!$B$60)*POWER(1+$A$18,17))-((Control!$B$57*Control!$B$58*Control!$B$59*Control!$B$60*POWER(1+$A$18,17))*Control!$B$63+(Control!$B$64+Control!$B$65+Control!$B$66)*12*POWER(1+Control!$B$18,17)+((Control!$B$54*Control!$B$55+Control!$B$57*Control!$B$58*Control!$B$59*Control!$B$60)*POWER(1+$A$18,17))*Control!$B$26))+((Control!$B$68*12*POWER(1+$A$18,17))-((Control!$B$70+Control!$B$71+Control!$B$72)*12*POWER(1+Control!$B$18,17)+(Control!$B$68*12*POWER(1+$A$18,17))*Control!$B$26)))*(1-Control!$B$23))-IF(AND(Control!$B$5&gt;0,Control!$B$6="Y",18=Control!$B$39-1),Control!$B$40,0))</f>
        <v>2925245.8623267962</v>
      </c>
      <c r="V69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$18,18))+(((Control!$B$20*(Control!$B$30*Control!$B$31+Control!$B$34*Control!$B$35+IF(AND(Control!$B$5&gt;0,Control!$B$6="Y",19&gt;=Control!$B$39),Control!$B$37*Control!$B$38,0)))*Control!$B$41)*(Control!$B$42+Control!$B$44)*POWER(1+$A$18,18))+(Control!$B$46*POWER(1+$A$18,18)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$18,18)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$18,18))*Control!$B$26))+(((Control!$B$54*Control!$B$55+Control!$B$57*Control!$B$58*Control!$B$59*Control!$B$60)*POWER(1+$A$18,18))-((Control!$B$57*Control!$B$58*Control!$B$59*Control!$B$60*POWER(1+$A$18,18))*Control!$B$63+(Control!$B$64+Control!$B$65+Control!$B$66)*12*POWER(1+Control!$B$18,18)+((Control!$B$54*Control!$B$55+Control!$B$57*Control!$B$58*Control!$B$59*Control!$B$60)*POWER(1+$A$18,18))*Control!$B$26))+((Control!$B$68*12*POWER(1+$A$18,18))-((Control!$B$70+Control!$B$71+Control!$B$72)*12*POWER(1+Control!$B$18,18)+(Control!$B$68*12*POWER(1+$A$18,18))*Control!$B$26)))*(1-Control!$B$23))-IF(AND(Control!$B$5&gt;0,Control!$B$6="Y",19=Control!$B$39-1),Control!$B$40,0))</f>
        <v>3121368.5234153895</v>
      </c>
      <c r="W69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$18,19))+(((Control!$B$20*(Control!$B$30*Control!$B$31+Control!$B$34*Control!$B$35+IF(AND(Control!$B$5&gt;0,Control!$B$6="Y",20&gt;=Control!$B$39),Control!$B$37*Control!$B$38,0)))*Control!$B$41)*(Control!$B$42+Control!$B$44)*POWER(1+$A$18,19))+(Control!$B$46*POWER(1+$A$18,19)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$18,19)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$18,19))*Control!$B$26))+(((Control!$B$54*Control!$B$55+Control!$B$57*Control!$B$58*Control!$B$59*Control!$B$60)*POWER(1+$A$18,19))-((Control!$B$57*Control!$B$58*Control!$B$59*Control!$B$60*POWER(1+$A$18,19))*Control!$B$63+(Control!$B$64+Control!$B$65+Control!$B$66)*12*POWER(1+Control!$B$18,19)+((Control!$B$54*Control!$B$55+Control!$B$57*Control!$B$58*Control!$B$59*Control!$B$60)*POWER(1+$A$18,19))*Control!$B$26))+((Control!$B$68*12*POWER(1+$A$18,19))-((Control!$B$70+Control!$B$71+Control!$B$72)*12*POWER(1+Control!$B$18,19)+(Control!$B$68*12*POWER(1+$A$18,19))*Control!$B$26)))*(1-Control!$B$23))-IF(AND(Control!$B$5&gt;0,Control!$B$6="Y",20=Control!$B$39-1),Control!$B$40,0))+Valuation!$F$10*POWER(1+Control!$B$78,20)*(1-Control!$B$79)</f>
        <v>19417232.925927371</v>
      </c>
    </row>
    <row r="70" spans="1:23" x14ac:dyDescent="0.3">
      <c r="A70" s="110" t="s">
        <v>563</v>
      </c>
      <c r="B70" s="110"/>
      <c r="C70" s="110"/>
      <c r="D70" s="110">
        <f>D69</f>
        <v>952520.39754989708</v>
      </c>
      <c r="E70" s="110">
        <f t="shared" ref="E70:V70" si="8">D70+E69</f>
        <v>1971183.1815403355</v>
      </c>
      <c r="F70" s="110">
        <f t="shared" si="8"/>
        <v>3060406.4532871256</v>
      </c>
      <c r="G70" s="110">
        <f t="shared" si="8"/>
        <v>4224895.8780914946</v>
      </c>
      <c r="H70" s="110">
        <f t="shared" si="8"/>
        <v>5469663.0629745349</v>
      </c>
      <c r="I70" s="110">
        <f t="shared" si="8"/>
        <v>6800045.0932704881</v>
      </c>
      <c r="J70" s="110">
        <f t="shared" si="8"/>
        <v>8221725.3004201259</v>
      </c>
      <c r="K70" s="110">
        <f t="shared" si="8"/>
        <v>9740755.3377864659</v>
      </c>
      <c r="L70" s="110">
        <f t="shared" si="8"/>
        <v>11363578.646071894</v>
      </c>
      <c r="M70" s="110">
        <f t="shared" si="8"/>
        <v>13097055.394965414</v>
      </c>
      <c r="N70" s="110">
        <f t="shared" si="8"/>
        <v>14948488.993009059</v>
      </c>
      <c r="O70" s="110">
        <f t="shared" si="8"/>
        <v>16925654.263362661</v>
      </c>
      <c r="P70" s="110">
        <f t="shared" si="8"/>
        <v>19036827.389186185</v>
      </c>
      <c r="Q70" s="110">
        <f t="shared" si="8"/>
        <v>21290817.738770261</v>
      </c>
      <c r="R70" s="110">
        <f t="shared" si="8"/>
        <v>23697001.687351082</v>
      </c>
      <c r="S70" s="110">
        <f t="shared" si="8"/>
        <v>26265358.559769534</v>
      </c>
      <c r="T70" s="110">
        <f t="shared" si="8"/>
        <v>29006508.825802013</v>
      </c>
      <c r="U70" s="110">
        <f t="shared" si="8"/>
        <v>31931754.68812881</v>
      </c>
      <c r="V70" s="110">
        <f t="shared" si="8"/>
        <v>35053123.211544201</v>
      </c>
      <c r="W70" s="110"/>
    </row>
    <row r="71" spans="1:23" x14ac:dyDescent="0.3">
      <c r="A71" s="110" t="s">
        <v>564</v>
      </c>
      <c r="B71" s="110"/>
      <c r="C71" s="114">
        <f>-Control!$B$15</f>
        <v>-6400000</v>
      </c>
      <c r="D71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$19,0))+(((Control!$B$20*(Control!$B$30*Control!$B$31+Control!$B$34*Control!$B$35+IF(AND(Control!$B$5&gt;0,Control!$B$6="Y",1&gt;=Control!$B$39),Control!$B$37*Control!$B$38,0)))*Control!$B$41)*(Control!$B$42+Control!$B$44)*POWER(1+$A$19,0))+(Control!$B$46*POWER(1+$A$19,0)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$19,0)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$A$19,0))*Control!$B$26))+(((Control!$B$54*Control!$B$55+Control!$B$57*Control!$B$58*Control!$B$59*Control!$B$60)*POWER(1+$A$19,0))-((Control!$B$57*Control!$B$58*Control!$B$59*Control!$B$60*POWER(1+$A$19,0))*Control!$B$63+(Control!$B$64+Control!$B$65+Control!$B$66)*12*POWER(1+Control!$B$18,0)+((Control!$B$54*Control!$B$55+Control!$B$57*Control!$B$58*Control!$B$59*Control!$B$60)*POWER(1+$A$19,0))*Control!$B$26))+((Control!$B$68*12*POWER(1+$A$19,0))-((Control!$B$70+Control!$B$71+Control!$B$72)*12*POWER(1+Control!$B$18,0)+(Control!$B$68*12*POWER(1+$A$19,0))*Control!$B$26)))*(1-Control!$B$23))-IF(AND(Control!$B$5&gt;0,Control!$B$6="Y",1=Control!$B$39-1),Control!$B$40,0))</f>
        <v>952520.39754989708</v>
      </c>
      <c r="E71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$19,1))+(((Control!$B$20*(Control!$B$30*Control!$B$31+Control!$B$34*Control!$B$35+IF(AND(Control!$B$5&gt;0,Control!$B$6="Y",2&gt;=Control!$B$39),Control!$B$37*Control!$B$38,0)))*Control!$B$41)*(Control!$B$42+Control!$B$44)*POWER(1+$A$19,1))+(Control!$B$46*POWER(1+$A$19,1)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$19,1)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$A$19,1))*Control!$B$26))+(((Control!$B$54*Control!$B$55+Control!$B$57*Control!$B$58*Control!$B$59*Control!$B$60)*POWER(1+$A$19,1))-((Control!$B$57*Control!$B$58*Control!$B$59*Control!$B$60*POWER(1+$A$19,1))*Control!$B$63+(Control!$B$64+Control!$B$65+Control!$B$66)*12*POWER(1+Control!$B$18,1)+((Control!$B$54*Control!$B$55+Control!$B$57*Control!$B$58*Control!$B$59*Control!$B$60)*POWER(1+$A$19,1))*Control!$B$26))+((Control!$B$68*12*POWER(1+$A$19,1))-((Control!$B$70+Control!$B$71+Control!$B$72)*12*POWER(1+Control!$B$18,1)+(Control!$B$68*12*POWER(1+$A$19,1))*Control!$B$26)))*(1-Control!$B$23))-IF(AND(Control!$B$5&gt;0,Control!$B$6="Y",2=Control!$B$39-1),Control!$B$40,0))</f>
        <v>1037179.1505534854</v>
      </c>
      <c r="F71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$19,2))+(((Control!$B$20*(Control!$B$30*Control!$B$31+Control!$B$34*Control!$B$35+IF(AND(Control!$B$5&gt;0,Control!$B$6="Y",3&gt;=Control!$B$39),Control!$B$37*Control!$B$38,0)))*Control!$B$41)*(Control!$B$42+Control!$B$44)*POWER(1+$A$19,2))+(Control!$B$46*POWER(1+$A$19,2)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$19,2)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$A$19,2))*Control!$B$26))+(((Control!$B$54*Control!$B$55+Control!$B$57*Control!$B$58*Control!$B$59*Control!$B$60)*POWER(1+$A$19,2))-((Control!$B$57*Control!$B$58*Control!$B$59*Control!$B$60*POWER(1+$A$19,2))*Control!$B$63+(Control!$B$64+Control!$B$65+Control!$B$66)*12*POWER(1+Control!$B$18,2)+((Control!$B$54*Control!$B$55+Control!$B$57*Control!$B$58*Control!$B$59*Control!$B$60)*POWER(1+$A$19,2))*Control!$B$26))+((Control!$B$68*12*POWER(1+$A$19,2))-((Control!$B$70+Control!$B$71+Control!$B$72)*12*POWER(1+Control!$B$18,2)+(Control!$B$68*12*POWER(1+$A$19,2))*Control!$B$26)))*(1-Control!$B$23))-IF(AND(Control!$B$5&gt;0,Control!$B$6="Y",3=Control!$B$39-1),Control!$B$40,0))</f>
        <v>1128663.132526079</v>
      </c>
      <c r="G71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$19,3))+(((Control!$B$20*(Control!$B$30*Control!$B$31+Control!$B$34*Control!$B$35+IF(AND(Control!$B$5&gt;0,Control!$B$6="Y",4&gt;=Control!$B$39),Control!$B$37*Control!$B$38,0)))*Control!$B$41)*(Control!$B$42+Control!$B$44)*POWER(1+$A$19,3))+(Control!$B$46*POWER(1+$A$19,3)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$19,3)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$A$19,3))*Control!$B$26))+(((Control!$B$54*Control!$B$55+Control!$B$57*Control!$B$58*Control!$B$59*Control!$B$60)*POWER(1+$A$19,3))-((Control!$B$57*Control!$B$58*Control!$B$59*Control!$B$60*POWER(1+$A$19,3))*Control!$B$63+(Control!$B$64+Control!$B$65+Control!$B$66)*12*POWER(1+Control!$B$18,3)+((Control!$B$54*Control!$B$55+Control!$B$57*Control!$B$58*Control!$B$59*Control!$B$60)*POWER(1+$A$19,3))*Control!$B$26))+((Control!$B$68*12*POWER(1+$A$19,3))-((Control!$B$70+Control!$B$71+Control!$B$72)*12*POWER(1+Control!$B$18,3)+(Control!$B$68*12*POWER(1+$A$19,3))*Control!$B$26)))*(1-Control!$B$23))-IF(AND(Control!$B$5&gt;0,Control!$B$6="Y",4=Control!$B$39-1),Control!$B$40,0))</f>
        <v>1227495.065308447</v>
      </c>
      <c r="H71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$19,4))+(((Control!$B$20*(Control!$B$30*Control!$B$31+Control!$B$34*Control!$B$35+IF(AND(Control!$B$5&gt;0,Control!$B$6="Y",5&gt;=Control!$B$39),Control!$B$37*Control!$B$38,0)))*Control!$B$41)*(Control!$B$42+Control!$B$44)*POWER(1+$A$19,4))+(Control!$B$46*POWER(1+$A$19,4)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$19,4)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$A$19,4))*Control!$B$26))+(((Control!$B$54*Control!$B$55+Control!$B$57*Control!$B$58*Control!$B$59*Control!$B$60)*POWER(1+$A$19,4))-((Control!$B$57*Control!$B$58*Control!$B$59*Control!$B$60*POWER(1+$A$19,4))*Control!$B$63+(Control!$B$64+Control!$B$65+Control!$B$66)*12*POWER(1+Control!$B$18,4)+((Control!$B$54*Control!$B$55+Control!$B$57*Control!$B$58*Control!$B$59*Control!$B$60)*POWER(1+$A$19,4))*Control!$B$26))+((Control!$B$68*12*POWER(1+$A$19,4))-((Control!$B$70+Control!$B$71+Control!$B$72)*12*POWER(1+Control!$B$18,4)+(Control!$B$68*12*POWER(1+$A$19,4))*Control!$B$26)))*(1-Control!$B$23))-IF(AND(Control!$B$5&gt;0,Control!$B$6="Y",5=Control!$B$39-1),Control!$B$40,0))</f>
        <v>1334236.5090608576</v>
      </c>
      <c r="I71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$19,5))+(((Control!$B$20*(Control!$B$30*Control!$B$31+Control!$B$34*Control!$B$35+IF(AND(Control!$B$5&gt;0,Control!$B$6="Y",6&gt;=Control!$B$39),Control!$B$37*Control!$B$38,0)))*Control!$B$41)*(Control!$B$42+Control!$B$44)*POWER(1+$A$19,5))+(Control!$B$46*POWER(1+$A$19,5)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$19,5)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$A$19,5))*Control!$B$26))+(((Control!$B$54*Control!$B$55+Control!$B$57*Control!$B$58*Control!$B$59*Control!$B$60)*POWER(1+$A$19,5))-((Control!$B$57*Control!$B$58*Control!$B$59*Control!$B$60*POWER(1+$A$19,5))*Control!$B$63+(Control!$B$64+Control!$B$65+Control!$B$66)*12*POWER(1+Control!$B$18,5)+((Control!$B$54*Control!$B$55+Control!$B$57*Control!$B$58*Control!$B$59*Control!$B$60)*POWER(1+$A$19,5))*Control!$B$26))+((Control!$B$68*12*POWER(1+$A$19,5))-((Control!$B$70+Control!$B$71+Control!$B$72)*12*POWER(1+Control!$B$18,5)+(Control!$B$68*12*POWER(1+$A$19,5))*Control!$B$26)))*(1-Control!$B$23))-IF(AND(Control!$B$5&gt;0,Control!$B$6="Y",6=Control!$B$39-1),Control!$B$40,0))</f>
        <v>1449490.6933349788</v>
      </c>
      <c r="J71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$19,6))+(((Control!$B$20*(Control!$B$30*Control!$B$31+Control!$B$34*Control!$B$35+IF(AND(Control!$B$5&gt;0,Control!$B$6="Y",7&gt;=Control!$B$39),Control!$B$37*Control!$B$38,0)))*Control!$B$41)*(Control!$B$42+Control!$B$44)*POWER(1+$A$19,6))+(Control!$B$46*POWER(1+$A$19,6)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$19,6)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$A$19,6))*Control!$B$26))+(((Control!$B$54*Control!$B$55+Control!$B$57*Control!$B$58*Control!$B$59*Control!$B$60)*POWER(1+$A$19,6))-((Control!$B$57*Control!$B$58*Control!$B$59*Control!$B$60*POWER(1+$A$19,6))*Control!$B$63+(Control!$B$64+Control!$B$65+Control!$B$66)*12*POWER(1+Control!$B$18,6)+((Control!$B$54*Control!$B$55+Control!$B$57*Control!$B$58*Control!$B$59*Control!$B$60)*POWER(1+$A$19,6))*Control!$B$26))+((Control!$B$68*12*POWER(1+$A$19,6))-((Control!$B$70+Control!$B$71+Control!$B$72)*12*POWER(1+Control!$B$18,6)+(Control!$B$68*12*POWER(1+$A$19,6))*Control!$B$26)))*(1-Control!$B$23))-IF(AND(Control!$B$5&gt;0,Control!$B$6="Y",7=Control!$B$39-1),Control!$B$40,0))</f>
        <v>1573905.5519402807</v>
      </c>
      <c r="K71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$19,7))+(((Control!$B$20*(Control!$B$30*Control!$B$31+Control!$B$34*Control!$B$35+IF(AND(Control!$B$5&gt;0,Control!$B$6="Y",8&gt;=Control!$B$39),Control!$B$37*Control!$B$38,0)))*Control!$B$41)*(Control!$B$42+Control!$B$44)*POWER(1+$A$19,7))+(Control!$B$46*POWER(1+$A$19,7)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$19,7)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$A$19,7))*Control!$B$26))+(((Control!$B$54*Control!$B$55+Control!$B$57*Control!$B$58*Control!$B$59*Control!$B$60)*POWER(1+$A$19,7))-((Control!$B$57*Control!$B$58*Control!$B$59*Control!$B$60*POWER(1+$A$19,7))*Control!$B$63+(Control!$B$64+Control!$B$65+Control!$B$66)*12*POWER(1+Control!$B$18,7)+((Control!$B$54*Control!$B$55+Control!$B$57*Control!$B$58*Control!$B$59*Control!$B$60)*POWER(1+$A$19,7))*Control!$B$26))+((Control!$B$68*12*POWER(1+$A$19,7))-((Control!$B$70+Control!$B$71+Control!$B$72)*12*POWER(1+Control!$B$18,7)+(Control!$B$68*12*POWER(1+$A$19,7))*Control!$B$26)))*(1-Control!$B$23))-IF(AND(Control!$B$5&gt;0,Control!$B$6="Y",8=Control!$B$39-1),Control!$B$40,0))</f>
        <v>1708176.9761515458</v>
      </c>
      <c r="L71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$19,8))+(((Control!$B$20*(Control!$B$30*Control!$B$31+Control!$B$34*Control!$B$35+IF(AND(Control!$B$5&gt;0,Control!$B$6="Y",9&gt;=Control!$B$39),Control!$B$37*Control!$B$38,0)))*Control!$B$41)*(Control!$B$42+Control!$B$44)*POWER(1+$A$19,8))+(Control!$B$46*POWER(1+$A$19,8)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$19,8)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$A$19,8))*Control!$B$26))+(((Control!$B$54*Control!$B$55+Control!$B$57*Control!$B$58*Control!$B$59*Control!$B$60)*POWER(1+$A$19,8))-((Control!$B$57*Control!$B$58*Control!$B$59*Control!$B$60*POWER(1+$A$19,8))*Control!$B$63+(Control!$B$64+Control!$B$65+Control!$B$66)*12*POWER(1+Control!$B$18,8)+((Control!$B$54*Control!$B$55+Control!$B$57*Control!$B$58*Control!$B$59*Control!$B$60)*POWER(1+$A$19,8))*Control!$B$26))+((Control!$B$68*12*POWER(1+$A$19,8))-((Control!$B$70+Control!$B$71+Control!$B$72)*12*POWER(1+Control!$B$18,8)+(Control!$B$68*12*POWER(1+$A$19,8))*Control!$B$26)))*(1-Control!$B$23))-IF(AND(Control!$B$5&gt;0,Control!$B$6="Y",9=Control!$B$39-1),Control!$B$40,0))</f>
        <v>1853052.3018363735</v>
      </c>
      <c r="M71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$19,9))+(((Control!$B$20*(Control!$B$30*Control!$B$31+Control!$B$34*Control!$B$35+IF(AND(Control!$B$5&gt;0,Control!$B$6="Y",10&gt;=Control!$B$39),Control!$B$37*Control!$B$38,0)))*Control!$B$41)*(Control!$B$42+Control!$B$44)*POWER(1+$A$19,9))+(Control!$B$46*POWER(1+$A$19,9)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$19,9)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$A$19,9))*Control!$B$26))+(((Control!$B$54*Control!$B$55+Control!$B$57*Control!$B$58*Control!$B$59*Control!$B$60)*POWER(1+$A$19,9))-((Control!$B$57*Control!$B$58*Control!$B$59*Control!$B$60*POWER(1+$A$19,9))*Control!$B$63+(Control!$B$64+Control!$B$65+Control!$B$66)*12*POWER(1+Control!$B$18,9)+((Control!$B$54*Control!$B$55+Control!$B$57*Control!$B$58*Control!$B$59*Control!$B$60)*POWER(1+$A$19,9))*Control!$B$26))+((Control!$B$68*12*POWER(1+$A$19,9))-((Control!$B$70+Control!$B$71+Control!$B$72)*12*POWER(1+Control!$B$18,9)+(Control!$B$68*12*POWER(1+$A$19,9))*Control!$B$26)))*(1-Control!$B$23))-IF(AND(Control!$B$5&gt;0,Control!$B$6="Y",10=Control!$B$39-1),Control!$B$40,0))</f>
        <v>2009334.0471868489</v>
      </c>
      <c r="N71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$19,10))+(((Control!$B$20*(Control!$B$30*Control!$B$31+Control!$B$34*Control!$B$35+IF(AND(Control!$B$5&gt;0,Control!$B$6="Y",11&gt;=Control!$B$39),Control!$B$37*Control!$B$38,0)))*Control!$B$41)*(Control!$B$42+Control!$B$44)*POWER(1+$A$19,10))+(Control!$B$46*POWER(1+$A$19,10)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$19,10)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$A$19,10))*Control!$B$26))+(((Control!$B$54*Control!$B$55+Control!$B$57*Control!$B$58*Control!$B$59*Control!$B$60)*POWER(1+$A$19,10))-((Control!$B$57*Control!$B$58*Control!$B$59*Control!$B$60*POWER(1+$A$19,10))*Control!$B$63+(Control!$B$64+Control!$B$65+Control!$B$66)*12*POWER(1+Control!$B$18,10)+((Control!$B$54*Control!$B$55+Control!$B$57*Control!$B$58*Control!$B$59*Control!$B$60)*POWER(1+$A$19,10))*Control!$B$26))+((Control!$B$68*12*POWER(1+$A$19,10))-((Control!$B$70+Control!$B$71+Control!$B$72)*12*POWER(1+Control!$B$18,10)+(Control!$B$68*12*POWER(1+$A$19,10))*Control!$B$26)))*(1-Control!$B$23))-IF(AND(Control!$B$5&gt;0,Control!$B$6="Y",11=Control!$B$39-1),Control!$B$40,0))</f>
        <v>2177883.9189229538</v>
      </c>
      <c r="O71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$19,11))+(((Control!$B$20*(Control!$B$30*Control!$B$31+Control!$B$34*Control!$B$35+IF(AND(Control!$B$5&gt;0,Control!$B$6="Y",12&gt;=Control!$B$39),Control!$B$37*Control!$B$38,0)))*Control!$B$41)*(Control!$B$42+Control!$B$44)*POWER(1+$A$19,11))+(Control!$B$46*POWER(1+$A$19,11)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$19,11)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$A$19,11))*Control!$B$26))+(((Control!$B$54*Control!$B$55+Control!$B$57*Control!$B$58*Control!$B$59*Control!$B$60)*POWER(1+$A$19,11))-((Control!$B$57*Control!$B$58*Control!$B$59*Control!$B$60*POWER(1+$A$19,11))*Control!$B$63+(Control!$B$64+Control!$B$65+Control!$B$66)*12*POWER(1+Control!$B$18,11)+((Control!$B$54*Control!$B$55+Control!$B$57*Control!$B$58*Control!$B$59*Control!$B$60)*POWER(1+$A$19,11))*Control!$B$26))+((Control!$B$68*12*POWER(1+$A$19,11))-((Control!$B$70+Control!$B$71+Control!$B$72)*12*POWER(1+Control!$B$18,11)+(Control!$B$68*12*POWER(1+$A$19,11))*Control!$B$26)))*(1-Control!$B$23))-IF(AND(Control!$B$5&gt;0,Control!$B$6="Y",12=Control!$B$39-1),Control!$B$40,0))</f>
        <v>2359627.1061022389</v>
      </c>
      <c r="P71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$19,12))+(((Control!$B$20*(Control!$B$30*Control!$B$31+Control!$B$34*Control!$B$35+IF(AND(Control!$B$5&gt;0,Control!$B$6="Y",13&gt;=Control!$B$39),Control!$B$37*Control!$B$38,0)))*Control!$B$41)*(Control!$B$42+Control!$B$44)*POWER(1+$A$19,12))+(Control!$B$46*POWER(1+$A$19,12)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$19,12)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$A$19,12))*Control!$B$26))+(((Control!$B$54*Control!$B$55+Control!$B$57*Control!$B$58*Control!$B$59*Control!$B$60)*POWER(1+$A$19,12))-((Control!$B$57*Control!$B$58*Control!$B$59*Control!$B$60*POWER(1+$A$19,12))*Control!$B$63+(Control!$B$64+Control!$B$65+Control!$B$66)*12*POWER(1+Control!$B$18,12)+((Control!$B$54*Control!$B$55+Control!$B$57*Control!$B$58*Control!$B$59*Control!$B$60)*POWER(1+$A$19,12))*Control!$B$26))+((Control!$B$68*12*POWER(1+$A$19,12))-((Control!$B$70+Control!$B$71+Control!$B$72)*12*POWER(1+Control!$B$18,12)+(Control!$B$68*12*POWER(1+$A$19,12))*Control!$B$26)))*(1-Control!$B$23))-IF(AND(Control!$B$5&gt;0,Control!$B$6="Y",13=Control!$B$39-1),Control!$B$40,0))</f>
        <v>2555556.882026806</v>
      </c>
      <c r="Q71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$19,13))+(((Control!$B$20*(Control!$B$30*Control!$B$31+Control!$B$34*Control!$B$35+IF(AND(Control!$B$5&gt;0,Control!$B$6="Y",14&gt;=Control!$B$39),Control!$B$37*Control!$B$38,0)))*Control!$B$41)*(Control!$B$42+Control!$B$44)*POWER(1+$A$19,13))+(Control!$B$46*POWER(1+$A$19,13)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$19,13)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$A$19,13))*Control!$B$26))+(((Control!$B$54*Control!$B$55+Control!$B$57*Control!$B$58*Control!$B$59*Control!$B$60)*POWER(1+$A$19,13))-((Control!$B$57*Control!$B$58*Control!$B$59*Control!$B$60*POWER(1+$A$19,13))*Control!$B$63+(Control!$B$64+Control!$B$65+Control!$B$66)*12*POWER(1+Control!$B$18,13)+((Control!$B$54*Control!$B$55+Control!$B$57*Control!$B$58*Control!$B$59*Control!$B$60)*POWER(1+$A$19,13))*Control!$B$26))+((Control!$B$68*12*POWER(1+$A$19,13))-((Control!$B$70+Control!$B$71+Control!$B$72)*12*POWER(1+Control!$B$18,13)+(Control!$B$68*12*POWER(1+$A$19,13))*Control!$B$26)))*(1-Control!$B$23))-IF(AND(Control!$B$5&gt;0,Control!$B$6="Y",14=Control!$B$39-1),Control!$B$40,0))</f>
        <v>2766739.5361909647</v>
      </c>
      <c r="R71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$19,14))+(((Control!$B$20*(Control!$B$30*Control!$B$31+Control!$B$34*Control!$B$35+IF(AND(Control!$B$5&gt;0,Control!$B$6="Y",15&gt;=Control!$B$39),Control!$B$37*Control!$B$38,0)))*Control!$B$41)*(Control!$B$42+Control!$B$44)*POWER(1+$A$19,14))+(Control!$B$46*POWER(1+$A$19,14)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$19,14)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$A$19,14))*Control!$B$26))+(((Control!$B$54*Control!$B$55+Control!$B$57*Control!$B$58*Control!$B$59*Control!$B$60)*POWER(1+$A$19,14))-((Control!$B$57*Control!$B$58*Control!$B$59*Control!$B$60*POWER(1+$A$19,14))*Control!$B$63+(Control!$B$64+Control!$B$65+Control!$B$66)*12*POWER(1+Control!$B$18,14)+((Control!$B$54*Control!$B$55+Control!$B$57*Control!$B$58*Control!$B$59*Control!$B$60)*POWER(1+$A$19,14))*Control!$B$26))+((Control!$B$68*12*POWER(1+$A$19,14))-((Control!$B$70+Control!$B$71+Control!$B$72)*12*POWER(1+Control!$B$18,14)+(Control!$B$68*12*POWER(1+$A$19,14))*Control!$B$26)))*(1-Control!$B$23))-IF(AND(Control!$B$5&gt;0,Control!$B$6="Y",15=Control!$B$39-1),Control!$B$40,0))</f>
        <v>2994319.6597677269</v>
      </c>
      <c r="S71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$19,15))+(((Control!$B$20*(Control!$B$30*Control!$B$31+Control!$B$34*Control!$B$35+IF(AND(Control!$B$5&gt;0,Control!$B$6="Y",16&gt;=Control!$B$39),Control!$B$37*Control!$B$38,0)))*Control!$B$41)*(Control!$B$42+Control!$B$44)*POWER(1+$A$19,15))+(Control!$B$46*POWER(1+$A$19,15)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$19,15)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$A$19,15))*Control!$B$26))+(((Control!$B$54*Control!$B$55+Control!$B$57*Control!$B$58*Control!$B$59*Control!$B$60)*POWER(1+$A$19,15))-((Control!$B$57*Control!$B$58*Control!$B$59*Control!$B$60*POWER(1+$A$19,15))*Control!$B$63+(Control!$B$64+Control!$B$65+Control!$B$66)*12*POWER(1+Control!$B$18,15)+((Control!$B$54*Control!$B$55+Control!$B$57*Control!$B$58*Control!$B$59*Control!$B$60)*POWER(1+$A$19,15))*Control!$B$26))+((Control!$B$68*12*POWER(1+$A$19,15))-((Control!$B$70+Control!$B$71+Control!$B$72)*12*POWER(1+Control!$B$18,15)+(Control!$B$68*12*POWER(1+$A$19,15))*Control!$B$26)))*(1-Control!$B$23))-IF(AND(Control!$B$5&gt;0,Control!$B$6="Y",16=Control!$B$39-1),Control!$B$40,0))</f>
        <v>3239525.8097970337</v>
      </c>
      <c r="T71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$19,16))+(((Control!$B$20*(Control!$B$30*Control!$B$31+Control!$B$34*Control!$B$35+IF(AND(Control!$B$5&gt;0,Control!$B$6="Y",17&gt;=Control!$B$39),Control!$B$37*Control!$B$38,0)))*Control!$B$41)*(Control!$B$42+Control!$B$44)*POWER(1+$A$19,16))+(Control!$B$46*POWER(1+$A$19,16)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$19,16)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$A$19,16))*Control!$B$26))+(((Control!$B$54*Control!$B$55+Control!$B$57*Control!$B$58*Control!$B$59*Control!$B$60)*POWER(1+$A$19,16))-((Control!$B$57*Control!$B$58*Control!$B$59*Control!$B$60*POWER(1+$A$19,16))*Control!$B$63+(Control!$B$64+Control!$B$65+Control!$B$66)*12*POWER(1+Control!$B$18,16)+((Control!$B$54*Control!$B$55+Control!$B$57*Control!$B$58*Control!$B$59*Control!$B$60)*POWER(1+$A$19,16))*Control!$B$26))+((Control!$B$68*12*POWER(1+$A$19,16))-((Control!$B$70+Control!$B$71+Control!$B$72)*12*POWER(1+Control!$B$18,16)+(Control!$B$68*12*POWER(1+$A$19,16))*Control!$B$26)))*(1-Control!$B$23))-IF(AND(Control!$B$5&gt;0,Control!$B$6="Y",17=Control!$B$39-1),Control!$B$40,0))</f>
        <v>3503676.5790206697</v>
      </c>
      <c r="U71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$19,17))+(((Control!$B$20*(Control!$B$30*Control!$B$31+Control!$B$34*Control!$B$35+IF(AND(Control!$B$5&gt;0,Control!$B$6="Y",18&gt;=Control!$B$39),Control!$B$37*Control!$B$38,0)))*Control!$B$41)*(Control!$B$42+Control!$B$44)*POWER(1+$A$19,17))+(Control!$B$46*POWER(1+$A$19,17)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$19,17)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$A$19,17))*Control!$B$26))+(((Control!$B$54*Control!$B$55+Control!$B$57*Control!$B$58*Control!$B$59*Control!$B$60)*POWER(1+$A$19,17))-((Control!$B$57*Control!$B$58*Control!$B$59*Control!$B$60*POWER(1+$A$19,17))*Control!$B$63+(Control!$B$64+Control!$B$65+Control!$B$66)*12*POWER(1+Control!$B$18,17)+((Control!$B$54*Control!$B$55+Control!$B$57*Control!$B$58*Control!$B$59*Control!$B$60)*POWER(1+$A$19,17))*Control!$B$26))+((Control!$B$68*12*POWER(1+$A$19,17))-((Control!$B$70+Control!$B$71+Control!$B$72)*12*POWER(1+Control!$B$18,17)+(Control!$B$68*12*POWER(1+$A$19,17))*Control!$B$26)))*(1-Control!$B$23))-IF(AND(Control!$B$5&gt;0,Control!$B$6="Y",18=Control!$B$39-1),Control!$B$40,0))</f>
        <v>3788187.1002168525</v>
      </c>
      <c r="V71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$19,18))+(((Control!$B$20*(Control!$B$30*Control!$B$31+Control!$B$34*Control!$B$35+IF(AND(Control!$B$5&gt;0,Control!$B$6="Y",19&gt;=Control!$B$39),Control!$B$37*Control!$B$38,0)))*Control!$B$41)*(Control!$B$42+Control!$B$44)*POWER(1+$A$19,18))+(Control!$B$46*POWER(1+$A$19,18)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$19,18)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$A$19,18))*Control!$B$26))+(((Control!$B$54*Control!$B$55+Control!$B$57*Control!$B$58*Control!$B$59*Control!$B$60)*POWER(1+$A$19,18))-((Control!$B$57*Control!$B$58*Control!$B$59*Control!$B$60*POWER(1+$A$19,18))*Control!$B$63+(Control!$B$64+Control!$B$65+Control!$B$66)*12*POWER(1+Control!$B$18,18)+((Control!$B$54*Control!$B$55+Control!$B$57*Control!$B$58*Control!$B$59*Control!$B$60)*POWER(1+$A$19,18))*Control!$B$26))+((Control!$B$68*12*POWER(1+$A$19,18))-((Control!$B$70+Control!$B$71+Control!$B$72)*12*POWER(1+Control!$B$18,18)+(Control!$B$68*12*POWER(1+$A$19,18))*Control!$B$26)))*(1-Control!$B$23))-IF(AND(Control!$B$5&gt;0,Control!$B$6="Y",19=Control!$B$39-1),Control!$B$40,0))</f>
        <v>4094576.0159300049</v>
      </c>
      <c r="W71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$19,19))+(((Control!$B$20*(Control!$B$30*Control!$B$31+Control!$B$34*Control!$B$35+IF(AND(Control!$B$5&gt;0,Control!$B$6="Y",20&gt;=Control!$B$39),Control!$B$37*Control!$B$38,0)))*Control!$B$41)*(Control!$B$42+Control!$B$44)*POWER(1+$A$19,19))+(Control!$B$46*POWER(1+$A$19,19)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$19,19)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$A$19,19))*Control!$B$26))+(((Control!$B$54*Control!$B$55+Control!$B$57*Control!$B$58*Control!$B$59*Control!$B$60)*POWER(1+$A$19,19))-((Control!$B$57*Control!$B$58*Control!$B$59*Control!$B$60*POWER(1+$A$19,19))*Control!$B$63+(Control!$B$64+Control!$B$65+Control!$B$66)*12*POWER(1+Control!$B$18,19)+((Control!$B$54*Control!$B$55+Control!$B$57*Control!$B$58*Control!$B$59*Control!$B$60)*POWER(1+$A$19,19))*Control!$B$26))+((Control!$B$68*12*POWER(1+$A$19,19))-((Control!$B$70+Control!$B$71+Control!$B$72)*12*POWER(1+Control!$B$18,19)+(Control!$B$68*12*POWER(1+$A$19,19))*Control!$B$26)))*(1-Control!$B$23))-IF(AND(Control!$B$5&gt;0,Control!$B$6="Y",20=Control!$B$39-1),Control!$B$40,0))+Valuation!$F$10*POWER(1+Control!$B$78,20)*(1-Control!$B$79)</f>
        <v>20511416.932968602</v>
      </c>
    </row>
    <row r="72" spans="1:23" x14ac:dyDescent="0.3">
      <c r="A72" s="110" t="s">
        <v>565</v>
      </c>
      <c r="B72" s="110"/>
      <c r="C72" s="110"/>
      <c r="D72" s="110">
        <f>D71</f>
        <v>952520.39754989708</v>
      </c>
      <c r="E72" s="110">
        <f t="shared" ref="E72:V72" si="9">D72+E71</f>
        <v>1989699.5481033823</v>
      </c>
      <c r="F72" s="110">
        <f t="shared" si="9"/>
        <v>3118362.6806294611</v>
      </c>
      <c r="G72" s="110">
        <f t="shared" si="9"/>
        <v>4345857.7459379081</v>
      </c>
      <c r="H72" s="110">
        <f t="shared" si="9"/>
        <v>5680094.2549987659</v>
      </c>
      <c r="I72" s="110">
        <f t="shared" si="9"/>
        <v>7129584.9483337449</v>
      </c>
      <c r="J72" s="110">
        <f t="shared" si="9"/>
        <v>8703490.5002740249</v>
      </c>
      <c r="K72" s="110">
        <f t="shared" si="9"/>
        <v>10411667.476425571</v>
      </c>
      <c r="L72" s="110">
        <f t="shared" si="9"/>
        <v>12264719.778261945</v>
      </c>
      <c r="M72" s="110">
        <f t="shared" si="9"/>
        <v>14274053.825448794</v>
      </c>
      <c r="N72" s="110">
        <f t="shared" si="9"/>
        <v>16451937.744371748</v>
      </c>
      <c r="O72" s="110">
        <f t="shared" si="9"/>
        <v>18811564.850473985</v>
      </c>
      <c r="P72" s="110">
        <f t="shared" si="9"/>
        <v>21367121.732500792</v>
      </c>
      <c r="Q72" s="110">
        <f t="shared" si="9"/>
        <v>24133861.268691756</v>
      </c>
      <c r="R72" s="110">
        <f t="shared" si="9"/>
        <v>27128180.928459484</v>
      </c>
      <c r="S72" s="110">
        <f t="shared" si="9"/>
        <v>30367706.738256518</v>
      </c>
      <c r="T72" s="110">
        <f t="shared" si="9"/>
        <v>33871383.317277186</v>
      </c>
      <c r="U72" s="110">
        <f t="shared" si="9"/>
        <v>37659570.417494036</v>
      </c>
      <c r="V72" s="110">
        <f t="shared" si="9"/>
        <v>41754146.433424041</v>
      </c>
      <c r="W72" s="110"/>
    </row>
    <row r="73" spans="1:23" x14ac:dyDescent="0.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</row>
    <row r="74" spans="1:23" x14ac:dyDescent="0.3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</row>
    <row r="75" spans="1:23" x14ac:dyDescent="0.3">
      <c r="A75" s="110" t="s">
        <v>566</v>
      </c>
      <c r="B75" s="110"/>
      <c r="C75" s="114">
        <f>-Control!$B$15</f>
        <v>-6400000</v>
      </c>
      <c r="D75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(Control!$B$46-$A23*(Control!$B$46-Control!$B$47))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871956.10484509601</v>
      </c>
      <c r="E75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(Control!$B$46-$A23*(Control!$B$46-Control!$B$47))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915553.91008735076</v>
      </c>
      <c r="F75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(Control!$B$46-$A23*(Control!$B$46-Control!$B$47))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961331.60559171846</v>
      </c>
      <c r="G75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(Control!$B$46-$A23*(Control!$B$46-Control!$B$47))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1009398.1858713044</v>
      </c>
      <c r="H75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(Control!$B$46-$A23*(Control!$B$46-Control!$B$47))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1059868.0951648694</v>
      </c>
      <c r="I75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(Control!$B$46-$A23*(Control!$B$46-Control!$B$47))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1112861.4999231133</v>
      </c>
      <c r="J75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(Control!$B$46-$A23*(Control!$B$46-Control!$B$47))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1168504.5749192685</v>
      </c>
      <c r="K75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(Control!$B$46-$A23*(Control!$B$46-Control!$B$47))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1226929.8036652324</v>
      </c>
      <c r="L75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(Control!$B$46-$A23*(Control!$B$46-Control!$B$47))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1288276.2938484936</v>
      </c>
      <c r="M75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(Control!$B$46-$A23*(Control!$B$46-Control!$B$47))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1352690.1085409182</v>
      </c>
      <c r="N75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(Control!$B$46-$A23*(Control!$B$46-Control!$B$47))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1420324.6139679644</v>
      </c>
      <c r="O75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(Control!$B$46-$A23*(Control!$B$46-Control!$B$47))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1491340.8446663625</v>
      </c>
      <c r="P75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(Control!$B$46-$A23*(Control!$B$46-Control!$B$47))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1565907.8868996808</v>
      </c>
      <c r="Q75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(Control!$B$46-$A23*(Control!$B$46-Control!$B$47))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1644203.2812446642</v>
      </c>
      <c r="R75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(Control!$B$46-$A23*(Control!$B$46-Control!$B$47))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1726413.4453068979</v>
      </c>
      <c r="S75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(Control!$B$46-$A23*(Control!$B$46-Control!$B$47))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1812734.1175722429</v>
      </c>
      <c r="T75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(Control!$B$46-$A23*(Control!$B$46-Control!$B$47))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1903370.8234508559</v>
      </c>
      <c r="U75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(Control!$B$46-$A23*(Control!$B$46-Control!$B$47))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1998539.3646233985</v>
      </c>
      <c r="V75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(Control!$B$46-$A23*(Control!$B$46-Control!$B$47))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2098466.3328545685</v>
      </c>
      <c r="W75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(Control!$B$46-$A23*(Control!$B$46-Control!$B$47))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Control!$B$78,20)*(1-Control!$B$79)</f>
        <v>18290333.635787919</v>
      </c>
    </row>
    <row r="76" spans="1:23" x14ac:dyDescent="0.3">
      <c r="A76" s="110" t="s">
        <v>567</v>
      </c>
      <c r="B76" s="110"/>
      <c r="C76" s="110"/>
      <c r="D76" s="110">
        <f>D75</f>
        <v>871956.10484509601</v>
      </c>
      <c r="E76" s="110">
        <f t="shared" ref="E76:V76" si="10">D76+E75</f>
        <v>1787510.0149324466</v>
      </c>
      <c r="F76" s="110">
        <f t="shared" si="10"/>
        <v>2748841.6205241652</v>
      </c>
      <c r="G76" s="110">
        <f t="shared" si="10"/>
        <v>3758239.8063954697</v>
      </c>
      <c r="H76" s="110">
        <f t="shared" si="10"/>
        <v>4818107.9015603391</v>
      </c>
      <c r="I76" s="110">
        <f t="shared" si="10"/>
        <v>5930969.4014834519</v>
      </c>
      <c r="J76" s="110">
        <f t="shared" si="10"/>
        <v>7099473.9764027204</v>
      </c>
      <c r="K76" s="110">
        <f t="shared" si="10"/>
        <v>8326403.7800679523</v>
      </c>
      <c r="L76" s="110">
        <f t="shared" si="10"/>
        <v>9614680.0739164464</v>
      </c>
      <c r="M76" s="110">
        <f t="shared" si="10"/>
        <v>10967370.182457365</v>
      </c>
      <c r="N76" s="110">
        <f t="shared" si="10"/>
        <v>12387694.79642533</v>
      </c>
      <c r="O76" s="110">
        <f t="shared" si="10"/>
        <v>13879035.641091691</v>
      </c>
      <c r="P76" s="110">
        <f t="shared" si="10"/>
        <v>15444943.527991373</v>
      </c>
      <c r="Q76" s="110">
        <f t="shared" si="10"/>
        <v>17089146.809236038</v>
      </c>
      <c r="R76" s="110">
        <f t="shared" si="10"/>
        <v>18815560.254542936</v>
      </c>
      <c r="S76" s="110">
        <f t="shared" si="10"/>
        <v>20628294.37211518</v>
      </c>
      <c r="T76" s="110">
        <f t="shared" si="10"/>
        <v>22531665.195566036</v>
      </c>
      <c r="U76" s="110">
        <f t="shared" si="10"/>
        <v>24530204.560189433</v>
      </c>
      <c r="V76" s="110">
        <f t="shared" si="10"/>
        <v>26628670.893044002</v>
      </c>
      <c r="W76" s="110"/>
    </row>
    <row r="77" spans="1:23" x14ac:dyDescent="0.3">
      <c r="A77" s="110" t="s">
        <v>568</v>
      </c>
      <c r="B77" s="110"/>
      <c r="C77" s="114">
        <f>-Control!$B$15</f>
        <v>-6400000</v>
      </c>
      <c r="D77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(Control!$B$46-$A24*(Control!$B$46-Control!$B$47))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912238.25119749655</v>
      </c>
      <c r="E77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(Control!$B$46-$A24*(Control!$B$46-Control!$B$47))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957850.16375737137</v>
      </c>
      <c r="F77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(Control!$B$46-$A24*(Control!$B$46-Control!$B$47))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1005742.6719452401</v>
      </c>
      <c r="G77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(Control!$B$46-$A24*(Control!$B$46-Control!$B$47))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1056029.8055425021</v>
      </c>
      <c r="H77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(Control!$B$46-$A24*(Control!$B$46-Control!$B$47))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1108831.2958196267</v>
      </c>
      <c r="I77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(Control!$B$46-$A24*(Control!$B$46-Control!$B$47))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1164272.8606106087</v>
      </c>
      <c r="J77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(Control!$B$46-$A24*(Control!$B$46-Control!$B$47))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1222486.5036411386</v>
      </c>
      <c r="K77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(Control!$B$46-$A24*(Control!$B$46-Control!$B$47))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1283610.8288231962</v>
      </c>
      <c r="L77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(Control!$B$46-$A24*(Control!$B$46-Control!$B$47))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1347791.3702643558</v>
      </c>
      <c r="M77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(Control!$B$46-$A24*(Control!$B$46-Control!$B$47))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1415180.9387775734</v>
      </c>
      <c r="N77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(Control!$B$46-$A24*(Control!$B$46-Control!$B$47))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1485939.9857164524</v>
      </c>
      <c r="O77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(Control!$B$46-$A24*(Control!$B$46-Control!$B$47))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1560236.9850022749</v>
      </c>
      <c r="P77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(Control!$B$46-$A24*(Control!$B$46-Control!$B$47))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1638248.8342523884</v>
      </c>
      <c r="Q77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(Control!$B$46-$A24*(Control!$B$46-Control!$B$47))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1720161.2759650075</v>
      </c>
      <c r="R77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(Control!$B$46-$A24*(Control!$B$46-Control!$B$47))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1806169.3397632581</v>
      </c>
      <c r="S77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(Control!$B$46-$A24*(Control!$B$46-Control!$B$47))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1896477.8067514212</v>
      </c>
      <c r="T77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(Control!$B$46-$A24*(Control!$B$46-Control!$B$47))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1991301.6970889929</v>
      </c>
      <c r="U77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(Control!$B$46-$A24*(Control!$B$46-Control!$B$47))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2090866.7819434423</v>
      </c>
      <c r="V77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(Control!$B$46-$A24*(Control!$B$46-Control!$B$47))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2195410.1210406148</v>
      </c>
      <c r="W77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(Control!$B$46-$A24*(Control!$B$46-Control!$B$47))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Control!$B$78,20)*(1-Control!$B$79)</f>
        <v>18392124.613383267</v>
      </c>
    </row>
    <row r="78" spans="1:23" x14ac:dyDescent="0.3">
      <c r="A78" s="110" t="s">
        <v>569</v>
      </c>
      <c r="B78" s="110"/>
      <c r="C78" s="110"/>
      <c r="D78" s="110">
        <f>D77</f>
        <v>912238.25119749655</v>
      </c>
      <c r="E78" s="110">
        <f t="shared" ref="E78:V78" si="11">D78+E77</f>
        <v>1870088.4149548679</v>
      </c>
      <c r="F78" s="110">
        <f t="shared" si="11"/>
        <v>2875831.086900108</v>
      </c>
      <c r="G78" s="110">
        <f t="shared" si="11"/>
        <v>3931860.8924426101</v>
      </c>
      <c r="H78" s="110">
        <f t="shared" si="11"/>
        <v>5040692.1882622372</v>
      </c>
      <c r="I78" s="110">
        <f t="shared" si="11"/>
        <v>6204965.0488728462</v>
      </c>
      <c r="J78" s="110">
        <f t="shared" si="11"/>
        <v>7427451.552513985</v>
      </c>
      <c r="K78" s="110">
        <f t="shared" si="11"/>
        <v>8711062.3813371807</v>
      </c>
      <c r="L78" s="110">
        <f t="shared" si="11"/>
        <v>10058853.751601536</v>
      </c>
      <c r="M78" s="110">
        <f t="shared" si="11"/>
        <v>11474034.690379109</v>
      </c>
      <c r="N78" s="110">
        <f t="shared" si="11"/>
        <v>12959974.676095562</v>
      </c>
      <c r="O78" s="110">
        <f t="shared" si="11"/>
        <v>14520211.661097838</v>
      </c>
      <c r="P78" s="110">
        <f t="shared" si="11"/>
        <v>16158460.495350227</v>
      </c>
      <c r="Q78" s="110">
        <f t="shared" si="11"/>
        <v>17878621.771315236</v>
      </c>
      <c r="R78" s="110">
        <f t="shared" si="11"/>
        <v>19684791.111078493</v>
      </c>
      <c r="S78" s="110">
        <f t="shared" si="11"/>
        <v>21581268.917829916</v>
      </c>
      <c r="T78" s="110">
        <f t="shared" si="11"/>
        <v>23572570.61491891</v>
      </c>
      <c r="U78" s="110">
        <f t="shared" si="11"/>
        <v>25663437.39686235</v>
      </c>
      <c r="V78" s="110">
        <f t="shared" si="11"/>
        <v>27858847.517902967</v>
      </c>
      <c r="W78" s="110"/>
    </row>
    <row r="79" spans="1:23" x14ac:dyDescent="0.3">
      <c r="A79" s="110" t="s">
        <v>570</v>
      </c>
      <c r="B79" s="110"/>
      <c r="C79" s="114">
        <f>-Control!$B$15</f>
        <v>-6400000</v>
      </c>
      <c r="D79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(Control!$B$46-$A25*(Control!$B$46-Control!$B$47))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952520.39754989708</v>
      </c>
      <c r="E79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(Control!$B$46-$A25*(Control!$B$46-Control!$B$47))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1000146.4174273919</v>
      </c>
      <c r="F79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(Control!$B$46-$A25*(Control!$B$46-Control!$B$47))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1050153.7382987617</v>
      </c>
      <c r="G79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(Control!$B$46-$A25*(Control!$B$46-Control!$B$47))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1102661.4252136999</v>
      </c>
      <c r="H79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(Control!$B$46-$A25*(Control!$B$46-Control!$B$47))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1157794.4964743843</v>
      </c>
      <c r="I79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(Control!$B$46-$A25*(Control!$B$46-Control!$B$47))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1215684.2212981042</v>
      </c>
      <c r="J79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(Control!$B$46-$A25*(Control!$B$46-Control!$B$47))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1276468.4323630091</v>
      </c>
      <c r="K79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(Control!$B$46-$A25*(Control!$B$46-Control!$B$47))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1340291.8539811596</v>
      </c>
      <c r="L79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(Control!$B$46-$A25*(Control!$B$46-Control!$B$47))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1407306.4466802173</v>
      </c>
      <c r="M79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(Control!$B$46-$A25*(Control!$B$46-Control!$B$47))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1477671.7690142284</v>
      </c>
      <c r="N79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(Control!$B$46-$A25*(Control!$B$46-Control!$B$47))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1551555.3574649398</v>
      </c>
      <c r="O79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(Control!$B$46-$A25*(Control!$B$46-Control!$B$47))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1629133.125338187</v>
      </c>
      <c r="P79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(Control!$B$46-$A25*(Control!$B$46-Control!$B$47))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1710589.7816050961</v>
      </c>
      <c r="Q79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(Control!$B$46-$A25*(Control!$B$46-Control!$B$47))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1796119.2706853508</v>
      </c>
      <c r="R79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(Control!$B$46-$A25*(Control!$B$46-Control!$B$47))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1885925.2342196186</v>
      </c>
      <c r="S79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(Control!$B$46-$A25*(Control!$B$46-Control!$B$47))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1980221.4959305997</v>
      </c>
      <c r="T79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(Control!$B$46-$A25*(Control!$B$46-Control!$B$47))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2079232.5707271304</v>
      </c>
      <c r="U79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(Control!$B$46-$A25*(Control!$B$46-Control!$B$47))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2183194.1992634865</v>
      </c>
      <c r="V79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(Control!$B$46-$A25*(Control!$B$46-Control!$B$47))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2292353.9092266611</v>
      </c>
      <c r="W79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(Control!$B$46-$A25*(Control!$B$46-Control!$B$47))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Control!$B$78,20)*(1-Control!$B$79)</f>
        <v>18493915.590978615</v>
      </c>
    </row>
    <row r="80" spans="1:23" x14ac:dyDescent="0.3">
      <c r="A80" s="110" t="s">
        <v>571</v>
      </c>
      <c r="B80" s="110"/>
      <c r="C80" s="110"/>
      <c r="D80" s="110">
        <f>D79</f>
        <v>952520.39754989708</v>
      </c>
      <c r="E80" s="110">
        <f t="shared" ref="E80:V80" si="12">D80+E79</f>
        <v>1952666.8149772889</v>
      </c>
      <c r="F80" s="110">
        <f t="shared" si="12"/>
        <v>3002820.5532760508</v>
      </c>
      <c r="G80" s="110">
        <f t="shared" si="12"/>
        <v>4105481.978489751</v>
      </c>
      <c r="H80" s="110">
        <f t="shared" si="12"/>
        <v>5263276.4749641353</v>
      </c>
      <c r="I80" s="110">
        <f t="shared" si="12"/>
        <v>6478960.6962622395</v>
      </c>
      <c r="J80" s="110">
        <f t="shared" si="12"/>
        <v>7755429.1286252486</v>
      </c>
      <c r="K80" s="110">
        <f t="shared" si="12"/>
        <v>9095720.9826064073</v>
      </c>
      <c r="L80" s="110">
        <f t="shared" si="12"/>
        <v>10503027.429286625</v>
      </c>
      <c r="M80" s="110">
        <f t="shared" si="12"/>
        <v>11980699.198300853</v>
      </c>
      <c r="N80" s="110">
        <f t="shared" si="12"/>
        <v>13532254.555765793</v>
      </c>
      <c r="O80" s="110">
        <f t="shared" si="12"/>
        <v>15161387.68110398</v>
      </c>
      <c r="P80" s="110">
        <f t="shared" si="12"/>
        <v>16871977.462709077</v>
      </c>
      <c r="Q80" s="110">
        <f t="shared" si="12"/>
        <v>18668096.733394429</v>
      </c>
      <c r="R80" s="110">
        <f t="shared" si="12"/>
        <v>20554021.967614047</v>
      </c>
      <c r="S80" s="110">
        <f t="shared" si="12"/>
        <v>22534243.463544648</v>
      </c>
      <c r="T80" s="110">
        <f t="shared" si="12"/>
        <v>24613476.034271777</v>
      </c>
      <c r="U80" s="110">
        <f t="shared" si="12"/>
        <v>26796670.233535264</v>
      </c>
      <c r="V80" s="110">
        <f t="shared" si="12"/>
        <v>29089024.142761923</v>
      </c>
      <c r="W80" s="110"/>
    </row>
    <row r="81" spans="1:23" x14ac:dyDescent="0.3">
      <c r="A81" s="110" t="s">
        <v>572</v>
      </c>
      <c r="B81" s="110"/>
      <c r="C81" s="114">
        <f>-Control!$B$15</f>
        <v>-6400000</v>
      </c>
      <c r="D81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(Control!$B$46-$A26*(Control!$B$46-Control!$B$47))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992802.54390229762</v>
      </c>
      <c r="E81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(Control!$B$46-$A26*(Control!$B$46-Control!$B$47))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1042442.6710974125</v>
      </c>
      <c r="F81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(Control!$B$46-$A26*(Control!$B$46-Control!$B$47))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1094564.8046522832</v>
      </c>
      <c r="G81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(Control!$B$46-$A26*(Control!$B$46-Control!$B$47))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1149293.0448848975</v>
      </c>
      <c r="H81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(Control!$B$46-$A26*(Control!$B$46-Control!$B$47))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1206757.6971291418</v>
      </c>
      <c r="I81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(Control!$B$46-$A26*(Control!$B$46-Control!$B$47))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1267095.5819855996</v>
      </c>
      <c r="J81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(Control!$B$46-$A26*(Control!$B$46-Control!$B$47))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1330450.3610848791</v>
      </c>
      <c r="K81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(Control!$B$46-$A26*(Control!$B$46-Control!$B$47))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1396972.8791391235</v>
      </c>
      <c r="L81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(Control!$B$46-$A26*(Control!$B$46-Control!$B$47))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1466821.5230960795</v>
      </c>
      <c r="M81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(Control!$B$46-$A26*(Control!$B$46-Control!$B$47))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1540162.5992508833</v>
      </c>
      <c r="N81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(Control!$B$46-$A26*(Control!$B$46-Control!$B$47))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1617170.7292134275</v>
      </c>
      <c r="O81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(Control!$B$46-$A26*(Control!$B$46-Control!$B$47))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1698029.2656740989</v>
      </c>
      <c r="P81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(Control!$B$46-$A26*(Control!$B$46-Control!$B$47))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1782930.7289578037</v>
      </c>
      <c r="Q81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(Control!$B$46-$A26*(Control!$B$46-Control!$B$47))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1872077.2654056938</v>
      </c>
      <c r="R81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(Control!$B$46-$A26*(Control!$B$46-Control!$B$47))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1965681.1286759789</v>
      </c>
      <c r="S81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(Control!$B$46-$A26*(Control!$B$46-Control!$B$47))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2063965.1851097778</v>
      </c>
      <c r="T81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(Control!$B$46-$A26*(Control!$B$46-Control!$B$47))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2167163.4443652676</v>
      </c>
      <c r="U81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(Control!$B$46-$A26*(Control!$B$46-Control!$B$47))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2275521.6165835308</v>
      </c>
      <c r="V81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(Control!$B$46-$A26*(Control!$B$46-Control!$B$47))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2389297.6974127074</v>
      </c>
      <c r="W81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(Control!$B$46-$A26*(Control!$B$46-Control!$B$47))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Control!$B$78,20)*(1-Control!$B$79)</f>
        <v>18595706.568573967</v>
      </c>
    </row>
    <row r="82" spans="1:23" x14ac:dyDescent="0.3">
      <c r="A82" s="110" t="s">
        <v>573</v>
      </c>
      <c r="B82" s="110"/>
      <c r="C82" s="110"/>
      <c r="D82" s="110">
        <f>D81</f>
        <v>992802.54390229762</v>
      </c>
      <c r="E82" s="110">
        <f t="shared" ref="E82:V82" si="13">D82+E81</f>
        <v>2035245.2149997102</v>
      </c>
      <c r="F82" s="110">
        <f t="shared" si="13"/>
        <v>3129810.0196519932</v>
      </c>
      <c r="G82" s="110">
        <f t="shared" si="13"/>
        <v>4279103.0645368909</v>
      </c>
      <c r="H82" s="110">
        <f t="shared" si="13"/>
        <v>5485860.7616660325</v>
      </c>
      <c r="I82" s="110">
        <f t="shared" si="13"/>
        <v>6752956.3436516318</v>
      </c>
      <c r="J82" s="110">
        <f t="shared" si="13"/>
        <v>8083406.7047365112</v>
      </c>
      <c r="K82" s="110">
        <f t="shared" si="13"/>
        <v>9480379.5838756338</v>
      </c>
      <c r="L82" s="110">
        <f t="shared" si="13"/>
        <v>10947201.106971713</v>
      </c>
      <c r="M82" s="110">
        <f t="shared" si="13"/>
        <v>12487363.706222596</v>
      </c>
      <c r="N82" s="110">
        <f t="shared" si="13"/>
        <v>14104534.435436023</v>
      </c>
      <c r="O82" s="110">
        <f t="shared" si="13"/>
        <v>15802563.701110123</v>
      </c>
      <c r="P82" s="110">
        <f t="shared" si="13"/>
        <v>17585494.430067927</v>
      </c>
      <c r="Q82" s="110">
        <f t="shared" si="13"/>
        <v>19457571.695473619</v>
      </c>
      <c r="R82" s="110">
        <f t="shared" si="13"/>
        <v>21423252.824149597</v>
      </c>
      <c r="S82" s="110">
        <f t="shared" si="13"/>
        <v>23487218.009259377</v>
      </c>
      <c r="T82" s="110">
        <f t="shared" si="13"/>
        <v>25654381.453624643</v>
      </c>
      <c r="U82" s="110">
        <f t="shared" si="13"/>
        <v>27929903.070208173</v>
      </c>
      <c r="V82" s="110">
        <f t="shared" si="13"/>
        <v>30319200.76762088</v>
      </c>
      <c r="W82" s="110"/>
    </row>
    <row r="83" spans="1:23" x14ac:dyDescent="0.3">
      <c r="A83" s="110" t="s">
        <v>574</v>
      </c>
      <c r="B83" s="110"/>
      <c r="C83" s="114">
        <f>-Control!$B$15</f>
        <v>-6400000</v>
      </c>
      <c r="D83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(Control!$B$46-$A27*(Control!$B$46-Control!$B$47))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1033084.6902546982</v>
      </c>
      <c r="E83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(Control!$B$46-$A27*(Control!$B$46-Control!$B$47))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1084738.924767433</v>
      </c>
      <c r="F83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(Control!$B$46-$A27*(Control!$B$46-Control!$B$47))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1138975.8710058047</v>
      </c>
      <c r="G83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(Control!$B$46-$A27*(Control!$B$46-Control!$B$47))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1195924.6645560951</v>
      </c>
      <c r="H83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(Control!$B$46-$A27*(Control!$B$46-Control!$B$47))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1255720.8977838994</v>
      </c>
      <c r="I83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(Control!$B$46-$A27*(Control!$B$46-Control!$B$47))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1318506.942673095</v>
      </c>
      <c r="J83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(Control!$B$46-$A27*(Control!$B$46-Control!$B$47))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1384432.2898067494</v>
      </c>
      <c r="K83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(Control!$B$46-$A27*(Control!$B$46-Control!$B$47))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1453653.9042970871</v>
      </c>
      <c r="L83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(Control!$B$46-$A27*(Control!$B$46-Control!$B$47))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1526336.5995119414</v>
      </c>
      <c r="M83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(Control!$B$46-$A27*(Control!$B$46-Control!$B$47))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1602653.4294875383</v>
      </c>
      <c r="N83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(Control!$B$46-$A27*(Control!$B$46-Control!$B$47))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1682786.1009619155</v>
      </c>
      <c r="O83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(Control!$B$46-$A27*(Control!$B$46-Control!$B$47))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1766925.4060100112</v>
      </c>
      <c r="P83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(Control!$B$46-$A27*(Control!$B$46-Control!$B$47))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1855271.6763105115</v>
      </c>
      <c r="Q83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(Control!$B$46-$A27*(Control!$B$46-Control!$B$47))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1948035.2601260371</v>
      </c>
      <c r="R83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(Control!$B$46-$A27*(Control!$B$46-Control!$B$47))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2045437.0231323394</v>
      </c>
      <c r="S83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(Control!$B$46-$A27*(Control!$B$46-Control!$B$47))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2147708.8742889566</v>
      </c>
      <c r="T83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(Control!$B$46-$A27*(Control!$B$46-Control!$B$47))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2255094.3180034044</v>
      </c>
      <c r="U83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(Control!$B$46-$A27*(Control!$B$46-Control!$B$47))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2367849.0339035746</v>
      </c>
      <c r="V83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(Control!$B$46-$A27*(Control!$B$46-Control!$B$47))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2486241.4855987537</v>
      </c>
      <c r="W83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(Control!$B$46-$A27*(Control!$B$46-Control!$B$47))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Control!$B$78,20)*(1-Control!$B$79)</f>
        <v>18697497.546169315</v>
      </c>
    </row>
    <row r="84" spans="1:23" x14ac:dyDescent="0.3">
      <c r="A84" s="110" t="s">
        <v>575</v>
      </c>
      <c r="B84" s="110"/>
      <c r="C84" s="110"/>
      <c r="D84" s="110">
        <f>D83</f>
        <v>1033084.6902546982</v>
      </c>
      <c r="E84" s="110">
        <f t="shared" ref="E84:V84" si="14">D84+E83</f>
        <v>2117823.6150221312</v>
      </c>
      <c r="F84" s="110">
        <f t="shared" si="14"/>
        <v>3256799.486027936</v>
      </c>
      <c r="G84" s="110">
        <f t="shared" si="14"/>
        <v>4452724.1505840309</v>
      </c>
      <c r="H84" s="110">
        <f t="shared" si="14"/>
        <v>5708445.0483679306</v>
      </c>
      <c r="I84" s="110">
        <f t="shared" si="14"/>
        <v>7026951.9910410251</v>
      </c>
      <c r="J84" s="110">
        <f t="shared" si="14"/>
        <v>8411384.2808477748</v>
      </c>
      <c r="K84" s="110">
        <f t="shared" si="14"/>
        <v>9865038.1851448622</v>
      </c>
      <c r="L84" s="110">
        <f t="shared" si="14"/>
        <v>11391374.784656804</v>
      </c>
      <c r="M84" s="110">
        <f t="shared" si="14"/>
        <v>12994028.214144342</v>
      </c>
      <c r="N84" s="110">
        <f t="shared" si="14"/>
        <v>14676814.315106258</v>
      </c>
      <c r="O84" s="110">
        <f t="shared" si="14"/>
        <v>16443739.721116269</v>
      </c>
      <c r="P84" s="110">
        <f t="shared" si="14"/>
        <v>18299011.39742678</v>
      </c>
      <c r="Q84" s="110">
        <f t="shared" si="14"/>
        <v>20247046.657552816</v>
      </c>
      <c r="R84" s="110">
        <f t="shared" si="14"/>
        <v>22292483.680685155</v>
      </c>
      <c r="S84" s="110">
        <f t="shared" si="14"/>
        <v>24440192.554974113</v>
      </c>
      <c r="T84" s="110">
        <f t="shared" si="14"/>
        <v>26695286.872977518</v>
      </c>
      <c r="U84" s="110">
        <f t="shared" si="14"/>
        <v>29063135.906881094</v>
      </c>
      <c r="V84" s="110">
        <f t="shared" si="14"/>
        <v>31549377.392479848</v>
      </c>
      <c r="W84" s="110"/>
    </row>
    <row r="85" spans="1:23" x14ac:dyDescent="0.3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</row>
    <row r="86" spans="1:23" x14ac:dyDescent="0.3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</row>
    <row r="87" spans="1:23" x14ac:dyDescent="0.3">
      <c r="A87" s="110" t="s">
        <v>576</v>
      </c>
      <c r="B87" s="110"/>
      <c r="C87" s="114">
        <f>-Control!$B$15</f>
        <v>-6400000</v>
      </c>
      <c r="D87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952520.39754989708</v>
      </c>
      <c r="E87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1000146.4174273919</v>
      </c>
      <c r="F87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1050153.7382987617</v>
      </c>
      <c r="G87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1102661.4252136999</v>
      </c>
      <c r="H87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1157794.4964743843</v>
      </c>
      <c r="I87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1215684.2212981042</v>
      </c>
      <c r="J87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1276468.4323630091</v>
      </c>
      <c r="K87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1340291.8539811596</v>
      </c>
      <c r="L87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1407306.4466802173</v>
      </c>
      <c r="M87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1477671.7690142284</v>
      </c>
      <c r="N87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1551555.3574649398</v>
      </c>
      <c r="O87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1629133.125338187</v>
      </c>
      <c r="P87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1710589.7816050961</v>
      </c>
      <c r="Q87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1796119.2706853508</v>
      </c>
      <c r="R87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1885925.2342196186</v>
      </c>
      <c r="S87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1980221.4959305997</v>
      </c>
      <c r="T87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2079232.5707271304</v>
      </c>
      <c r="U87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2183194.1992634865</v>
      </c>
      <c r="V87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2292353.9092266611</v>
      </c>
      <c r="W87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$A$31,20)*(1-Control!$B$79)</f>
        <v>8469971.6046879925</v>
      </c>
    </row>
    <row r="88" spans="1:23" x14ac:dyDescent="0.3">
      <c r="A88" s="110" t="s">
        <v>577</v>
      </c>
      <c r="B88" s="110"/>
      <c r="C88" s="110"/>
      <c r="D88" s="110">
        <f>D87</f>
        <v>952520.39754989708</v>
      </c>
      <c r="E88" s="110">
        <f t="shared" ref="E88:V88" si="15">D88+E87</f>
        <v>1952666.8149772889</v>
      </c>
      <c r="F88" s="110">
        <f t="shared" si="15"/>
        <v>3002820.5532760508</v>
      </c>
      <c r="G88" s="110">
        <f t="shared" si="15"/>
        <v>4105481.978489751</v>
      </c>
      <c r="H88" s="110">
        <f t="shared" si="15"/>
        <v>5263276.4749641353</v>
      </c>
      <c r="I88" s="110">
        <f t="shared" si="15"/>
        <v>6478960.6962622395</v>
      </c>
      <c r="J88" s="110">
        <f t="shared" si="15"/>
        <v>7755429.1286252486</v>
      </c>
      <c r="K88" s="110">
        <f t="shared" si="15"/>
        <v>9095720.9826064073</v>
      </c>
      <c r="L88" s="110">
        <f t="shared" si="15"/>
        <v>10503027.429286625</v>
      </c>
      <c r="M88" s="110">
        <f t="shared" si="15"/>
        <v>11980699.198300853</v>
      </c>
      <c r="N88" s="110">
        <f t="shared" si="15"/>
        <v>13532254.555765793</v>
      </c>
      <c r="O88" s="110">
        <f t="shared" si="15"/>
        <v>15161387.68110398</v>
      </c>
      <c r="P88" s="110">
        <f t="shared" si="15"/>
        <v>16871977.462709077</v>
      </c>
      <c r="Q88" s="110">
        <f t="shared" si="15"/>
        <v>18668096.733394429</v>
      </c>
      <c r="R88" s="110">
        <f t="shared" si="15"/>
        <v>20554021.967614047</v>
      </c>
      <c r="S88" s="110">
        <f t="shared" si="15"/>
        <v>22534243.463544648</v>
      </c>
      <c r="T88" s="110">
        <f t="shared" si="15"/>
        <v>24613476.034271777</v>
      </c>
      <c r="U88" s="110">
        <f t="shared" si="15"/>
        <v>26796670.233535264</v>
      </c>
      <c r="V88" s="110">
        <f t="shared" si="15"/>
        <v>29089024.142761923</v>
      </c>
      <c r="W88" s="110"/>
    </row>
    <row r="89" spans="1:23" x14ac:dyDescent="0.3">
      <c r="A89" s="110" t="s">
        <v>578</v>
      </c>
      <c r="B89" s="110"/>
      <c r="C89" s="114">
        <f>-Control!$B$15</f>
        <v>-6400000</v>
      </c>
      <c r="D89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952520.39754989708</v>
      </c>
      <c r="E89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1000146.4174273919</v>
      </c>
      <c r="F89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1050153.7382987617</v>
      </c>
      <c r="G89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1102661.4252136999</v>
      </c>
      <c r="H89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1157794.4964743843</v>
      </c>
      <c r="I89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1215684.2212981042</v>
      </c>
      <c r="J89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1276468.4323630091</v>
      </c>
      <c r="K89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1340291.8539811596</v>
      </c>
      <c r="L89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1407306.4466802173</v>
      </c>
      <c r="M89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1477671.7690142284</v>
      </c>
      <c r="N89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1551555.3574649398</v>
      </c>
      <c r="O89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1629133.125338187</v>
      </c>
      <c r="P89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1710589.7816050961</v>
      </c>
      <c r="Q89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1796119.2706853508</v>
      </c>
      <c r="R89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1885925.2342196186</v>
      </c>
      <c r="S89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1980221.4959305997</v>
      </c>
      <c r="T89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2079232.5707271304</v>
      </c>
      <c r="U89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2183194.1992634865</v>
      </c>
      <c r="V89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2292353.9092266611</v>
      </c>
      <c r="W89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$A$32,20)*(1-Control!$B$79)</f>
        <v>13357424.020488646</v>
      </c>
    </row>
    <row r="90" spans="1:23" x14ac:dyDescent="0.3">
      <c r="A90" s="110" t="s">
        <v>579</v>
      </c>
      <c r="B90" s="110"/>
      <c r="C90" s="110"/>
      <c r="D90" s="110">
        <f>D89</f>
        <v>952520.39754989708</v>
      </c>
      <c r="E90" s="110">
        <f t="shared" ref="E90:V90" si="16">D90+E89</f>
        <v>1952666.8149772889</v>
      </c>
      <c r="F90" s="110">
        <f t="shared" si="16"/>
        <v>3002820.5532760508</v>
      </c>
      <c r="G90" s="110">
        <f t="shared" si="16"/>
        <v>4105481.978489751</v>
      </c>
      <c r="H90" s="110">
        <f t="shared" si="16"/>
        <v>5263276.4749641353</v>
      </c>
      <c r="I90" s="110">
        <f t="shared" si="16"/>
        <v>6478960.6962622395</v>
      </c>
      <c r="J90" s="110">
        <f t="shared" si="16"/>
        <v>7755429.1286252486</v>
      </c>
      <c r="K90" s="110">
        <f t="shared" si="16"/>
        <v>9095720.9826064073</v>
      </c>
      <c r="L90" s="110">
        <f t="shared" si="16"/>
        <v>10503027.429286625</v>
      </c>
      <c r="M90" s="110">
        <f t="shared" si="16"/>
        <v>11980699.198300853</v>
      </c>
      <c r="N90" s="110">
        <f t="shared" si="16"/>
        <v>13532254.555765793</v>
      </c>
      <c r="O90" s="110">
        <f t="shared" si="16"/>
        <v>15161387.68110398</v>
      </c>
      <c r="P90" s="110">
        <f t="shared" si="16"/>
        <v>16871977.462709077</v>
      </c>
      <c r="Q90" s="110">
        <f t="shared" si="16"/>
        <v>18668096.733394429</v>
      </c>
      <c r="R90" s="110">
        <f t="shared" si="16"/>
        <v>20554021.967614047</v>
      </c>
      <c r="S90" s="110">
        <f t="shared" si="16"/>
        <v>22534243.463544648</v>
      </c>
      <c r="T90" s="110">
        <f t="shared" si="16"/>
        <v>24613476.034271777</v>
      </c>
      <c r="U90" s="110">
        <f t="shared" si="16"/>
        <v>26796670.233535264</v>
      </c>
      <c r="V90" s="110">
        <f t="shared" si="16"/>
        <v>29089024.142761923</v>
      </c>
      <c r="W90" s="110"/>
    </row>
    <row r="91" spans="1:23" x14ac:dyDescent="0.3">
      <c r="A91" s="110" t="s">
        <v>580</v>
      </c>
      <c r="B91" s="110"/>
      <c r="C91" s="114">
        <f>-Control!$B$15</f>
        <v>-6400000</v>
      </c>
      <c r="D91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952520.39754989708</v>
      </c>
      <c r="E91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1000146.4174273919</v>
      </c>
      <c r="F91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1050153.7382987617</v>
      </c>
      <c r="G91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1102661.4252136999</v>
      </c>
      <c r="H91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1157794.4964743843</v>
      </c>
      <c r="I91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1215684.2212981042</v>
      </c>
      <c r="J91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1276468.4323630091</v>
      </c>
      <c r="K91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1340291.8539811596</v>
      </c>
      <c r="L91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1407306.4466802173</v>
      </c>
      <c r="M91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1477671.7690142284</v>
      </c>
      <c r="N91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1551555.3574649398</v>
      </c>
      <c r="O91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1629133.125338187</v>
      </c>
      <c r="P91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1710589.7816050961</v>
      </c>
      <c r="Q91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1796119.2706853508</v>
      </c>
      <c r="R91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1885925.2342196186</v>
      </c>
      <c r="S91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1980221.4959305997</v>
      </c>
      <c r="T91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2079232.5707271304</v>
      </c>
      <c r="U91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2183194.1992634865</v>
      </c>
      <c r="V91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2292353.9092266611</v>
      </c>
      <c r="W91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$A$33,20)*(1-Control!$B$79)</f>
        <v>18493915.590978615</v>
      </c>
    </row>
    <row r="92" spans="1:23" x14ac:dyDescent="0.3">
      <c r="A92" s="110" t="s">
        <v>581</v>
      </c>
      <c r="B92" s="110"/>
      <c r="C92" s="110"/>
      <c r="D92" s="110">
        <f>D91</f>
        <v>952520.39754989708</v>
      </c>
      <c r="E92" s="110">
        <f t="shared" ref="E92:V92" si="17">D92+E91</f>
        <v>1952666.8149772889</v>
      </c>
      <c r="F92" s="110">
        <f t="shared" si="17"/>
        <v>3002820.5532760508</v>
      </c>
      <c r="G92" s="110">
        <f t="shared" si="17"/>
        <v>4105481.978489751</v>
      </c>
      <c r="H92" s="110">
        <f t="shared" si="17"/>
        <v>5263276.4749641353</v>
      </c>
      <c r="I92" s="110">
        <f t="shared" si="17"/>
        <v>6478960.6962622395</v>
      </c>
      <c r="J92" s="110">
        <f t="shared" si="17"/>
        <v>7755429.1286252486</v>
      </c>
      <c r="K92" s="110">
        <f t="shared" si="17"/>
        <v>9095720.9826064073</v>
      </c>
      <c r="L92" s="110">
        <f t="shared" si="17"/>
        <v>10503027.429286625</v>
      </c>
      <c r="M92" s="110">
        <f t="shared" si="17"/>
        <v>11980699.198300853</v>
      </c>
      <c r="N92" s="110">
        <f t="shared" si="17"/>
        <v>13532254.555765793</v>
      </c>
      <c r="O92" s="110">
        <f t="shared" si="17"/>
        <v>15161387.68110398</v>
      </c>
      <c r="P92" s="110">
        <f t="shared" si="17"/>
        <v>16871977.462709077</v>
      </c>
      <c r="Q92" s="110">
        <f t="shared" si="17"/>
        <v>18668096.733394429</v>
      </c>
      <c r="R92" s="110">
        <f t="shared" si="17"/>
        <v>20554021.967614047</v>
      </c>
      <c r="S92" s="110">
        <f t="shared" si="17"/>
        <v>22534243.463544648</v>
      </c>
      <c r="T92" s="110">
        <f t="shared" si="17"/>
        <v>24613476.034271777</v>
      </c>
      <c r="U92" s="110">
        <f t="shared" si="17"/>
        <v>26796670.233535264</v>
      </c>
      <c r="V92" s="110">
        <f t="shared" si="17"/>
        <v>29089024.142761923</v>
      </c>
      <c r="W92" s="110"/>
    </row>
    <row r="93" spans="1:23" x14ac:dyDescent="0.3">
      <c r="A93" s="110" t="s">
        <v>582</v>
      </c>
      <c r="B93" s="110"/>
      <c r="C93" s="114">
        <f>-Control!$B$15</f>
        <v>-6400000</v>
      </c>
      <c r="D93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952520.39754989708</v>
      </c>
      <c r="E93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1000146.4174273919</v>
      </c>
      <c r="F93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1050153.7382987617</v>
      </c>
      <c r="G93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1102661.4252136999</v>
      </c>
      <c r="H93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1157794.4964743843</v>
      </c>
      <c r="I93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1215684.2212981042</v>
      </c>
      <c r="J93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1276468.4323630091</v>
      </c>
      <c r="K93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1340291.8539811596</v>
      </c>
      <c r="L93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1407306.4466802173</v>
      </c>
      <c r="M93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1477671.7690142284</v>
      </c>
      <c r="N93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1551555.3574649398</v>
      </c>
      <c r="O93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1629133.125338187</v>
      </c>
      <c r="P93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1710589.7816050961</v>
      </c>
      <c r="Q93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1796119.2706853508</v>
      </c>
      <c r="R93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1885925.2342196186</v>
      </c>
      <c r="S93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1980221.4959305997</v>
      </c>
      <c r="T93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2079232.5707271304</v>
      </c>
      <c r="U93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2183194.1992634865</v>
      </c>
      <c r="V93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2292353.9092266611</v>
      </c>
      <c r="W93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$A$34,20)*(1-Control!$B$79)</f>
        <v>25868868.500741698</v>
      </c>
    </row>
    <row r="94" spans="1:23" x14ac:dyDescent="0.3">
      <c r="A94" s="110" t="s">
        <v>583</v>
      </c>
      <c r="B94" s="110"/>
      <c r="C94" s="110"/>
      <c r="D94" s="110">
        <f>D93</f>
        <v>952520.39754989708</v>
      </c>
      <c r="E94" s="110">
        <f t="shared" ref="E94:V94" si="18">D94+E93</f>
        <v>1952666.8149772889</v>
      </c>
      <c r="F94" s="110">
        <f t="shared" si="18"/>
        <v>3002820.5532760508</v>
      </c>
      <c r="G94" s="110">
        <f t="shared" si="18"/>
        <v>4105481.978489751</v>
      </c>
      <c r="H94" s="110">
        <f t="shared" si="18"/>
        <v>5263276.4749641353</v>
      </c>
      <c r="I94" s="110">
        <f t="shared" si="18"/>
        <v>6478960.6962622395</v>
      </c>
      <c r="J94" s="110">
        <f t="shared" si="18"/>
        <v>7755429.1286252486</v>
      </c>
      <c r="K94" s="110">
        <f t="shared" si="18"/>
        <v>9095720.9826064073</v>
      </c>
      <c r="L94" s="110">
        <f t="shared" si="18"/>
        <v>10503027.429286625</v>
      </c>
      <c r="M94" s="110">
        <f t="shared" si="18"/>
        <v>11980699.198300853</v>
      </c>
      <c r="N94" s="110">
        <f t="shared" si="18"/>
        <v>13532254.555765793</v>
      </c>
      <c r="O94" s="110">
        <f t="shared" si="18"/>
        <v>15161387.68110398</v>
      </c>
      <c r="P94" s="110">
        <f t="shared" si="18"/>
        <v>16871977.462709077</v>
      </c>
      <c r="Q94" s="110">
        <f t="shared" si="18"/>
        <v>18668096.733394429</v>
      </c>
      <c r="R94" s="110">
        <f t="shared" si="18"/>
        <v>20554021.967614047</v>
      </c>
      <c r="S94" s="110">
        <f t="shared" si="18"/>
        <v>22534243.463544648</v>
      </c>
      <c r="T94" s="110">
        <f t="shared" si="18"/>
        <v>24613476.034271777</v>
      </c>
      <c r="U94" s="110">
        <f t="shared" si="18"/>
        <v>26796670.233535264</v>
      </c>
      <c r="V94" s="110">
        <f t="shared" si="18"/>
        <v>29089024.142761923</v>
      </c>
      <c r="W94" s="110"/>
    </row>
    <row r="95" spans="1:23" x14ac:dyDescent="0.3">
      <c r="A95" s="110" t="s">
        <v>584</v>
      </c>
      <c r="B95" s="110"/>
      <c r="C95" s="114">
        <f>-Control!$B$15</f>
        <v>-6400000</v>
      </c>
      <c r="D95" s="110">
        <f>Control!$B$11*((((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+(((Control!$B$20*(Control!$B$30*Control!$B$31+Control!$B$34*Control!$B$35+IF(AND(Control!$B$5&gt;0,Control!$B$6="Y",1&gt;=Control!$B$39),Control!$B$37*Control!$B$38,0)))*Control!$B$41)*(Control!$B$42+Control!$B$44)*POWER(1+Control!$B$17,0))+(Control!$B$46*POWER(1+Control!$B$17,0)))-(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$52+((Control!$B$20*(Control!$B$30*Control!$B$31+Control!$B$34*Control!$B$35+IF(AND(Control!$B$5&gt;0,Control!$B$6="Y",1&gt;=Control!$B$39),Control!$B$37*Control!$B$38,0)))*Control!$B$41)*(Control!$B$43+Control!$B$45)*POWER(1+Control!$B$18,0)+Control!$B$47*POWER(1+Control!$B$18,0)+(Control!$B$48+Control!$B$49+Control!$B$50+Control!$B$51)*12*POWER(1+Control!$B$18,0)+(((Control!$B$20*Control!$B$30)*(Control!$B$28+Control!$B$29*MAX(0,Control!$B$31-2))+(Control!$B$20*Control!$B$34)*(Control!$B$32+Control!$B$33*MAX(0,Control!$B$35-2))+IF(AND(Control!$B$5&gt;0,Control!$B$6="Y",1&gt;=Control!$B$39),(Control!$B$20*Control!$B$37)*Control!$B$36,0))*POWER(1+Control!$B$17,0))*Control!$B$26))+(((Control!$B$54*Control!$B$55+Control!$B$57*Control!$B$58*Control!$B$59*Control!$B$60)*POWER(1+Control!$B$17,0))-((Control!$B$57*Control!$B$58*Control!$B$59*Control!$B$60*POWER(1+Control!$B$17,0))*Control!$B$63+(Control!$B$64+Control!$B$65+Control!$B$66)*12*POWER(1+Control!$B$18,0)+((Control!$B$54*Control!$B$55+Control!$B$57*Control!$B$58*Control!$B$59*Control!$B$60)*POWER(1+Control!$B$17,0))*Control!$B$26))+((Control!$B$68*12*POWER(1+Control!$B$17,0))-((Control!$B$70+Control!$B$71+Control!$B$72)*12*POWER(1+Control!$B$18,0)+(Control!$B$68*12*POWER(1+Control!$B$17,0))*Control!$B$26)))*(1-Control!$B$23))-IF(AND(Control!$B$5&gt;0,Control!$B$6="Y",1=Control!$B$39-1),Control!$B$40,0))</f>
        <v>952520.39754989708</v>
      </c>
      <c r="E95" s="110">
        <f>Control!$B$11*((((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+(((Control!$B$20*(Control!$B$30*Control!$B$31+Control!$B$34*Control!$B$35+IF(AND(Control!$B$5&gt;0,Control!$B$6="Y",2&gt;=Control!$B$39),Control!$B$37*Control!$B$38,0)))*Control!$B$41)*(Control!$B$42+Control!$B$44)*POWER(1+Control!$B$17,1))+(Control!$B$46*POWER(1+Control!$B$17,1)))-(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$52+((Control!$B$20*(Control!$B$30*Control!$B$31+Control!$B$34*Control!$B$35+IF(AND(Control!$B$5&gt;0,Control!$B$6="Y",2&gt;=Control!$B$39),Control!$B$37*Control!$B$38,0)))*Control!$B$41)*(Control!$B$43+Control!$B$45)*POWER(1+Control!$B$18,1)+Control!$B$47*POWER(1+Control!$B$18,1)+(Control!$B$48+Control!$B$49+Control!$B$50+Control!$B$51)*12*POWER(1+Control!$B$18,1)+(((Control!$B$20*Control!$B$30)*(Control!$B$28+Control!$B$29*MAX(0,Control!$B$31-2))+(Control!$B$20*Control!$B$34)*(Control!$B$32+Control!$B$33*MAX(0,Control!$B$35-2))+IF(AND(Control!$B$5&gt;0,Control!$B$6="Y",2&gt;=Control!$B$39),(Control!$B$20*Control!$B$37)*Control!$B$36,0))*POWER(1+Control!$B$17,1))*Control!$B$26))+(((Control!$B$54*Control!$B$55+Control!$B$57*Control!$B$58*Control!$B$59*Control!$B$60)*POWER(1+Control!$B$17,1))-((Control!$B$57*Control!$B$58*Control!$B$59*Control!$B$60*POWER(1+Control!$B$17,1))*Control!$B$63+(Control!$B$64+Control!$B$65+Control!$B$66)*12*POWER(1+Control!$B$18,1)+((Control!$B$54*Control!$B$55+Control!$B$57*Control!$B$58*Control!$B$59*Control!$B$60)*POWER(1+Control!$B$17,1))*Control!$B$26))+((Control!$B$68*12*POWER(1+Control!$B$17,1))-((Control!$B$70+Control!$B$71+Control!$B$72)*12*POWER(1+Control!$B$18,1)+(Control!$B$68*12*POWER(1+Control!$B$17,1))*Control!$B$26)))*(1-Control!$B$23))-IF(AND(Control!$B$5&gt;0,Control!$B$6="Y",2=Control!$B$39-1),Control!$B$40,0))</f>
        <v>1000146.4174273919</v>
      </c>
      <c r="F95" s="110">
        <f>Control!$B$11*((((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+(((Control!$B$20*(Control!$B$30*Control!$B$31+Control!$B$34*Control!$B$35+IF(AND(Control!$B$5&gt;0,Control!$B$6="Y",3&gt;=Control!$B$39),Control!$B$37*Control!$B$38,0)))*Control!$B$41)*(Control!$B$42+Control!$B$44)*POWER(1+Control!$B$17,2))+(Control!$B$46*POWER(1+Control!$B$17,2)))-(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$52+((Control!$B$20*(Control!$B$30*Control!$B$31+Control!$B$34*Control!$B$35+IF(AND(Control!$B$5&gt;0,Control!$B$6="Y",3&gt;=Control!$B$39),Control!$B$37*Control!$B$38,0)))*Control!$B$41)*(Control!$B$43+Control!$B$45)*POWER(1+Control!$B$18,2)+Control!$B$47*POWER(1+Control!$B$18,2)+(Control!$B$48+Control!$B$49+Control!$B$50+Control!$B$51)*12*POWER(1+Control!$B$18,2)+(((Control!$B$20*Control!$B$30)*(Control!$B$28+Control!$B$29*MAX(0,Control!$B$31-2))+(Control!$B$20*Control!$B$34)*(Control!$B$32+Control!$B$33*MAX(0,Control!$B$35-2))+IF(AND(Control!$B$5&gt;0,Control!$B$6="Y",3&gt;=Control!$B$39),(Control!$B$20*Control!$B$37)*Control!$B$36,0))*POWER(1+Control!$B$17,2))*Control!$B$26))+(((Control!$B$54*Control!$B$55+Control!$B$57*Control!$B$58*Control!$B$59*Control!$B$60)*POWER(1+Control!$B$17,2))-((Control!$B$57*Control!$B$58*Control!$B$59*Control!$B$60*POWER(1+Control!$B$17,2))*Control!$B$63+(Control!$B$64+Control!$B$65+Control!$B$66)*12*POWER(1+Control!$B$18,2)+((Control!$B$54*Control!$B$55+Control!$B$57*Control!$B$58*Control!$B$59*Control!$B$60)*POWER(1+Control!$B$17,2))*Control!$B$26))+((Control!$B$68*12*POWER(1+Control!$B$17,2))-((Control!$B$70+Control!$B$71+Control!$B$72)*12*POWER(1+Control!$B$18,2)+(Control!$B$68*12*POWER(1+Control!$B$17,2))*Control!$B$26)))*(1-Control!$B$23))-IF(AND(Control!$B$5&gt;0,Control!$B$6="Y",3=Control!$B$39-1),Control!$B$40,0))</f>
        <v>1050153.7382987617</v>
      </c>
      <c r="G95" s="110">
        <f>Control!$B$11*((((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+(((Control!$B$20*(Control!$B$30*Control!$B$31+Control!$B$34*Control!$B$35+IF(AND(Control!$B$5&gt;0,Control!$B$6="Y",4&gt;=Control!$B$39),Control!$B$37*Control!$B$38,0)))*Control!$B$41)*(Control!$B$42+Control!$B$44)*POWER(1+Control!$B$17,3))+(Control!$B$46*POWER(1+Control!$B$17,3)))-(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$52+((Control!$B$20*(Control!$B$30*Control!$B$31+Control!$B$34*Control!$B$35+IF(AND(Control!$B$5&gt;0,Control!$B$6="Y",4&gt;=Control!$B$39),Control!$B$37*Control!$B$38,0)))*Control!$B$41)*(Control!$B$43+Control!$B$45)*POWER(1+Control!$B$18,3)+Control!$B$47*POWER(1+Control!$B$18,3)+(Control!$B$48+Control!$B$49+Control!$B$50+Control!$B$51)*12*POWER(1+Control!$B$18,3)+(((Control!$B$20*Control!$B$30)*(Control!$B$28+Control!$B$29*MAX(0,Control!$B$31-2))+(Control!$B$20*Control!$B$34)*(Control!$B$32+Control!$B$33*MAX(0,Control!$B$35-2))+IF(AND(Control!$B$5&gt;0,Control!$B$6="Y",4&gt;=Control!$B$39),(Control!$B$20*Control!$B$37)*Control!$B$36,0))*POWER(1+Control!$B$17,3))*Control!$B$26))+(((Control!$B$54*Control!$B$55+Control!$B$57*Control!$B$58*Control!$B$59*Control!$B$60)*POWER(1+Control!$B$17,3))-((Control!$B$57*Control!$B$58*Control!$B$59*Control!$B$60*POWER(1+Control!$B$17,3))*Control!$B$63+(Control!$B$64+Control!$B$65+Control!$B$66)*12*POWER(1+Control!$B$18,3)+((Control!$B$54*Control!$B$55+Control!$B$57*Control!$B$58*Control!$B$59*Control!$B$60)*POWER(1+Control!$B$17,3))*Control!$B$26))+((Control!$B$68*12*POWER(1+Control!$B$17,3))-((Control!$B$70+Control!$B$71+Control!$B$72)*12*POWER(1+Control!$B$18,3)+(Control!$B$68*12*POWER(1+Control!$B$17,3))*Control!$B$26)))*(1-Control!$B$23))-IF(AND(Control!$B$5&gt;0,Control!$B$6="Y",4=Control!$B$39-1),Control!$B$40,0))</f>
        <v>1102661.4252136999</v>
      </c>
      <c r="H95" s="110">
        <f>Control!$B$11*((((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+(((Control!$B$20*(Control!$B$30*Control!$B$31+Control!$B$34*Control!$B$35+IF(AND(Control!$B$5&gt;0,Control!$B$6="Y",5&gt;=Control!$B$39),Control!$B$37*Control!$B$38,0)))*Control!$B$41)*(Control!$B$42+Control!$B$44)*POWER(1+Control!$B$17,4))+(Control!$B$46*POWER(1+Control!$B$17,4)))-(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$52+((Control!$B$20*(Control!$B$30*Control!$B$31+Control!$B$34*Control!$B$35+IF(AND(Control!$B$5&gt;0,Control!$B$6="Y",5&gt;=Control!$B$39),Control!$B$37*Control!$B$38,0)))*Control!$B$41)*(Control!$B$43+Control!$B$45)*POWER(1+Control!$B$18,4)+Control!$B$47*POWER(1+Control!$B$18,4)+(Control!$B$48+Control!$B$49+Control!$B$50+Control!$B$51)*12*POWER(1+Control!$B$18,4)+(((Control!$B$20*Control!$B$30)*(Control!$B$28+Control!$B$29*MAX(0,Control!$B$31-2))+(Control!$B$20*Control!$B$34)*(Control!$B$32+Control!$B$33*MAX(0,Control!$B$35-2))+IF(AND(Control!$B$5&gt;0,Control!$B$6="Y",5&gt;=Control!$B$39),(Control!$B$20*Control!$B$37)*Control!$B$36,0))*POWER(1+Control!$B$17,4))*Control!$B$26))+(((Control!$B$54*Control!$B$55+Control!$B$57*Control!$B$58*Control!$B$59*Control!$B$60)*POWER(1+Control!$B$17,4))-((Control!$B$57*Control!$B$58*Control!$B$59*Control!$B$60*POWER(1+Control!$B$17,4))*Control!$B$63+(Control!$B$64+Control!$B$65+Control!$B$66)*12*POWER(1+Control!$B$18,4)+((Control!$B$54*Control!$B$55+Control!$B$57*Control!$B$58*Control!$B$59*Control!$B$60)*POWER(1+Control!$B$17,4))*Control!$B$26))+((Control!$B$68*12*POWER(1+Control!$B$17,4))-((Control!$B$70+Control!$B$71+Control!$B$72)*12*POWER(1+Control!$B$18,4)+(Control!$B$68*12*POWER(1+Control!$B$17,4))*Control!$B$26)))*(1-Control!$B$23))-IF(AND(Control!$B$5&gt;0,Control!$B$6="Y",5=Control!$B$39-1),Control!$B$40,0))</f>
        <v>1157794.4964743843</v>
      </c>
      <c r="I95" s="110">
        <f>Control!$B$11*((((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+(((Control!$B$20*(Control!$B$30*Control!$B$31+Control!$B$34*Control!$B$35+IF(AND(Control!$B$5&gt;0,Control!$B$6="Y",6&gt;=Control!$B$39),Control!$B$37*Control!$B$38,0)))*Control!$B$41)*(Control!$B$42+Control!$B$44)*POWER(1+Control!$B$17,5))+(Control!$B$46*POWER(1+Control!$B$17,5)))-(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$52+((Control!$B$20*(Control!$B$30*Control!$B$31+Control!$B$34*Control!$B$35+IF(AND(Control!$B$5&gt;0,Control!$B$6="Y",6&gt;=Control!$B$39),Control!$B$37*Control!$B$38,0)))*Control!$B$41)*(Control!$B$43+Control!$B$45)*POWER(1+Control!$B$18,5)+Control!$B$47*POWER(1+Control!$B$18,5)+(Control!$B$48+Control!$B$49+Control!$B$50+Control!$B$51)*12*POWER(1+Control!$B$18,5)+(((Control!$B$20*Control!$B$30)*(Control!$B$28+Control!$B$29*MAX(0,Control!$B$31-2))+(Control!$B$20*Control!$B$34)*(Control!$B$32+Control!$B$33*MAX(0,Control!$B$35-2))+IF(AND(Control!$B$5&gt;0,Control!$B$6="Y",6&gt;=Control!$B$39),(Control!$B$20*Control!$B$37)*Control!$B$36,0))*POWER(1+Control!$B$17,5))*Control!$B$26))+(((Control!$B$54*Control!$B$55+Control!$B$57*Control!$B$58*Control!$B$59*Control!$B$60)*POWER(1+Control!$B$17,5))-((Control!$B$57*Control!$B$58*Control!$B$59*Control!$B$60*POWER(1+Control!$B$17,5))*Control!$B$63+(Control!$B$64+Control!$B$65+Control!$B$66)*12*POWER(1+Control!$B$18,5)+((Control!$B$54*Control!$B$55+Control!$B$57*Control!$B$58*Control!$B$59*Control!$B$60)*POWER(1+Control!$B$17,5))*Control!$B$26))+((Control!$B$68*12*POWER(1+Control!$B$17,5))-((Control!$B$70+Control!$B$71+Control!$B$72)*12*POWER(1+Control!$B$18,5)+(Control!$B$68*12*POWER(1+Control!$B$17,5))*Control!$B$26)))*(1-Control!$B$23))-IF(AND(Control!$B$5&gt;0,Control!$B$6="Y",6=Control!$B$39-1),Control!$B$40,0))</f>
        <v>1215684.2212981042</v>
      </c>
      <c r="J95" s="110">
        <f>Control!$B$11*((((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+(((Control!$B$20*(Control!$B$30*Control!$B$31+Control!$B$34*Control!$B$35+IF(AND(Control!$B$5&gt;0,Control!$B$6="Y",7&gt;=Control!$B$39),Control!$B$37*Control!$B$38,0)))*Control!$B$41)*(Control!$B$42+Control!$B$44)*POWER(1+Control!$B$17,6))+(Control!$B$46*POWER(1+Control!$B$17,6)))-(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$52+((Control!$B$20*(Control!$B$30*Control!$B$31+Control!$B$34*Control!$B$35+IF(AND(Control!$B$5&gt;0,Control!$B$6="Y",7&gt;=Control!$B$39),Control!$B$37*Control!$B$38,0)))*Control!$B$41)*(Control!$B$43+Control!$B$45)*POWER(1+Control!$B$18,6)+Control!$B$47*POWER(1+Control!$B$18,6)+(Control!$B$48+Control!$B$49+Control!$B$50+Control!$B$51)*12*POWER(1+Control!$B$18,6)+(((Control!$B$20*Control!$B$30)*(Control!$B$28+Control!$B$29*MAX(0,Control!$B$31-2))+(Control!$B$20*Control!$B$34)*(Control!$B$32+Control!$B$33*MAX(0,Control!$B$35-2))+IF(AND(Control!$B$5&gt;0,Control!$B$6="Y",7&gt;=Control!$B$39),(Control!$B$20*Control!$B$37)*Control!$B$36,0))*POWER(1+Control!$B$17,6))*Control!$B$26))+(((Control!$B$54*Control!$B$55+Control!$B$57*Control!$B$58*Control!$B$59*Control!$B$60)*POWER(1+Control!$B$17,6))-((Control!$B$57*Control!$B$58*Control!$B$59*Control!$B$60*POWER(1+Control!$B$17,6))*Control!$B$63+(Control!$B$64+Control!$B$65+Control!$B$66)*12*POWER(1+Control!$B$18,6)+((Control!$B$54*Control!$B$55+Control!$B$57*Control!$B$58*Control!$B$59*Control!$B$60)*POWER(1+Control!$B$17,6))*Control!$B$26))+((Control!$B$68*12*POWER(1+Control!$B$17,6))-((Control!$B$70+Control!$B$71+Control!$B$72)*12*POWER(1+Control!$B$18,6)+(Control!$B$68*12*POWER(1+Control!$B$17,6))*Control!$B$26)))*(1-Control!$B$23))-IF(AND(Control!$B$5&gt;0,Control!$B$6="Y",7=Control!$B$39-1),Control!$B$40,0))</f>
        <v>1276468.4323630091</v>
      </c>
      <c r="K95" s="110">
        <f>Control!$B$11*((((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+(((Control!$B$20*(Control!$B$30*Control!$B$31+Control!$B$34*Control!$B$35+IF(AND(Control!$B$5&gt;0,Control!$B$6="Y",8&gt;=Control!$B$39),Control!$B$37*Control!$B$38,0)))*Control!$B$41)*(Control!$B$42+Control!$B$44)*POWER(1+Control!$B$17,7))+(Control!$B$46*POWER(1+Control!$B$17,7)))-(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$52+((Control!$B$20*(Control!$B$30*Control!$B$31+Control!$B$34*Control!$B$35+IF(AND(Control!$B$5&gt;0,Control!$B$6="Y",8&gt;=Control!$B$39),Control!$B$37*Control!$B$38,0)))*Control!$B$41)*(Control!$B$43+Control!$B$45)*POWER(1+Control!$B$18,7)+Control!$B$47*POWER(1+Control!$B$18,7)+(Control!$B$48+Control!$B$49+Control!$B$50+Control!$B$51)*12*POWER(1+Control!$B$18,7)+(((Control!$B$20*Control!$B$30)*(Control!$B$28+Control!$B$29*MAX(0,Control!$B$31-2))+(Control!$B$20*Control!$B$34)*(Control!$B$32+Control!$B$33*MAX(0,Control!$B$35-2))+IF(AND(Control!$B$5&gt;0,Control!$B$6="Y",8&gt;=Control!$B$39),(Control!$B$20*Control!$B$37)*Control!$B$36,0))*POWER(1+Control!$B$17,7))*Control!$B$26))+(((Control!$B$54*Control!$B$55+Control!$B$57*Control!$B$58*Control!$B$59*Control!$B$60)*POWER(1+Control!$B$17,7))-((Control!$B$57*Control!$B$58*Control!$B$59*Control!$B$60*POWER(1+Control!$B$17,7))*Control!$B$63+(Control!$B$64+Control!$B$65+Control!$B$66)*12*POWER(1+Control!$B$18,7)+((Control!$B$54*Control!$B$55+Control!$B$57*Control!$B$58*Control!$B$59*Control!$B$60)*POWER(1+Control!$B$17,7))*Control!$B$26))+((Control!$B$68*12*POWER(1+Control!$B$17,7))-((Control!$B$70+Control!$B$71+Control!$B$72)*12*POWER(1+Control!$B$18,7)+(Control!$B$68*12*POWER(1+Control!$B$17,7))*Control!$B$26)))*(1-Control!$B$23))-IF(AND(Control!$B$5&gt;0,Control!$B$6="Y",8=Control!$B$39-1),Control!$B$40,0))</f>
        <v>1340291.8539811596</v>
      </c>
      <c r="L95" s="110">
        <f>Control!$B$11*((((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+(((Control!$B$20*(Control!$B$30*Control!$B$31+Control!$B$34*Control!$B$35+IF(AND(Control!$B$5&gt;0,Control!$B$6="Y",9&gt;=Control!$B$39),Control!$B$37*Control!$B$38,0)))*Control!$B$41)*(Control!$B$42+Control!$B$44)*POWER(1+Control!$B$17,8))+(Control!$B$46*POWER(1+Control!$B$17,8)))-(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$52+((Control!$B$20*(Control!$B$30*Control!$B$31+Control!$B$34*Control!$B$35+IF(AND(Control!$B$5&gt;0,Control!$B$6="Y",9&gt;=Control!$B$39),Control!$B$37*Control!$B$38,0)))*Control!$B$41)*(Control!$B$43+Control!$B$45)*POWER(1+Control!$B$18,8)+Control!$B$47*POWER(1+Control!$B$18,8)+(Control!$B$48+Control!$B$49+Control!$B$50+Control!$B$51)*12*POWER(1+Control!$B$18,8)+(((Control!$B$20*Control!$B$30)*(Control!$B$28+Control!$B$29*MAX(0,Control!$B$31-2))+(Control!$B$20*Control!$B$34)*(Control!$B$32+Control!$B$33*MAX(0,Control!$B$35-2))+IF(AND(Control!$B$5&gt;0,Control!$B$6="Y",9&gt;=Control!$B$39),(Control!$B$20*Control!$B$37)*Control!$B$36,0))*POWER(1+Control!$B$17,8))*Control!$B$26))+(((Control!$B$54*Control!$B$55+Control!$B$57*Control!$B$58*Control!$B$59*Control!$B$60)*POWER(1+Control!$B$17,8))-((Control!$B$57*Control!$B$58*Control!$B$59*Control!$B$60*POWER(1+Control!$B$17,8))*Control!$B$63+(Control!$B$64+Control!$B$65+Control!$B$66)*12*POWER(1+Control!$B$18,8)+((Control!$B$54*Control!$B$55+Control!$B$57*Control!$B$58*Control!$B$59*Control!$B$60)*POWER(1+Control!$B$17,8))*Control!$B$26))+((Control!$B$68*12*POWER(1+Control!$B$17,8))-((Control!$B$70+Control!$B$71+Control!$B$72)*12*POWER(1+Control!$B$18,8)+(Control!$B$68*12*POWER(1+Control!$B$17,8))*Control!$B$26)))*(1-Control!$B$23))-IF(AND(Control!$B$5&gt;0,Control!$B$6="Y",9=Control!$B$39-1),Control!$B$40,0))</f>
        <v>1407306.4466802173</v>
      </c>
      <c r="M95" s="110">
        <f>Control!$B$11*((((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+(((Control!$B$20*(Control!$B$30*Control!$B$31+Control!$B$34*Control!$B$35+IF(AND(Control!$B$5&gt;0,Control!$B$6="Y",10&gt;=Control!$B$39),Control!$B$37*Control!$B$38,0)))*Control!$B$41)*(Control!$B$42+Control!$B$44)*POWER(1+Control!$B$17,9))+(Control!$B$46*POWER(1+Control!$B$17,9)))-(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$52+((Control!$B$20*(Control!$B$30*Control!$B$31+Control!$B$34*Control!$B$35+IF(AND(Control!$B$5&gt;0,Control!$B$6="Y",10&gt;=Control!$B$39),Control!$B$37*Control!$B$38,0)))*Control!$B$41)*(Control!$B$43+Control!$B$45)*POWER(1+Control!$B$18,9)+Control!$B$47*POWER(1+Control!$B$18,9)+(Control!$B$48+Control!$B$49+Control!$B$50+Control!$B$51)*12*POWER(1+Control!$B$18,9)+(((Control!$B$20*Control!$B$30)*(Control!$B$28+Control!$B$29*MAX(0,Control!$B$31-2))+(Control!$B$20*Control!$B$34)*(Control!$B$32+Control!$B$33*MAX(0,Control!$B$35-2))+IF(AND(Control!$B$5&gt;0,Control!$B$6="Y",10&gt;=Control!$B$39),(Control!$B$20*Control!$B$37)*Control!$B$36,0))*POWER(1+Control!$B$17,9))*Control!$B$26))+(((Control!$B$54*Control!$B$55+Control!$B$57*Control!$B$58*Control!$B$59*Control!$B$60)*POWER(1+Control!$B$17,9))-((Control!$B$57*Control!$B$58*Control!$B$59*Control!$B$60*POWER(1+Control!$B$17,9))*Control!$B$63+(Control!$B$64+Control!$B$65+Control!$B$66)*12*POWER(1+Control!$B$18,9)+((Control!$B$54*Control!$B$55+Control!$B$57*Control!$B$58*Control!$B$59*Control!$B$60)*POWER(1+Control!$B$17,9))*Control!$B$26))+((Control!$B$68*12*POWER(1+Control!$B$17,9))-((Control!$B$70+Control!$B$71+Control!$B$72)*12*POWER(1+Control!$B$18,9)+(Control!$B$68*12*POWER(1+Control!$B$17,9))*Control!$B$26)))*(1-Control!$B$23))-IF(AND(Control!$B$5&gt;0,Control!$B$6="Y",10=Control!$B$39-1),Control!$B$40,0))</f>
        <v>1477671.7690142284</v>
      </c>
      <c r="N95" s="110">
        <f>Control!$B$11*((((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+(((Control!$B$20*(Control!$B$30*Control!$B$31+Control!$B$34*Control!$B$35+IF(AND(Control!$B$5&gt;0,Control!$B$6="Y",11&gt;=Control!$B$39),Control!$B$37*Control!$B$38,0)))*Control!$B$41)*(Control!$B$42+Control!$B$44)*POWER(1+Control!$B$17,10))+(Control!$B$46*POWER(1+Control!$B$17,10)))-(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$52+((Control!$B$20*(Control!$B$30*Control!$B$31+Control!$B$34*Control!$B$35+IF(AND(Control!$B$5&gt;0,Control!$B$6="Y",11&gt;=Control!$B$39),Control!$B$37*Control!$B$38,0)))*Control!$B$41)*(Control!$B$43+Control!$B$45)*POWER(1+Control!$B$18,10)+Control!$B$47*POWER(1+Control!$B$18,10)+(Control!$B$48+Control!$B$49+Control!$B$50+Control!$B$51)*12*POWER(1+Control!$B$18,10)+(((Control!$B$20*Control!$B$30)*(Control!$B$28+Control!$B$29*MAX(0,Control!$B$31-2))+(Control!$B$20*Control!$B$34)*(Control!$B$32+Control!$B$33*MAX(0,Control!$B$35-2))+IF(AND(Control!$B$5&gt;0,Control!$B$6="Y",11&gt;=Control!$B$39),(Control!$B$20*Control!$B$37)*Control!$B$36,0))*POWER(1+Control!$B$17,10))*Control!$B$26))+(((Control!$B$54*Control!$B$55+Control!$B$57*Control!$B$58*Control!$B$59*Control!$B$60)*POWER(1+Control!$B$17,10))-((Control!$B$57*Control!$B$58*Control!$B$59*Control!$B$60*POWER(1+Control!$B$17,10))*Control!$B$63+(Control!$B$64+Control!$B$65+Control!$B$66)*12*POWER(1+Control!$B$18,10)+((Control!$B$54*Control!$B$55+Control!$B$57*Control!$B$58*Control!$B$59*Control!$B$60)*POWER(1+Control!$B$17,10))*Control!$B$26))+((Control!$B$68*12*POWER(1+Control!$B$17,10))-((Control!$B$70+Control!$B$71+Control!$B$72)*12*POWER(1+Control!$B$18,10)+(Control!$B$68*12*POWER(1+Control!$B$17,10))*Control!$B$26)))*(1-Control!$B$23))-IF(AND(Control!$B$5&gt;0,Control!$B$6="Y",11=Control!$B$39-1),Control!$B$40,0))</f>
        <v>1551555.3574649398</v>
      </c>
      <c r="O95" s="110">
        <f>Control!$B$11*((((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+(((Control!$B$20*(Control!$B$30*Control!$B$31+Control!$B$34*Control!$B$35+IF(AND(Control!$B$5&gt;0,Control!$B$6="Y",12&gt;=Control!$B$39),Control!$B$37*Control!$B$38,0)))*Control!$B$41)*(Control!$B$42+Control!$B$44)*POWER(1+Control!$B$17,11))+(Control!$B$46*POWER(1+Control!$B$17,11)))-(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$52+((Control!$B$20*(Control!$B$30*Control!$B$31+Control!$B$34*Control!$B$35+IF(AND(Control!$B$5&gt;0,Control!$B$6="Y",12&gt;=Control!$B$39),Control!$B$37*Control!$B$38,0)))*Control!$B$41)*(Control!$B$43+Control!$B$45)*POWER(1+Control!$B$18,11)+Control!$B$47*POWER(1+Control!$B$18,11)+(Control!$B$48+Control!$B$49+Control!$B$50+Control!$B$51)*12*POWER(1+Control!$B$18,11)+(((Control!$B$20*Control!$B$30)*(Control!$B$28+Control!$B$29*MAX(0,Control!$B$31-2))+(Control!$B$20*Control!$B$34)*(Control!$B$32+Control!$B$33*MAX(0,Control!$B$35-2))+IF(AND(Control!$B$5&gt;0,Control!$B$6="Y",12&gt;=Control!$B$39),(Control!$B$20*Control!$B$37)*Control!$B$36,0))*POWER(1+Control!$B$17,11))*Control!$B$26))+(((Control!$B$54*Control!$B$55+Control!$B$57*Control!$B$58*Control!$B$59*Control!$B$60)*POWER(1+Control!$B$17,11))-((Control!$B$57*Control!$B$58*Control!$B$59*Control!$B$60*POWER(1+Control!$B$17,11))*Control!$B$63+(Control!$B$64+Control!$B$65+Control!$B$66)*12*POWER(1+Control!$B$18,11)+((Control!$B$54*Control!$B$55+Control!$B$57*Control!$B$58*Control!$B$59*Control!$B$60)*POWER(1+Control!$B$17,11))*Control!$B$26))+((Control!$B$68*12*POWER(1+Control!$B$17,11))-((Control!$B$70+Control!$B$71+Control!$B$72)*12*POWER(1+Control!$B$18,11)+(Control!$B$68*12*POWER(1+Control!$B$17,11))*Control!$B$26)))*(1-Control!$B$23))-IF(AND(Control!$B$5&gt;0,Control!$B$6="Y",12=Control!$B$39-1),Control!$B$40,0))</f>
        <v>1629133.125338187</v>
      </c>
      <c r="P95" s="110">
        <f>Control!$B$11*((((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+(((Control!$B$20*(Control!$B$30*Control!$B$31+Control!$B$34*Control!$B$35+IF(AND(Control!$B$5&gt;0,Control!$B$6="Y",13&gt;=Control!$B$39),Control!$B$37*Control!$B$38,0)))*Control!$B$41)*(Control!$B$42+Control!$B$44)*POWER(1+Control!$B$17,12))+(Control!$B$46*POWER(1+Control!$B$17,12)))-(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$52+((Control!$B$20*(Control!$B$30*Control!$B$31+Control!$B$34*Control!$B$35+IF(AND(Control!$B$5&gt;0,Control!$B$6="Y",13&gt;=Control!$B$39),Control!$B$37*Control!$B$38,0)))*Control!$B$41)*(Control!$B$43+Control!$B$45)*POWER(1+Control!$B$18,12)+Control!$B$47*POWER(1+Control!$B$18,12)+(Control!$B$48+Control!$B$49+Control!$B$50+Control!$B$51)*12*POWER(1+Control!$B$18,12)+(((Control!$B$20*Control!$B$30)*(Control!$B$28+Control!$B$29*MAX(0,Control!$B$31-2))+(Control!$B$20*Control!$B$34)*(Control!$B$32+Control!$B$33*MAX(0,Control!$B$35-2))+IF(AND(Control!$B$5&gt;0,Control!$B$6="Y",13&gt;=Control!$B$39),(Control!$B$20*Control!$B$37)*Control!$B$36,0))*POWER(1+Control!$B$17,12))*Control!$B$26))+(((Control!$B$54*Control!$B$55+Control!$B$57*Control!$B$58*Control!$B$59*Control!$B$60)*POWER(1+Control!$B$17,12))-((Control!$B$57*Control!$B$58*Control!$B$59*Control!$B$60*POWER(1+Control!$B$17,12))*Control!$B$63+(Control!$B$64+Control!$B$65+Control!$B$66)*12*POWER(1+Control!$B$18,12)+((Control!$B$54*Control!$B$55+Control!$B$57*Control!$B$58*Control!$B$59*Control!$B$60)*POWER(1+Control!$B$17,12))*Control!$B$26))+((Control!$B$68*12*POWER(1+Control!$B$17,12))-((Control!$B$70+Control!$B$71+Control!$B$72)*12*POWER(1+Control!$B$18,12)+(Control!$B$68*12*POWER(1+Control!$B$17,12))*Control!$B$26)))*(1-Control!$B$23))-IF(AND(Control!$B$5&gt;0,Control!$B$6="Y",13=Control!$B$39-1),Control!$B$40,0))</f>
        <v>1710589.7816050961</v>
      </c>
      <c r="Q95" s="110">
        <f>Control!$B$11*((((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+(((Control!$B$20*(Control!$B$30*Control!$B$31+Control!$B$34*Control!$B$35+IF(AND(Control!$B$5&gt;0,Control!$B$6="Y",14&gt;=Control!$B$39),Control!$B$37*Control!$B$38,0)))*Control!$B$41)*(Control!$B$42+Control!$B$44)*POWER(1+Control!$B$17,13))+(Control!$B$46*POWER(1+Control!$B$17,13)))-(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$52+((Control!$B$20*(Control!$B$30*Control!$B$31+Control!$B$34*Control!$B$35+IF(AND(Control!$B$5&gt;0,Control!$B$6="Y",14&gt;=Control!$B$39),Control!$B$37*Control!$B$38,0)))*Control!$B$41)*(Control!$B$43+Control!$B$45)*POWER(1+Control!$B$18,13)+Control!$B$47*POWER(1+Control!$B$18,13)+(Control!$B$48+Control!$B$49+Control!$B$50+Control!$B$51)*12*POWER(1+Control!$B$18,13)+(((Control!$B$20*Control!$B$30)*(Control!$B$28+Control!$B$29*MAX(0,Control!$B$31-2))+(Control!$B$20*Control!$B$34)*(Control!$B$32+Control!$B$33*MAX(0,Control!$B$35-2))+IF(AND(Control!$B$5&gt;0,Control!$B$6="Y",14&gt;=Control!$B$39),(Control!$B$20*Control!$B$37)*Control!$B$36,0))*POWER(1+Control!$B$17,13))*Control!$B$26))+(((Control!$B$54*Control!$B$55+Control!$B$57*Control!$B$58*Control!$B$59*Control!$B$60)*POWER(1+Control!$B$17,13))-((Control!$B$57*Control!$B$58*Control!$B$59*Control!$B$60*POWER(1+Control!$B$17,13))*Control!$B$63+(Control!$B$64+Control!$B$65+Control!$B$66)*12*POWER(1+Control!$B$18,13)+((Control!$B$54*Control!$B$55+Control!$B$57*Control!$B$58*Control!$B$59*Control!$B$60)*POWER(1+Control!$B$17,13))*Control!$B$26))+((Control!$B$68*12*POWER(1+Control!$B$17,13))-((Control!$B$70+Control!$B$71+Control!$B$72)*12*POWER(1+Control!$B$18,13)+(Control!$B$68*12*POWER(1+Control!$B$17,13))*Control!$B$26)))*(1-Control!$B$23))-IF(AND(Control!$B$5&gt;0,Control!$B$6="Y",14=Control!$B$39-1),Control!$B$40,0))</f>
        <v>1796119.2706853508</v>
      </c>
      <c r="R95" s="110">
        <f>Control!$B$11*((((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+(((Control!$B$20*(Control!$B$30*Control!$B$31+Control!$B$34*Control!$B$35+IF(AND(Control!$B$5&gt;0,Control!$B$6="Y",15&gt;=Control!$B$39),Control!$B$37*Control!$B$38,0)))*Control!$B$41)*(Control!$B$42+Control!$B$44)*POWER(1+Control!$B$17,14))+(Control!$B$46*POWER(1+Control!$B$17,14)))-(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$52+((Control!$B$20*(Control!$B$30*Control!$B$31+Control!$B$34*Control!$B$35+IF(AND(Control!$B$5&gt;0,Control!$B$6="Y",15&gt;=Control!$B$39),Control!$B$37*Control!$B$38,0)))*Control!$B$41)*(Control!$B$43+Control!$B$45)*POWER(1+Control!$B$18,14)+Control!$B$47*POWER(1+Control!$B$18,14)+(Control!$B$48+Control!$B$49+Control!$B$50+Control!$B$51)*12*POWER(1+Control!$B$18,14)+(((Control!$B$20*Control!$B$30)*(Control!$B$28+Control!$B$29*MAX(0,Control!$B$31-2))+(Control!$B$20*Control!$B$34)*(Control!$B$32+Control!$B$33*MAX(0,Control!$B$35-2))+IF(AND(Control!$B$5&gt;0,Control!$B$6="Y",15&gt;=Control!$B$39),(Control!$B$20*Control!$B$37)*Control!$B$36,0))*POWER(1+Control!$B$17,14))*Control!$B$26))+(((Control!$B$54*Control!$B$55+Control!$B$57*Control!$B$58*Control!$B$59*Control!$B$60)*POWER(1+Control!$B$17,14))-((Control!$B$57*Control!$B$58*Control!$B$59*Control!$B$60*POWER(1+Control!$B$17,14))*Control!$B$63+(Control!$B$64+Control!$B$65+Control!$B$66)*12*POWER(1+Control!$B$18,14)+((Control!$B$54*Control!$B$55+Control!$B$57*Control!$B$58*Control!$B$59*Control!$B$60)*POWER(1+Control!$B$17,14))*Control!$B$26))+((Control!$B$68*12*POWER(1+Control!$B$17,14))-((Control!$B$70+Control!$B$71+Control!$B$72)*12*POWER(1+Control!$B$18,14)+(Control!$B$68*12*POWER(1+Control!$B$17,14))*Control!$B$26)))*(1-Control!$B$23))-IF(AND(Control!$B$5&gt;0,Control!$B$6="Y",15=Control!$B$39-1),Control!$B$40,0))</f>
        <v>1885925.2342196186</v>
      </c>
      <c r="S95" s="110">
        <f>Control!$B$11*((((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+(((Control!$B$20*(Control!$B$30*Control!$B$31+Control!$B$34*Control!$B$35+IF(AND(Control!$B$5&gt;0,Control!$B$6="Y",16&gt;=Control!$B$39),Control!$B$37*Control!$B$38,0)))*Control!$B$41)*(Control!$B$42+Control!$B$44)*POWER(1+Control!$B$17,15))+(Control!$B$46*POWER(1+Control!$B$17,15)))-(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$52+((Control!$B$20*(Control!$B$30*Control!$B$31+Control!$B$34*Control!$B$35+IF(AND(Control!$B$5&gt;0,Control!$B$6="Y",16&gt;=Control!$B$39),Control!$B$37*Control!$B$38,0)))*Control!$B$41)*(Control!$B$43+Control!$B$45)*POWER(1+Control!$B$18,15)+Control!$B$47*POWER(1+Control!$B$18,15)+(Control!$B$48+Control!$B$49+Control!$B$50+Control!$B$51)*12*POWER(1+Control!$B$18,15)+(((Control!$B$20*Control!$B$30)*(Control!$B$28+Control!$B$29*MAX(0,Control!$B$31-2))+(Control!$B$20*Control!$B$34)*(Control!$B$32+Control!$B$33*MAX(0,Control!$B$35-2))+IF(AND(Control!$B$5&gt;0,Control!$B$6="Y",16&gt;=Control!$B$39),(Control!$B$20*Control!$B$37)*Control!$B$36,0))*POWER(1+Control!$B$17,15))*Control!$B$26))+(((Control!$B$54*Control!$B$55+Control!$B$57*Control!$B$58*Control!$B$59*Control!$B$60)*POWER(1+Control!$B$17,15))-((Control!$B$57*Control!$B$58*Control!$B$59*Control!$B$60*POWER(1+Control!$B$17,15))*Control!$B$63+(Control!$B$64+Control!$B$65+Control!$B$66)*12*POWER(1+Control!$B$18,15)+((Control!$B$54*Control!$B$55+Control!$B$57*Control!$B$58*Control!$B$59*Control!$B$60)*POWER(1+Control!$B$17,15))*Control!$B$26))+((Control!$B$68*12*POWER(1+Control!$B$17,15))-((Control!$B$70+Control!$B$71+Control!$B$72)*12*POWER(1+Control!$B$18,15)+(Control!$B$68*12*POWER(1+Control!$B$17,15))*Control!$B$26)))*(1-Control!$B$23))-IF(AND(Control!$B$5&gt;0,Control!$B$6="Y",16=Control!$B$39-1),Control!$B$40,0))</f>
        <v>1980221.4959305997</v>
      </c>
      <c r="T95" s="110">
        <f>Control!$B$11*((((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+(((Control!$B$20*(Control!$B$30*Control!$B$31+Control!$B$34*Control!$B$35+IF(AND(Control!$B$5&gt;0,Control!$B$6="Y",17&gt;=Control!$B$39),Control!$B$37*Control!$B$38,0)))*Control!$B$41)*(Control!$B$42+Control!$B$44)*POWER(1+Control!$B$17,16))+(Control!$B$46*POWER(1+Control!$B$17,16)))-(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$52+((Control!$B$20*(Control!$B$30*Control!$B$31+Control!$B$34*Control!$B$35+IF(AND(Control!$B$5&gt;0,Control!$B$6="Y",17&gt;=Control!$B$39),Control!$B$37*Control!$B$38,0)))*Control!$B$41)*(Control!$B$43+Control!$B$45)*POWER(1+Control!$B$18,16)+Control!$B$47*POWER(1+Control!$B$18,16)+(Control!$B$48+Control!$B$49+Control!$B$50+Control!$B$51)*12*POWER(1+Control!$B$18,16)+(((Control!$B$20*Control!$B$30)*(Control!$B$28+Control!$B$29*MAX(0,Control!$B$31-2))+(Control!$B$20*Control!$B$34)*(Control!$B$32+Control!$B$33*MAX(0,Control!$B$35-2))+IF(AND(Control!$B$5&gt;0,Control!$B$6="Y",17&gt;=Control!$B$39),(Control!$B$20*Control!$B$37)*Control!$B$36,0))*POWER(1+Control!$B$17,16))*Control!$B$26))+(((Control!$B$54*Control!$B$55+Control!$B$57*Control!$B$58*Control!$B$59*Control!$B$60)*POWER(1+Control!$B$17,16))-((Control!$B$57*Control!$B$58*Control!$B$59*Control!$B$60*POWER(1+Control!$B$17,16))*Control!$B$63+(Control!$B$64+Control!$B$65+Control!$B$66)*12*POWER(1+Control!$B$18,16)+((Control!$B$54*Control!$B$55+Control!$B$57*Control!$B$58*Control!$B$59*Control!$B$60)*POWER(1+Control!$B$17,16))*Control!$B$26))+((Control!$B$68*12*POWER(1+Control!$B$17,16))-((Control!$B$70+Control!$B$71+Control!$B$72)*12*POWER(1+Control!$B$18,16)+(Control!$B$68*12*POWER(1+Control!$B$17,16))*Control!$B$26)))*(1-Control!$B$23))-IF(AND(Control!$B$5&gt;0,Control!$B$6="Y",17=Control!$B$39-1),Control!$B$40,0))</f>
        <v>2079232.5707271304</v>
      </c>
      <c r="U95" s="110">
        <f>Control!$B$11*((((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+(((Control!$B$20*(Control!$B$30*Control!$B$31+Control!$B$34*Control!$B$35+IF(AND(Control!$B$5&gt;0,Control!$B$6="Y",18&gt;=Control!$B$39),Control!$B$37*Control!$B$38,0)))*Control!$B$41)*(Control!$B$42+Control!$B$44)*POWER(1+Control!$B$17,17))+(Control!$B$46*POWER(1+Control!$B$17,17)))-(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$52+((Control!$B$20*(Control!$B$30*Control!$B$31+Control!$B$34*Control!$B$35+IF(AND(Control!$B$5&gt;0,Control!$B$6="Y",18&gt;=Control!$B$39),Control!$B$37*Control!$B$38,0)))*Control!$B$41)*(Control!$B$43+Control!$B$45)*POWER(1+Control!$B$18,17)+Control!$B$47*POWER(1+Control!$B$18,17)+(Control!$B$48+Control!$B$49+Control!$B$50+Control!$B$51)*12*POWER(1+Control!$B$18,17)+(((Control!$B$20*Control!$B$30)*(Control!$B$28+Control!$B$29*MAX(0,Control!$B$31-2))+(Control!$B$20*Control!$B$34)*(Control!$B$32+Control!$B$33*MAX(0,Control!$B$35-2))+IF(AND(Control!$B$5&gt;0,Control!$B$6="Y",18&gt;=Control!$B$39),(Control!$B$20*Control!$B$37)*Control!$B$36,0))*POWER(1+Control!$B$17,17))*Control!$B$26))+(((Control!$B$54*Control!$B$55+Control!$B$57*Control!$B$58*Control!$B$59*Control!$B$60)*POWER(1+Control!$B$17,17))-((Control!$B$57*Control!$B$58*Control!$B$59*Control!$B$60*POWER(1+Control!$B$17,17))*Control!$B$63+(Control!$B$64+Control!$B$65+Control!$B$66)*12*POWER(1+Control!$B$18,17)+((Control!$B$54*Control!$B$55+Control!$B$57*Control!$B$58*Control!$B$59*Control!$B$60)*POWER(1+Control!$B$17,17))*Control!$B$26))+((Control!$B$68*12*POWER(1+Control!$B$17,17))-((Control!$B$70+Control!$B$71+Control!$B$72)*12*POWER(1+Control!$B$18,17)+(Control!$B$68*12*POWER(1+Control!$B$17,17))*Control!$B$26)))*(1-Control!$B$23))-IF(AND(Control!$B$5&gt;0,Control!$B$6="Y",18=Control!$B$39-1),Control!$B$40,0))</f>
        <v>2183194.1992634865</v>
      </c>
      <c r="V95" s="110">
        <f>Control!$B$11*((((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+(((Control!$B$20*(Control!$B$30*Control!$B$31+Control!$B$34*Control!$B$35+IF(AND(Control!$B$5&gt;0,Control!$B$6="Y",19&gt;=Control!$B$39),Control!$B$37*Control!$B$38,0)))*Control!$B$41)*(Control!$B$42+Control!$B$44)*POWER(1+Control!$B$17,18))+(Control!$B$46*POWER(1+Control!$B$17,18)))-(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$52+((Control!$B$20*(Control!$B$30*Control!$B$31+Control!$B$34*Control!$B$35+IF(AND(Control!$B$5&gt;0,Control!$B$6="Y",19&gt;=Control!$B$39),Control!$B$37*Control!$B$38,0)))*Control!$B$41)*(Control!$B$43+Control!$B$45)*POWER(1+Control!$B$18,18)+Control!$B$47*POWER(1+Control!$B$18,18)+(Control!$B$48+Control!$B$49+Control!$B$50+Control!$B$51)*12*POWER(1+Control!$B$18,18)+(((Control!$B$20*Control!$B$30)*(Control!$B$28+Control!$B$29*MAX(0,Control!$B$31-2))+(Control!$B$20*Control!$B$34)*(Control!$B$32+Control!$B$33*MAX(0,Control!$B$35-2))+IF(AND(Control!$B$5&gt;0,Control!$B$6="Y",19&gt;=Control!$B$39),(Control!$B$20*Control!$B$37)*Control!$B$36,0))*POWER(1+Control!$B$17,18))*Control!$B$26))+(((Control!$B$54*Control!$B$55+Control!$B$57*Control!$B$58*Control!$B$59*Control!$B$60)*POWER(1+Control!$B$17,18))-((Control!$B$57*Control!$B$58*Control!$B$59*Control!$B$60*POWER(1+Control!$B$17,18))*Control!$B$63+(Control!$B$64+Control!$B$65+Control!$B$66)*12*POWER(1+Control!$B$18,18)+((Control!$B$54*Control!$B$55+Control!$B$57*Control!$B$58*Control!$B$59*Control!$B$60)*POWER(1+Control!$B$17,18))*Control!$B$26))+((Control!$B$68*12*POWER(1+Control!$B$17,18))-((Control!$B$70+Control!$B$71+Control!$B$72)*12*POWER(1+Control!$B$18,18)+(Control!$B$68*12*POWER(1+Control!$B$17,18))*Control!$B$26)))*(1-Control!$B$23))-IF(AND(Control!$B$5&gt;0,Control!$B$6="Y",19=Control!$B$39-1),Control!$B$40,0))</f>
        <v>2292353.9092266611</v>
      </c>
      <c r="W95" s="110">
        <f>Control!$B$11*((((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+(((Control!$B$20*(Control!$B$30*Control!$B$31+Control!$B$34*Control!$B$35+IF(AND(Control!$B$5&gt;0,Control!$B$6="Y",20&gt;=Control!$B$39),Control!$B$37*Control!$B$38,0)))*Control!$B$41)*(Control!$B$42+Control!$B$44)*POWER(1+Control!$B$17,19))+(Control!$B$46*POWER(1+Control!$B$17,19)))-(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$52+((Control!$B$20*(Control!$B$30*Control!$B$31+Control!$B$34*Control!$B$35+IF(AND(Control!$B$5&gt;0,Control!$B$6="Y",20&gt;=Control!$B$39),Control!$B$37*Control!$B$38,0)))*Control!$B$41)*(Control!$B$43+Control!$B$45)*POWER(1+Control!$B$18,19)+Control!$B$47*POWER(1+Control!$B$18,19)+(Control!$B$48+Control!$B$49+Control!$B$50+Control!$B$51)*12*POWER(1+Control!$B$18,19)+(((Control!$B$20*Control!$B$30)*(Control!$B$28+Control!$B$29*MAX(0,Control!$B$31-2))+(Control!$B$20*Control!$B$34)*(Control!$B$32+Control!$B$33*MAX(0,Control!$B$35-2))+IF(AND(Control!$B$5&gt;0,Control!$B$6="Y",20&gt;=Control!$B$39),(Control!$B$20*Control!$B$37)*Control!$B$36,0))*POWER(1+Control!$B$17,19))*Control!$B$26))+(((Control!$B$54*Control!$B$55+Control!$B$57*Control!$B$58*Control!$B$59*Control!$B$60)*POWER(1+Control!$B$17,19))-((Control!$B$57*Control!$B$58*Control!$B$59*Control!$B$60*POWER(1+Control!$B$17,19))*Control!$B$63+(Control!$B$64+Control!$B$65+Control!$B$66)*12*POWER(1+Control!$B$18,19)+((Control!$B$54*Control!$B$55+Control!$B$57*Control!$B$58*Control!$B$59*Control!$B$60)*POWER(1+Control!$B$17,19))*Control!$B$26))+((Control!$B$68*12*POWER(1+Control!$B$17,19))-((Control!$B$70+Control!$B$71+Control!$B$72)*12*POWER(1+Control!$B$18,19)+(Control!$B$68*12*POWER(1+Control!$B$17,19))*Control!$B$26)))*(1-Control!$B$23))-IF(AND(Control!$B$5&gt;0,Control!$B$6="Y",20=Control!$B$39-1),Control!$B$40,0))+Valuation!$F$10*POWER(1+$A$35,20)*(1-Control!$B$79)</f>
        <v>36386514.089727812</v>
      </c>
    </row>
    <row r="96" spans="1:23" x14ac:dyDescent="0.3">
      <c r="A96" s="110" t="s">
        <v>585</v>
      </c>
      <c r="B96" s="110"/>
      <c r="C96" s="110"/>
      <c r="D96" s="110">
        <f>D95</f>
        <v>952520.39754989708</v>
      </c>
      <c r="E96" s="110">
        <f t="shared" ref="E96:V96" si="19">D96+E95</f>
        <v>1952666.8149772889</v>
      </c>
      <c r="F96" s="110">
        <f t="shared" si="19"/>
        <v>3002820.5532760508</v>
      </c>
      <c r="G96" s="110">
        <f t="shared" si="19"/>
        <v>4105481.978489751</v>
      </c>
      <c r="H96" s="110">
        <f t="shared" si="19"/>
        <v>5263276.4749641353</v>
      </c>
      <c r="I96" s="110">
        <f t="shared" si="19"/>
        <v>6478960.6962622395</v>
      </c>
      <c r="J96" s="110">
        <f t="shared" si="19"/>
        <v>7755429.1286252486</v>
      </c>
      <c r="K96" s="110">
        <f t="shared" si="19"/>
        <v>9095720.9826064073</v>
      </c>
      <c r="L96" s="110">
        <f t="shared" si="19"/>
        <v>10503027.429286625</v>
      </c>
      <c r="M96" s="110">
        <f t="shared" si="19"/>
        <v>11980699.198300853</v>
      </c>
      <c r="N96" s="110">
        <f t="shared" si="19"/>
        <v>13532254.555765793</v>
      </c>
      <c r="O96" s="110">
        <f t="shared" si="19"/>
        <v>15161387.68110398</v>
      </c>
      <c r="P96" s="110">
        <f t="shared" si="19"/>
        <v>16871977.462709077</v>
      </c>
      <c r="Q96" s="110">
        <f t="shared" si="19"/>
        <v>18668096.733394429</v>
      </c>
      <c r="R96" s="110">
        <f t="shared" si="19"/>
        <v>20554021.967614047</v>
      </c>
      <c r="S96" s="110">
        <f t="shared" si="19"/>
        <v>22534243.463544648</v>
      </c>
      <c r="T96" s="110">
        <f t="shared" si="19"/>
        <v>24613476.034271777</v>
      </c>
      <c r="U96" s="110">
        <f t="shared" si="19"/>
        <v>26796670.233535264</v>
      </c>
      <c r="V96" s="110">
        <f t="shared" si="19"/>
        <v>29089024.142761923</v>
      </c>
      <c r="W96" s="110"/>
    </row>
  </sheetData>
  <mergeCells count="9">
    <mergeCell ref="B42:D42"/>
    <mergeCell ref="A4:E4"/>
    <mergeCell ref="B45:D45"/>
    <mergeCell ref="A2:E2"/>
    <mergeCell ref="B46:D46"/>
    <mergeCell ref="B41:D41"/>
    <mergeCell ref="B40:D40"/>
    <mergeCell ref="B44:D44"/>
    <mergeCell ref="B43:D4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4E79"/>
  </sheetPr>
  <dimension ref="A1:D23"/>
  <sheetViews>
    <sheetView workbookViewId="0">
      <selection activeCell="D4" sqref="D4"/>
    </sheetView>
  </sheetViews>
  <sheetFormatPr defaultRowHeight="14.4" x14ac:dyDescent="0.3"/>
  <cols>
    <col min="1" max="1" width="65.5546875" bestFit="1" customWidth="1"/>
    <col min="2" max="2" width="76.44140625" style="79" bestFit="1" customWidth="1"/>
    <col min="3" max="3" width="10.5546875" bestFit="1" customWidth="1"/>
    <col min="4" max="4" width="40.77734375" bestFit="1" customWidth="1"/>
  </cols>
  <sheetData>
    <row r="1" spans="1:4" x14ac:dyDescent="0.3">
      <c r="A1" s="133" t="s">
        <v>586</v>
      </c>
      <c r="B1" s="134"/>
      <c r="C1" s="110"/>
      <c r="D1" s="110"/>
    </row>
    <row r="2" spans="1:4" x14ac:dyDescent="0.3">
      <c r="A2" s="110" t="s">
        <v>587</v>
      </c>
      <c r="B2" s="134"/>
      <c r="C2" s="110"/>
      <c r="D2" s="110"/>
    </row>
    <row r="3" spans="1:4" x14ac:dyDescent="0.3">
      <c r="A3" s="110"/>
      <c r="B3" s="134"/>
      <c r="C3" s="110"/>
      <c r="D3" s="110"/>
    </row>
    <row r="4" spans="1:4" x14ac:dyDescent="0.3">
      <c r="A4" s="135" t="s">
        <v>25</v>
      </c>
      <c r="B4" s="135"/>
      <c r="C4" s="136" t="s">
        <v>75</v>
      </c>
      <c r="D4" s="135" t="s">
        <v>588</v>
      </c>
    </row>
    <row r="5" spans="1:4" x14ac:dyDescent="0.3">
      <c r="A5" s="110" t="s">
        <v>132</v>
      </c>
      <c r="B5" s="134"/>
      <c r="C5" s="137">
        <f>Control!$B$15</f>
        <v>6400000</v>
      </c>
      <c r="D5" s="110" t="s">
        <v>589</v>
      </c>
    </row>
    <row r="6" spans="1:4" x14ac:dyDescent="0.3">
      <c r="A6" s="110" t="s">
        <v>108</v>
      </c>
      <c r="B6" s="134"/>
      <c r="C6" s="137">
        <f>Valuation!$F$10</f>
        <v>6450000</v>
      </c>
      <c r="D6" s="110" t="s">
        <v>109</v>
      </c>
    </row>
    <row r="7" spans="1:4" x14ac:dyDescent="0.3">
      <c r="A7" s="110" t="s">
        <v>590</v>
      </c>
      <c r="B7" s="134"/>
      <c r="C7" s="138">
        <f>C6/C5-1</f>
        <v>7.8125E-3</v>
      </c>
      <c r="D7" s="110" t="s">
        <v>591</v>
      </c>
    </row>
    <row r="8" spans="1:4" x14ac:dyDescent="0.3">
      <c r="A8" s="110" t="s">
        <v>139</v>
      </c>
      <c r="B8" s="134"/>
      <c r="C8" s="137">
        <f>'Portfolio NewCo'!B16</f>
        <v>952520.39754989708</v>
      </c>
      <c r="D8" s="110" t="s">
        <v>592</v>
      </c>
    </row>
    <row r="9" spans="1:4" x14ac:dyDescent="0.3">
      <c r="A9" s="110" t="s">
        <v>142</v>
      </c>
      <c r="B9" s="134"/>
      <c r="C9" s="138">
        <f>'INV - Investor KPIs'!C9</f>
        <v>0.14883131211717143</v>
      </c>
      <c r="D9" s="110" t="s">
        <v>593</v>
      </c>
    </row>
    <row r="10" spans="1:4" x14ac:dyDescent="0.3">
      <c r="A10" s="110" t="s">
        <v>594</v>
      </c>
      <c r="B10" s="134"/>
      <c r="C10" s="139">
        <f t="array" ref="C10">MATCH(TRUE,'INV - Investor KPIs'!$C$7:$V$7&gt;=Control!$B$15,0)</f>
        <v>6</v>
      </c>
      <c r="D10" s="110" t="s">
        <v>595</v>
      </c>
    </row>
    <row r="11" spans="1:4" x14ac:dyDescent="0.3">
      <c r="A11" s="110" t="s">
        <v>596</v>
      </c>
      <c r="B11" s="134"/>
      <c r="C11" s="140">
        <f>'INV - Investor KPIs'!C19</f>
        <v>0.82238694921314603</v>
      </c>
      <c r="D11" s="110" t="s">
        <v>597</v>
      </c>
    </row>
    <row r="12" spans="1:4" x14ac:dyDescent="0.3">
      <c r="A12" s="110" t="s">
        <v>598</v>
      </c>
      <c r="B12" s="134"/>
      <c r="C12" s="138">
        <f>'INV - Investor KPIs'!C18</f>
        <v>0.1903614437955532</v>
      </c>
      <c r="D12" s="110" t="s">
        <v>599</v>
      </c>
    </row>
    <row r="13" spans="1:4" x14ac:dyDescent="0.3">
      <c r="A13" s="110" t="s">
        <v>600</v>
      </c>
      <c r="B13" s="134"/>
      <c r="C13" s="140">
        <f>'INV - Investor KPIs'!D20</f>
        <v>3.4151073938207004</v>
      </c>
      <c r="D13" s="110" t="s">
        <v>601</v>
      </c>
    </row>
    <row r="14" spans="1:4" x14ac:dyDescent="0.3">
      <c r="A14" s="150" t="s">
        <v>602</v>
      </c>
      <c r="B14" s="160" t="s">
        <v>603</v>
      </c>
      <c r="C14" s="161" t="s">
        <v>492</v>
      </c>
      <c r="D14" s="160" t="s">
        <v>604</v>
      </c>
    </row>
    <row r="15" spans="1:4" x14ac:dyDescent="0.3">
      <c r="A15" s="110" t="s">
        <v>486</v>
      </c>
      <c r="B15" s="162">
        <f>'INV - Investor KPIs'!C18</f>
        <v>0.1903614437955532</v>
      </c>
      <c r="C15" s="163">
        <f>'INV - Investor KPIs'!C20</f>
        <v>2.0314643106877552</v>
      </c>
      <c r="D15" s="164">
        <f>'INV - Investor KPIs'!G12</f>
        <v>13001371.588401634</v>
      </c>
    </row>
    <row r="16" spans="1:4" x14ac:dyDescent="0.3">
      <c r="A16" s="110" t="s">
        <v>487</v>
      </c>
      <c r="B16" s="162">
        <f>'INV - Investor KPIs'!D18</f>
        <v>0.19595827526478482</v>
      </c>
      <c r="C16" s="163">
        <f>'INV - Investor KPIs'!D20</f>
        <v>3.4151073938207004</v>
      </c>
      <c r="D16" s="164">
        <f>'INV - Investor KPIs'!L12</f>
        <v>21856687.320452482</v>
      </c>
    </row>
    <row r="17" spans="1:4" x14ac:dyDescent="0.3">
      <c r="A17" s="110" t="s">
        <v>488</v>
      </c>
      <c r="B17" s="162">
        <f>'INV - Investor KPIs'!E18</f>
        <v>0.19757585701617097</v>
      </c>
      <c r="C17" s="163">
        <f>'INV - Investor KPIs'!E20</f>
        <v>5.1810255499039322</v>
      </c>
      <c r="D17" s="164">
        <f>'INV - Investor KPIs'!Q12</f>
        <v>33158563.519385166</v>
      </c>
    </row>
    <row r="18" spans="1:4" x14ac:dyDescent="0.3">
      <c r="A18" s="110" t="s">
        <v>489</v>
      </c>
      <c r="B18" s="162">
        <f>'INV - Investor KPIs'!F18</f>
        <v>0.19823224759730951</v>
      </c>
      <c r="C18" s="163">
        <f>'INV - Investor KPIs'!F20</f>
        <v>7.4348343333969593</v>
      </c>
      <c r="D18" s="164">
        <f>'INV - Investor KPIs'!V12</f>
        <v>47582939.733740538</v>
      </c>
    </row>
    <row r="19" spans="1:4" x14ac:dyDescent="0.3">
      <c r="A19" s="133" t="s">
        <v>605</v>
      </c>
      <c r="B19" s="134"/>
      <c r="C19" s="110"/>
      <c r="D19" s="110"/>
    </row>
    <row r="20" spans="1:4" x14ac:dyDescent="0.3">
      <c r="A20" s="141">
        <v>1</v>
      </c>
      <c r="B20" s="134" t="s">
        <v>606</v>
      </c>
      <c r="C20" s="110"/>
      <c r="D20" s="110"/>
    </row>
    <row r="21" spans="1:4" x14ac:dyDescent="0.3">
      <c r="A21" s="141">
        <v>2</v>
      </c>
      <c r="B21" s="134" t="s">
        <v>607</v>
      </c>
      <c r="C21" s="110"/>
      <c r="D21" s="110"/>
    </row>
    <row r="22" spans="1:4" x14ac:dyDescent="0.3">
      <c r="A22" s="141">
        <v>3</v>
      </c>
      <c r="B22" s="134" t="s">
        <v>608</v>
      </c>
      <c r="C22" s="110"/>
      <c r="D22" s="110"/>
    </row>
    <row r="23" spans="1:4" x14ac:dyDescent="0.3">
      <c r="A23" s="141">
        <v>4</v>
      </c>
      <c r="B23" s="134" t="s">
        <v>609</v>
      </c>
      <c r="C23" s="110"/>
      <c r="D23" s="1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55A11"/>
  </sheetPr>
  <dimension ref="A1:W19"/>
  <sheetViews>
    <sheetView workbookViewId="0">
      <selection activeCell="C8" sqref="C8"/>
    </sheetView>
  </sheetViews>
  <sheetFormatPr defaultRowHeight="14.4" x14ac:dyDescent="0.3"/>
  <cols>
    <col min="1" max="1" width="71.77734375" bestFit="1" customWidth="1"/>
    <col min="2" max="2" width="4.88671875" bestFit="1" customWidth="1"/>
    <col min="3" max="15" width="9.88671875" bestFit="1" customWidth="1"/>
    <col min="16" max="23" width="10.88671875" bestFit="1" customWidth="1"/>
  </cols>
  <sheetData>
    <row r="1" spans="1:23" ht="18" customHeight="1" x14ac:dyDescent="0.35">
      <c r="A1" s="1" t="s">
        <v>610</v>
      </c>
    </row>
    <row r="2" spans="1:23" ht="41.4" customHeight="1" x14ac:dyDescent="0.3">
      <c r="A2" s="401" t="s">
        <v>611</v>
      </c>
      <c r="B2" s="392"/>
      <c r="C2" s="392"/>
      <c r="D2" s="392"/>
      <c r="E2" s="392"/>
      <c r="F2" s="392"/>
      <c r="G2" s="392"/>
      <c r="H2" s="392"/>
      <c r="I2" s="392"/>
    </row>
    <row r="3" spans="1:23" x14ac:dyDescent="0.3">
      <c r="A3" t="s">
        <v>612</v>
      </c>
      <c r="B3" s="17">
        <f>Control!$B$83</f>
        <v>0.09</v>
      </c>
    </row>
    <row r="4" spans="1:23" x14ac:dyDescent="0.3">
      <c r="A4" s="2" t="s">
        <v>247</v>
      </c>
      <c r="C4" s="6">
        <v>0</v>
      </c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6">
        <v>12</v>
      </c>
      <c r="P4" s="6">
        <v>13</v>
      </c>
      <c r="Q4" s="6">
        <v>14</v>
      </c>
      <c r="R4" s="6">
        <v>15</v>
      </c>
      <c r="S4" s="6">
        <v>16</v>
      </c>
      <c r="T4" s="6">
        <v>17</v>
      </c>
      <c r="U4" s="6">
        <v>18</v>
      </c>
      <c r="V4" s="6">
        <v>19</v>
      </c>
      <c r="W4" s="6">
        <v>20</v>
      </c>
    </row>
    <row r="6" spans="1:23" x14ac:dyDescent="0.3">
      <c r="A6" t="s">
        <v>613</v>
      </c>
      <c r="C6" s="8">
        <f>Valuation!$F$9</f>
        <v>12900000</v>
      </c>
      <c r="D6" s="8">
        <f t="shared" ref="D6:W6" si="0">C16</f>
        <v>12900000</v>
      </c>
      <c r="E6" s="8">
        <f t="shared" si="0"/>
        <v>15189750</v>
      </c>
      <c r="F6" s="8">
        <f t="shared" si="0"/>
        <v>17885930.625</v>
      </c>
      <c r="G6" s="8">
        <f t="shared" si="0"/>
        <v>21060683.310937498</v>
      </c>
      <c r="H6" s="8">
        <f t="shared" si="0"/>
        <v>24798954.598628905</v>
      </c>
      <c r="I6" s="8">
        <f t="shared" si="0"/>
        <v>29200769.039885536</v>
      </c>
      <c r="J6" s="8">
        <f t="shared" si="0"/>
        <v>34383905.544465221</v>
      </c>
      <c r="K6" s="8">
        <f t="shared" si="0"/>
        <v>40487048.778607793</v>
      </c>
      <c r="L6" s="8">
        <f t="shared" si="0"/>
        <v>47673499.93681068</v>
      </c>
      <c r="M6" s="8">
        <f t="shared" si="0"/>
        <v>56135546.175594576</v>
      </c>
      <c r="N6" s="8">
        <f t="shared" si="0"/>
        <v>66099605.621762618</v>
      </c>
      <c r="O6" s="8">
        <f t="shared" si="0"/>
        <v>77832285.619625479</v>
      </c>
      <c r="P6" s="8">
        <f t="shared" si="0"/>
        <v>91647516.317109004</v>
      </c>
      <c r="Q6" s="8">
        <f t="shared" si="0"/>
        <v>107914950.46339583</v>
      </c>
      <c r="R6" s="8">
        <f t="shared" si="0"/>
        <v>127069854.17064859</v>
      </c>
      <c r="S6" s="8">
        <f t="shared" si="0"/>
        <v>149624753.28593871</v>
      </c>
      <c r="T6" s="8">
        <f t="shared" si="0"/>
        <v>176183146.99419281</v>
      </c>
      <c r="U6" s="8">
        <f t="shared" si="0"/>
        <v>207455655.58566201</v>
      </c>
      <c r="V6" s="8">
        <f t="shared" si="0"/>
        <v>244279034.45211703</v>
      </c>
      <c r="W6" s="8">
        <f t="shared" si="0"/>
        <v>287638563.06736779</v>
      </c>
    </row>
    <row r="7" spans="1:23" x14ac:dyDescent="0.3">
      <c r="A7" t="s">
        <v>614</v>
      </c>
      <c r="C7" s="8">
        <f>C6*Control!$B$81</f>
        <v>7740000</v>
      </c>
      <c r="D7" s="8">
        <f>D6*Control!$B$81</f>
        <v>7740000</v>
      </c>
      <c r="E7" s="8">
        <f>E6*Control!$B$81</f>
        <v>9113850</v>
      </c>
      <c r="F7" s="8">
        <f>F6*Control!$B$81</f>
        <v>10731558.375</v>
      </c>
      <c r="G7" s="8">
        <f>G6*Control!$B$81</f>
        <v>12636409.986562498</v>
      </c>
      <c r="H7" s="8">
        <f>H6*Control!$B$81</f>
        <v>14879372.759177342</v>
      </c>
      <c r="I7" s="8">
        <f>I6*Control!$B$81</f>
        <v>17520461.423931319</v>
      </c>
      <c r="J7" s="8">
        <f>J6*Control!$B$81</f>
        <v>20630343.326679133</v>
      </c>
      <c r="K7" s="8">
        <f>K6*Control!$B$81</f>
        <v>24292229.267164674</v>
      </c>
      <c r="L7" s="8">
        <f>L6*Control!$B$81</f>
        <v>28604099.962086406</v>
      </c>
      <c r="M7" s="8">
        <f>M6*Control!$B$81</f>
        <v>33681327.705356747</v>
      </c>
      <c r="N7" s="8">
        <f>N6*Control!$B$81</f>
        <v>39659763.373057567</v>
      </c>
      <c r="O7" s="8">
        <f>O6*Control!$B$81</f>
        <v>46699371.371775284</v>
      </c>
      <c r="P7" s="8">
        <f>P6*Control!$B$81</f>
        <v>54988509.790265404</v>
      </c>
      <c r="Q7" s="8">
        <f>Q6*Control!$B$81</f>
        <v>64748970.278037496</v>
      </c>
      <c r="R7" s="8">
        <f>R6*Control!$B$81</f>
        <v>76241912.502389148</v>
      </c>
      <c r="S7" s="8">
        <f>S6*Control!$B$81</f>
        <v>89774851.97156322</v>
      </c>
      <c r="T7" s="8">
        <f>T6*Control!$B$81</f>
        <v>105709888.19651568</v>
      </c>
      <c r="U7" s="8">
        <f>U6*Control!$B$81</f>
        <v>124473393.3513972</v>
      </c>
      <c r="V7" s="8">
        <f>V6*Control!$B$81</f>
        <v>146567420.67127022</v>
      </c>
      <c r="W7" s="8">
        <f>W6*Control!$B$81</f>
        <v>172583137.84042066</v>
      </c>
    </row>
    <row r="8" spans="1:23" x14ac:dyDescent="0.3">
      <c r="A8" t="s">
        <v>615</v>
      </c>
      <c r="C8" s="8">
        <f t="shared" ref="C8:W8" si="1">C6-C7</f>
        <v>5160000</v>
      </c>
      <c r="D8" s="8">
        <f t="shared" si="1"/>
        <v>5160000</v>
      </c>
      <c r="E8" s="8">
        <f t="shared" si="1"/>
        <v>6075900</v>
      </c>
      <c r="F8" s="8">
        <f t="shared" si="1"/>
        <v>7154372.25</v>
      </c>
      <c r="G8" s="8">
        <f t="shared" si="1"/>
        <v>8424273.3243749999</v>
      </c>
      <c r="H8" s="8">
        <f t="shared" si="1"/>
        <v>9919581.8394515626</v>
      </c>
      <c r="I8" s="8">
        <f t="shared" si="1"/>
        <v>11680307.615954217</v>
      </c>
      <c r="J8" s="8">
        <f t="shared" si="1"/>
        <v>13753562.217786089</v>
      </c>
      <c r="K8" s="8">
        <f t="shared" si="1"/>
        <v>16194819.511443119</v>
      </c>
      <c r="L8" s="8">
        <f t="shared" si="1"/>
        <v>19069399.974724274</v>
      </c>
      <c r="M8" s="8">
        <f t="shared" si="1"/>
        <v>22454218.470237829</v>
      </c>
      <c r="N8" s="8">
        <f t="shared" si="1"/>
        <v>26439842.248705052</v>
      </c>
      <c r="O8" s="8">
        <f t="shared" si="1"/>
        <v>31132914.247850195</v>
      </c>
      <c r="P8" s="8">
        <f t="shared" si="1"/>
        <v>36659006.5268436</v>
      </c>
      <c r="Q8" s="8">
        <f t="shared" si="1"/>
        <v>43165980.185358338</v>
      </c>
      <c r="R8" s="8">
        <f t="shared" si="1"/>
        <v>50827941.668259442</v>
      </c>
      <c r="S8" s="8">
        <f t="shared" si="1"/>
        <v>59849901.31437549</v>
      </c>
      <c r="T8" s="8">
        <f t="shared" si="1"/>
        <v>70473258.79767713</v>
      </c>
      <c r="U8" s="8">
        <f t="shared" si="1"/>
        <v>82982262.234264806</v>
      </c>
      <c r="V8" s="8">
        <f t="shared" si="1"/>
        <v>97711613.780846804</v>
      </c>
      <c r="W8" s="8">
        <f t="shared" si="1"/>
        <v>115055425.22694713</v>
      </c>
    </row>
    <row r="9" spans="1:23" x14ac:dyDescent="0.3">
      <c r="A9" t="s">
        <v>616</v>
      </c>
      <c r="C9" s="8">
        <f>0</f>
        <v>0</v>
      </c>
      <c r="D9" s="8">
        <f>D6*'Leverage &amp; Growth'!$B$3</f>
        <v>1161000</v>
      </c>
      <c r="E9" s="8">
        <f>E6*'Leverage &amp; Growth'!$B$3</f>
        <v>1367077.5</v>
      </c>
      <c r="F9" s="8">
        <f>F6*'Leverage &amp; Growth'!$B$3</f>
        <v>1609733.7562499999</v>
      </c>
      <c r="G9" s="8">
        <f>G6*'Leverage &amp; Growth'!$B$3</f>
        <v>1895461.4979843746</v>
      </c>
      <c r="H9" s="8">
        <f>H6*'Leverage &amp; Growth'!$B$3</f>
        <v>2231905.9138766015</v>
      </c>
      <c r="I9" s="8">
        <f>I6*'Leverage &amp; Growth'!$B$3</f>
        <v>2628069.2135896981</v>
      </c>
      <c r="J9" s="8">
        <f>J6*'Leverage &amp; Growth'!$B$3</f>
        <v>3094551.4990018699</v>
      </c>
      <c r="K9" s="8">
        <f>K6*'Leverage &amp; Growth'!$B$3</f>
        <v>3643834.390074701</v>
      </c>
      <c r="L9" s="8">
        <f>L6*'Leverage &amp; Growth'!$B$3</f>
        <v>4290614.9943129607</v>
      </c>
      <c r="M9" s="8">
        <f>M6*'Leverage &amp; Growth'!$B$3</f>
        <v>5052199.1558035119</v>
      </c>
      <c r="N9" s="8">
        <f>N6*'Leverage &amp; Growth'!$B$3</f>
        <v>5948964.5059586354</v>
      </c>
      <c r="O9" s="8">
        <f>O6*'Leverage &amp; Growth'!$B$3</f>
        <v>7004905.7057662932</v>
      </c>
      <c r="P9" s="8">
        <f>P6*'Leverage &amp; Growth'!$B$3</f>
        <v>8248276.4685398098</v>
      </c>
      <c r="Q9" s="8">
        <f>Q6*'Leverage &amp; Growth'!$B$3</f>
        <v>9712345.5417056251</v>
      </c>
      <c r="R9" s="8">
        <f>R6*'Leverage &amp; Growth'!$B$3</f>
        <v>11436286.875358373</v>
      </c>
      <c r="S9" s="8">
        <f>S6*'Leverage &amp; Growth'!$B$3</f>
        <v>13466227.795734484</v>
      </c>
      <c r="T9" s="8">
        <f>T6*'Leverage &amp; Growth'!$B$3</f>
        <v>15856483.229477352</v>
      </c>
      <c r="U9" s="8">
        <f>U6*'Leverage &amp; Growth'!$B$3</f>
        <v>18671009.002709579</v>
      </c>
      <c r="V9" s="8">
        <f>V6*'Leverage &amp; Growth'!$B$3</f>
        <v>21985113.100690532</v>
      </c>
      <c r="W9" s="8">
        <f>W6*'Leverage &amp; Growth'!$B$3</f>
        <v>25887470.676063102</v>
      </c>
    </row>
    <row r="10" spans="1:23" x14ac:dyDescent="0.3">
      <c r="A10" t="s">
        <v>617</v>
      </c>
      <c r="C10" s="8">
        <f>0</f>
        <v>0</v>
      </c>
      <c r="D10" s="8">
        <f>D7*Control!$B$82</f>
        <v>890100</v>
      </c>
      <c r="E10" s="8">
        <f>E7*Control!$B$82</f>
        <v>1048092.75</v>
      </c>
      <c r="F10" s="8">
        <f>F7*Control!$B$82</f>
        <v>1234129.213125</v>
      </c>
      <c r="G10" s="8">
        <f>G7*Control!$B$82</f>
        <v>1453187.1484546873</v>
      </c>
      <c r="H10" s="8">
        <f>H7*Control!$B$82</f>
        <v>1711127.8673053945</v>
      </c>
      <c r="I10" s="8">
        <f>I7*Control!$B$82</f>
        <v>2014853.0637521017</v>
      </c>
      <c r="J10" s="8">
        <f>J7*Control!$B$82</f>
        <v>2372489.4825681006</v>
      </c>
      <c r="K10" s="8">
        <f>K7*Control!$B$82</f>
        <v>2793606.3657239377</v>
      </c>
      <c r="L10" s="8">
        <f>L7*Control!$B$82</f>
        <v>3289471.495639937</v>
      </c>
      <c r="M10" s="8">
        <f>M7*Control!$B$82</f>
        <v>3873352.6861160262</v>
      </c>
      <c r="N10" s="8">
        <f>N7*Control!$B$82</f>
        <v>4560872.7879016204</v>
      </c>
      <c r="O10" s="8">
        <f>O7*Control!$B$82</f>
        <v>5370427.7077541575</v>
      </c>
      <c r="P10" s="8">
        <f>P7*Control!$B$82</f>
        <v>6323678.6258805217</v>
      </c>
      <c r="Q10" s="8">
        <f>Q7*Control!$B$82</f>
        <v>7446131.5819743127</v>
      </c>
      <c r="R10" s="8">
        <f>R7*Control!$B$82</f>
        <v>8767819.9377747532</v>
      </c>
      <c r="S10" s="8">
        <f>S7*Control!$B$82</f>
        <v>10324107.976729771</v>
      </c>
      <c r="T10" s="8">
        <f>T7*Control!$B$82</f>
        <v>12156637.142599303</v>
      </c>
      <c r="U10" s="8">
        <f>U7*Control!$B$82</f>
        <v>14314440.235410679</v>
      </c>
      <c r="V10" s="8">
        <f>V7*Control!$B$82</f>
        <v>16855253.377196077</v>
      </c>
      <c r="W10" s="8">
        <f>W7*Control!$B$82</f>
        <v>19847060.851648375</v>
      </c>
    </row>
    <row r="11" spans="1:23" x14ac:dyDescent="0.3">
      <c r="A11" t="s">
        <v>618</v>
      </c>
      <c r="C11" s="8">
        <f t="shared" ref="C11:W11" si="2">C9-C10</f>
        <v>0</v>
      </c>
      <c r="D11" s="8">
        <f t="shared" si="2"/>
        <v>270900</v>
      </c>
      <c r="E11" s="8">
        <f t="shared" si="2"/>
        <v>318984.75</v>
      </c>
      <c r="F11" s="8">
        <f t="shared" si="2"/>
        <v>375604.54312499985</v>
      </c>
      <c r="G11" s="8">
        <f t="shared" si="2"/>
        <v>442274.34952968732</v>
      </c>
      <c r="H11" s="8">
        <f t="shared" si="2"/>
        <v>520778.046571207</v>
      </c>
      <c r="I11" s="8">
        <f t="shared" si="2"/>
        <v>613216.14983759634</v>
      </c>
      <c r="J11" s="8">
        <f t="shared" si="2"/>
        <v>722062.01643376937</v>
      </c>
      <c r="K11" s="8">
        <f t="shared" si="2"/>
        <v>850228.0243507633</v>
      </c>
      <c r="L11" s="8">
        <f t="shared" si="2"/>
        <v>1001143.4986730237</v>
      </c>
      <c r="M11" s="8">
        <f t="shared" si="2"/>
        <v>1178846.4696874856</v>
      </c>
      <c r="N11" s="8">
        <f t="shared" si="2"/>
        <v>1388091.718057015</v>
      </c>
      <c r="O11" s="8">
        <f t="shared" si="2"/>
        <v>1634477.9980121357</v>
      </c>
      <c r="P11" s="8">
        <f t="shared" si="2"/>
        <v>1924597.8426592881</v>
      </c>
      <c r="Q11" s="8">
        <f t="shared" si="2"/>
        <v>2266213.9597313125</v>
      </c>
      <c r="R11" s="8">
        <f t="shared" si="2"/>
        <v>2668466.9375836197</v>
      </c>
      <c r="S11" s="8">
        <f t="shared" si="2"/>
        <v>3142119.8190047126</v>
      </c>
      <c r="T11" s="8">
        <f t="shared" si="2"/>
        <v>3699846.0868780483</v>
      </c>
      <c r="U11" s="8">
        <f t="shared" si="2"/>
        <v>4356568.7672988996</v>
      </c>
      <c r="V11" s="8">
        <f t="shared" si="2"/>
        <v>5129859.7234944552</v>
      </c>
      <c r="W11" s="8">
        <f t="shared" si="2"/>
        <v>6040409.8244147263</v>
      </c>
    </row>
    <row r="12" spans="1:23" x14ac:dyDescent="0.3">
      <c r="A12" t="s">
        <v>619</v>
      </c>
      <c r="C12" s="8">
        <f>0</f>
        <v>0</v>
      </c>
      <c r="D12" s="8">
        <f>D6*Control!$B$84</f>
        <v>645000</v>
      </c>
      <c r="E12" s="8">
        <f>E6*Control!$B$84</f>
        <v>759487.5</v>
      </c>
      <c r="F12" s="8">
        <f>F6*Control!$B$84</f>
        <v>894296.53125</v>
      </c>
      <c r="G12" s="8">
        <f>G6*Control!$B$84</f>
        <v>1053034.165546875</v>
      </c>
      <c r="H12" s="8">
        <f>H6*Control!$B$84</f>
        <v>1239947.7299314453</v>
      </c>
      <c r="I12" s="8">
        <f>I6*Control!$B$84</f>
        <v>1460038.4519942768</v>
      </c>
      <c r="J12" s="8">
        <f>J6*Control!$B$84</f>
        <v>1719195.2772232611</v>
      </c>
      <c r="K12" s="8">
        <f>K6*Control!$B$84</f>
        <v>2024352.4389303897</v>
      </c>
      <c r="L12" s="8">
        <f>L6*Control!$B$84</f>
        <v>2383674.9968405343</v>
      </c>
      <c r="M12" s="8">
        <f>M6*Control!$B$84</f>
        <v>2806777.3087797291</v>
      </c>
      <c r="N12" s="8">
        <f>N6*Control!$B$84</f>
        <v>3304980.281088131</v>
      </c>
      <c r="O12" s="8">
        <f>O6*Control!$B$84</f>
        <v>3891614.2809812743</v>
      </c>
      <c r="P12" s="8">
        <f>P6*Control!$B$84</f>
        <v>4582375.81585545</v>
      </c>
      <c r="Q12" s="8">
        <f>Q6*Control!$B$84</f>
        <v>5395747.5231697923</v>
      </c>
      <c r="R12" s="8">
        <f>R6*Control!$B$84</f>
        <v>6353492.7085324302</v>
      </c>
      <c r="S12" s="8">
        <f>S6*Control!$B$84</f>
        <v>7481237.6642969362</v>
      </c>
      <c r="T12" s="8">
        <f>T6*Control!$B$84</f>
        <v>8809157.3497096412</v>
      </c>
      <c r="U12" s="8">
        <f>U6*Control!$B$84</f>
        <v>10372782.779283101</v>
      </c>
      <c r="V12" s="8">
        <f>V6*Control!$B$84</f>
        <v>12213951.722605852</v>
      </c>
      <c r="W12" s="8">
        <f>W6*Control!$B$84</f>
        <v>14381928.153368391</v>
      </c>
    </row>
    <row r="13" spans="1:23" x14ac:dyDescent="0.3">
      <c r="A13" t="s">
        <v>620</v>
      </c>
      <c r="C13" s="8">
        <f>C12*Control!$B$81</f>
        <v>0</v>
      </c>
      <c r="D13" s="8">
        <f>D12*Control!$B$81</f>
        <v>387000</v>
      </c>
      <c r="E13" s="8">
        <f>E12*Control!$B$81</f>
        <v>455692.5</v>
      </c>
      <c r="F13" s="8">
        <f>F12*Control!$B$81</f>
        <v>536577.91874999995</v>
      </c>
      <c r="G13" s="8">
        <f>G12*Control!$B$81</f>
        <v>631820.49932812492</v>
      </c>
      <c r="H13" s="8">
        <f>H12*Control!$B$81</f>
        <v>743968.63795886713</v>
      </c>
      <c r="I13" s="8">
        <f>I12*Control!$B$81</f>
        <v>876023.0711965661</v>
      </c>
      <c r="J13" s="8">
        <f>J12*Control!$B$81</f>
        <v>1031517.1663339566</v>
      </c>
      <c r="K13" s="8">
        <f>K12*Control!$B$81</f>
        <v>1214611.4633582337</v>
      </c>
      <c r="L13" s="8">
        <f>L12*Control!$B$81</f>
        <v>1430204.9981043206</v>
      </c>
      <c r="M13" s="8">
        <f>M12*Control!$B$81</f>
        <v>1684066.3852678374</v>
      </c>
      <c r="N13" s="8">
        <f>N12*Control!$B$81</f>
        <v>1982988.1686528786</v>
      </c>
      <c r="O13" s="8">
        <f>O12*Control!$B$81</f>
        <v>2334968.5685887644</v>
      </c>
      <c r="P13" s="8">
        <f>P12*Control!$B$81</f>
        <v>2749425.4895132701</v>
      </c>
      <c r="Q13" s="8">
        <f>Q12*Control!$B$81</f>
        <v>3237448.5139018754</v>
      </c>
      <c r="R13" s="8">
        <f>R12*Control!$B$81</f>
        <v>3812095.625119458</v>
      </c>
      <c r="S13" s="8">
        <f>S12*Control!$B$81</f>
        <v>4488742.5985781616</v>
      </c>
      <c r="T13" s="8">
        <f>T12*Control!$B$81</f>
        <v>5285494.4098257842</v>
      </c>
      <c r="U13" s="8">
        <f>U12*Control!$B$81</f>
        <v>6223669.6675698599</v>
      </c>
      <c r="V13" s="8">
        <f>V12*Control!$B$81</f>
        <v>7328371.0335635114</v>
      </c>
      <c r="W13" s="8">
        <f>W12*Control!$B$81</f>
        <v>8629156.8920210339</v>
      </c>
    </row>
    <row r="14" spans="1:23" x14ac:dyDescent="0.3">
      <c r="A14" t="s">
        <v>621</v>
      </c>
      <c r="C14" s="8">
        <f>0</f>
        <v>0</v>
      </c>
      <c r="D14" s="8">
        <f>MAX(D11,0)*Control!$B$85+D13</f>
        <v>657900</v>
      </c>
      <c r="E14" s="8">
        <f>MAX(E11,0)*Control!$B$85+E13</f>
        <v>774677.25</v>
      </c>
      <c r="F14" s="8">
        <f>MAX(F11,0)*Control!$B$85+F13</f>
        <v>912182.4618749998</v>
      </c>
      <c r="G14" s="8">
        <f>MAX(G11,0)*Control!$B$85+G13</f>
        <v>1074094.8488578121</v>
      </c>
      <c r="H14" s="8">
        <f>MAX(H11,0)*Control!$B$85+H13</f>
        <v>1264746.6845300742</v>
      </c>
      <c r="I14" s="8">
        <f>MAX(I11,0)*Control!$B$85+I13</f>
        <v>1489239.2210341624</v>
      </c>
      <c r="J14" s="8">
        <f>MAX(J11,0)*Control!$B$85+J13</f>
        <v>1753579.182767726</v>
      </c>
      <c r="K14" s="8">
        <f>MAX(K11,0)*Control!$B$85+K13</f>
        <v>2064839.487708997</v>
      </c>
      <c r="L14" s="8">
        <f>MAX(L11,0)*Control!$B$85+L13</f>
        <v>2431348.4967773445</v>
      </c>
      <c r="M14" s="8">
        <f>MAX(M11,0)*Control!$B$85+M13</f>
        <v>2862912.854955323</v>
      </c>
      <c r="N14" s="8">
        <f>MAX(N11,0)*Control!$B$85+N13</f>
        <v>3371079.8867098936</v>
      </c>
      <c r="O14" s="8">
        <f>MAX(O11,0)*Control!$B$85+O13</f>
        <v>3969446.5666009001</v>
      </c>
      <c r="P14" s="8">
        <f>MAX(P11,0)*Control!$B$85+P13</f>
        <v>4674023.3321725577</v>
      </c>
      <c r="Q14" s="8">
        <f>MAX(Q11,0)*Control!$B$85+Q13</f>
        <v>5503662.4736331878</v>
      </c>
      <c r="R14" s="8">
        <f>MAX(R11,0)*Control!$B$85+R13</f>
        <v>6480562.5627030777</v>
      </c>
      <c r="S14" s="8">
        <f>MAX(S11,0)*Control!$B$85+S13</f>
        <v>7630862.4175828742</v>
      </c>
      <c r="T14" s="8">
        <f>MAX(T11,0)*Control!$B$85+T13</f>
        <v>8985340.4967038333</v>
      </c>
      <c r="U14" s="8">
        <f>MAX(U11,0)*Control!$B$85+U13</f>
        <v>10580238.43486876</v>
      </c>
      <c r="V14" s="8">
        <f>MAX(V11,0)*Control!$B$85+V13</f>
        <v>12458230.757057967</v>
      </c>
      <c r="W14" s="8">
        <f>MAX(W11,0)*Control!$B$85+W13</f>
        <v>14669566.71643576</v>
      </c>
    </row>
    <row r="15" spans="1:23" x14ac:dyDescent="0.3">
      <c r="A15" t="s">
        <v>622</v>
      </c>
      <c r="C15" s="8">
        <f>0</f>
        <v>0</v>
      </c>
      <c r="D15" s="8">
        <f>D14/(1-Control!$B$81)</f>
        <v>1644750</v>
      </c>
      <c r="E15" s="8">
        <f>E14/(1-Control!$B$81)</f>
        <v>1936693.125</v>
      </c>
      <c r="F15" s="8">
        <f>F14/(1-Control!$B$81)</f>
        <v>2280456.1546874992</v>
      </c>
      <c r="G15" s="8">
        <f>G14/(1-Control!$B$81)</f>
        <v>2685237.1221445301</v>
      </c>
      <c r="H15" s="8">
        <f>H14/(1-Control!$B$81)</f>
        <v>3161866.7113251854</v>
      </c>
      <c r="I15" s="8">
        <f>I14/(1-Control!$B$81)</f>
        <v>3723098.0525854058</v>
      </c>
      <c r="J15" s="8">
        <f>J14/(1-Control!$B$81)</f>
        <v>4383947.9569193143</v>
      </c>
      <c r="K15" s="8">
        <f>K14/(1-Control!$B$81)</f>
        <v>5162098.7192724925</v>
      </c>
      <c r="L15" s="8">
        <f>L14/(1-Control!$B$81)</f>
        <v>6078371.2419433612</v>
      </c>
      <c r="M15" s="8">
        <f>M14/(1-Control!$B$81)</f>
        <v>7157282.1373883076</v>
      </c>
      <c r="N15" s="8">
        <f>N14/(1-Control!$B$81)</f>
        <v>8427699.7167747337</v>
      </c>
      <c r="O15" s="8">
        <f>O14/(1-Control!$B$81)</f>
        <v>9923616.4165022504</v>
      </c>
      <c r="P15" s="8">
        <f>P14/(1-Control!$B$81)</f>
        <v>11685058.330431394</v>
      </c>
      <c r="Q15" s="8">
        <f>Q14/(1-Control!$B$81)</f>
        <v>13759156.184082968</v>
      </c>
      <c r="R15" s="8">
        <f>R14/(1-Control!$B$81)</f>
        <v>16201406.406757694</v>
      </c>
      <c r="S15" s="8">
        <f>S14/(1-Control!$B$81)</f>
        <v>19077156.043957185</v>
      </c>
      <c r="T15" s="8">
        <f>T14/(1-Control!$B$81)</f>
        <v>22463351.241759583</v>
      </c>
      <c r="U15" s="8">
        <f>U14/(1-Control!$B$81)</f>
        <v>26450596.087171901</v>
      </c>
      <c r="V15" s="8">
        <f>V14/(1-Control!$B$81)</f>
        <v>31145576.892644916</v>
      </c>
      <c r="W15" s="8">
        <f>W14/(1-Control!$B$81)</f>
        <v>36673916.791089401</v>
      </c>
    </row>
    <row r="16" spans="1:23" x14ac:dyDescent="0.3">
      <c r="A16" s="11" t="s">
        <v>623</v>
      </c>
      <c r="C16" s="12">
        <f>Valuation!$F$9</f>
        <v>12900000</v>
      </c>
      <c r="D16" s="12">
        <f t="shared" ref="D16:W16" si="3">D6+D12+D15</f>
        <v>15189750</v>
      </c>
      <c r="E16" s="12">
        <f t="shared" si="3"/>
        <v>17885930.625</v>
      </c>
      <c r="F16" s="12">
        <f t="shared" si="3"/>
        <v>21060683.310937498</v>
      </c>
      <c r="G16" s="12">
        <f t="shared" si="3"/>
        <v>24798954.598628905</v>
      </c>
      <c r="H16" s="12">
        <f t="shared" si="3"/>
        <v>29200769.039885536</v>
      </c>
      <c r="I16" s="12">
        <f t="shared" si="3"/>
        <v>34383905.544465221</v>
      </c>
      <c r="J16" s="12">
        <f t="shared" si="3"/>
        <v>40487048.778607793</v>
      </c>
      <c r="K16" s="12">
        <f t="shared" si="3"/>
        <v>47673499.93681068</v>
      </c>
      <c r="L16" s="12">
        <f t="shared" si="3"/>
        <v>56135546.175594576</v>
      </c>
      <c r="M16" s="12">
        <f t="shared" si="3"/>
        <v>66099605.621762618</v>
      </c>
      <c r="N16" s="12">
        <f t="shared" si="3"/>
        <v>77832285.619625479</v>
      </c>
      <c r="O16" s="12">
        <f t="shared" si="3"/>
        <v>91647516.317109004</v>
      </c>
      <c r="P16" s="12">
        <f t="shared" si="3"/>
        <v>107914950.46339583</v>
      </c>
      <c r="Q16" s="12">
        <f t="shared" si="3"/>
        <v>127069854.17064859</v>
      </c>
      <c r="R16" s="12">
        <f t="shared" si="3"/>
        <v>149624753.28593871</v>
      </c>
      <c r="S16" s="12">
        <f t="shared" si="3"/>
        <v>176183146.99419281</v>
      </c>
      <c r="T16" s="12">
        <f t="shared" si="3"/>
        <v>207455655.58566201</v>
      </c>
      <c r="U16" s="12">
        <f t="shared" si="3"/>
        <v>244279034.45211703</v>
      </c>
      <c r="V16" s="12">
        <f t="shared" si="3"/>
        <v>287638563.06736779</v>
      </c>
      <c r="W16" s="12">
        <f t="shared" si="3"/>
        <v>338694408.01182562</v>
      </c>
    </row>
    <row r="17" spans="1:23" x14ac:dyDescent="0.3">
      <c r="A17" s="2" t="s">
        <v>624</v>
      </c>
      <c r="C17" s="5">
        <f>C16*(1-Control!$B$81)</f>
        <v>5160000</v>
      </c>
      <c r="D17" s="5">
        <f>D16*(1-Control!$B$81)</f>
        <v>6075900</v>
      </c>
      <c r="E17" s="5">
        <f>E16*(1-Control!$B$81)</f>
        <v>7154372.25</v>
      </c>
      <c r="F17" s="5">
        <f>F16*(1-Control!$B$81)</f>
        <v>8424273.3243749999</v>
      </c>
      <c r="G17" s="5">
        <f>G16*(1-Control!$B$81)</f>
        <v>9919581.8394515626</v>
      </c>
      <c r="H17" s="5">
        <f>H16*(1-Control!$B$81)</f>
        <v>11680307.615954215</v>
      </c>
      <c r="I17" s="5">
        <f>I16*(1-Control!$B$81)</f>
        <v>13753562.217786089</v>
      </c>
      <c r="J17" s="5">
        <f>J16*(1-Control!$B$81)</f>
        <v>16194819.511443118</v>
      </c>
      <c r="K17" s="5">
        <f>K16*(1-Control!$B$81)</f>
        <v>19069399.974724274</v>
      </c>
      <c r="L17" s="5">
        <f>L16*(1-Control!$B$81)</f>
        <v>22454218.470237833</v>
      </c>
      <c r="M17" s="5">
        <f>M16*(1-Control!$B$81)</f>
        <v>26439842.248705048</v>
      </c>
      <c r="N17" s="5">
        <f>N16*(1-Control!$B$81)</f>
        <v>31132914.247850195</v>
      </c>
      <c r="O17" s="5">
        <f>O16*(1-Control!$B$81)</f>
        <v>36659006.5268436</v>
      </c>
      <c r="P17" s="5">
        <f>P16*(1-Control!$B$81)</f>
        <v>43165980.185358338</v>
      </c>
      <c r="Q17" s="5">
        <f>Q16*(1-Control!$B$81)</f>
        <v>50827941.668259442</v>
      </c>
      <c r="R17" s="5">
        <f>R16*(1-Control!$B$81)</f>
        <v>59849901.31437549</v>
      </c>
      <c r="S17" s="5">
        <f>S16*(1-Control!$B$81)</f>
        <v>70473258.79767713</v>
      </c>
      <c r="T17" s="5">
        <f>T16*(1-Control!$B$81)</f>
        <v>82982262.234264806</v>
      </c>
      <c r="U17" s="5">
        <f>U16*(1-Control!$B$81)</f>
        <v>97711613.780846819</v>
      </c>
      <c r="V17" s="5">
        <f>V16*(1-Control!$B$81)</f>
        <v>115055425.22694713</v>
      </c>
      <c r="W17" s="5">
        <f>W16*(1-Control!$B$81)</f>
        <v>135477763.20473024</v>
      </c>
    </row>
    <row r="18" spans="1:23" x14ac:dyDescent="0.3">
      <c r="A18" t="s">
        <v>625</v>
      </c>
      <c r="C18" s="15" t="str">
        <f>""</f>
        <v/>
      </c>
      <c r="D18" s="15">
        <f t="shared" ref="D18:W18" si="4">D9/D10</f>
        <v>1.3043478260869565</v>
      </c>
      <c r="E18" s="15">
        <f t="shared" si="4"/>
        <v>1.3043478260869565</v>
      </c>
      <c r="F18" s="15">
        <f t="shared" si="4"/>
        <v>1.3043478260869563</v>
      </c>
      <c r="G18" s="15">
        <f t="shared" si="4"/>
        <v>1.3043478260869565</v>
      </c>
      <c r="H18" s="15">
        <f t="shared" si="4"/>
        <v>1.3043478260869565</v>
      </c>
      <c r="I18" s="15">
        <f t="shared" si="4"/>
        <v>1.3043478260869565</v>
      </c>
      <c r="J18" s="15">
        <f t="shared" si="4"/>
        <v>1.3043478260869563</v>
      </c>
      <c r="K18" s="15">
        <f t="shared" si="4"/>
        <v>1.3043478260869563</v>
      </c>
      <c r="L18" s="15">
        <f t="shared" si="4"/>
        <v>1.3043478260869563</v>
      </c>
      <c r="M18" s="15">
        <f t="shared" si="4"/>
        <v>1.3043478260869563</v>
      </c>
      <c r="N18" s="15">
        <f t="shared" si="4"/>
        <v>1.3043478260869565</v>
      </c>
      <c r="O18" s="15">
        <f t="shared" si="4"/>
        <v>1.3043478260869568</v>
      </c>
      <c r="P18" s="15">
        <f t="shared" si="4"/>
        <v>1.3043478260869563</v>
      </c>
      <c r="Q18" s="15">
        <f t="shared" si="4"/>
        <v>1.3043478260869565</v>
      </c>
      <c r="R18" s="15">
        <f t="shared" si="4"/>
        <v>1.3043478260869563</v>
      </c>
      <c r="S18" s="15">
        <f t="shared" si="4"/>
        <v>1.3043478260869565</v>
      </c>
      <c r="T18" s="15">
        <f t="shared" si="4"/>
        <v>1.3043478260869565</v>
      </c>
      <c r="U18" s="15">
        <f t="shared" si="4"/>
        <v>1.3043478260869563</v>
      </c>
      <c r="V18" s="15">
        <f t="shared" si="4"/>
        <v>1.3043478260869563</v>
      </c>
      <c r="W18" s="15">
        <f t="shared" si="4"/>
        <v>1.3043478260869568</v>
      </c>
    </row>
    <row r="19" spans="1:23" x14ac:dyDescent="0.3">
      <c r="A19" s="2" t="s">
        <v>626</v>
      </c>
      <c r="C19" s="16">
        <f>C16/Valuation!$F$9</f>
        <v>1</v>
      </c>
      <c r="D19" s="16">
        <f>D16/Valuation!$F$9</f>
        <v>1.1775</v>
      </c>
      <c r="E19" s="16">
        <f>E16/Valuation!$F$9</f>
        <v>1.3865062500000001</v>
      </c>
      <c r="F19" s="16">
        <f>F16/Valuation!$F$9</f>
        <v>1.6326111093749998</v>
      </c>
      <c r="G19" s="16">
        <f>G16/Valuation!$F$9</f>
        <v>1.9223995812890624</v>
      </c>
      <c r="H19" s="16">
        <f>H16/Valuation!$F$9</f>
        <v>2.263625506967871</v>
      </c>
      <c r="I19" s="16">
        <f>I16/Valuation!$F$9</f>
        <v>2.6654190344546684</v>
      </c>
      <c r="J19" s="16">
        <f>J16/Valuation!$F$9</f>
        <v>3.1385309130703716</v>
      </c>
      <c r="K19" s="16">
        <f>K16/Valuation!$F$9</f>
        <v>3.6956201501403627</v>
      </c>
      <c r="L19" s="16">
        <f>L16/Valuation!$F$9</f>
        <v>4.351592726790277</v>
      </c>
      <c r="M19" s="16">
        <f>M16/Valuation!$F$9</f>
        <v>5.1240004357955522</v>
      </c>
      <c r="N19" s="16">
        <f>N16/Valuation!$F$9</f>
        <v>6.0335105131492623</v>
      </c>
      <c r="O19" s="16">
        <f>O16/Valuation!$F$9</f>
        <v>7.1044586292332559</v>
      </c>
      <c r="P19" s="16">
        <f>P16/Valuation!$F$9</f>
        <v>8.3655000359221585</v>
      </c>
      <c r="Q19" s="16">
        <f>Q16/Valuation!$F$9</f>
        <v>9.8503762922983409</v>
      </c>
      <c r="R19" s="16">
        <f>R16/Valuation!$F$9</f>
        <v>11.598818084181296</v>
      </c>
      <c r="S19" s="16">
        <f>S16/Valuation!$F$9</f>
        <v>13.657608294123474</v>
      </c>
      <c r="T19" s="16">
        <f>T16/Valuation!$F$9</f>
        <v>16.081833766330387</v>
      </c>
      <c r="U19" s="16">
        <f>U16/Valuation!$F$9</f>
        <v>18.936359259854033</v>
      </c>
      <c r="V19" s="16">
        <f>V16/Valuation!$F$9</f>
        <v>22.297563028478123</v>
      </c>
      <c r="W19" s="16">
        <f>W16/Valuation!$F$9</f>
        <v>26.255380466032992</v>
      </c>
    </row>
  </sheetData>
  <mergeCells count="1">
    <mergeCell ref="A2:I2"/>
  </mergeCell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89"/>
  <sheetViews>
    <sheetView showGridLines="0" zoomScale="70" zoomScaleNormal="70" workbookViewId="0">
      <pane ySplit="2" topLeftCell="A454" activePane="bottomLeft" state="frozen"/>
      <selection pane="bottomLeft" activeCell="A450" sqref="A450:G450"/>
    </sheetView>
  </sheetViews>
  <sheetFormatPr defaultRowHeight="14.4" x14ac:dyDescent="0.3"/>
  <cols>
    <col min="1" max="1" width="27.77734375" customWidth="1"/>
    <col min="2" max="2" width="33.33203125" customWidth="1"/>
    <col min="3" max="5" width="20.33203125" customWidth="1"/>
    <col min="6" max="6" width="46.33203125" customWidth="1"/>
    <col min="7" max="7" width="14" customWidth="1"/>
    <col min="8" max="8" width="13" customWidth="1"/>
    <col min="9" max="9" width="14" customWidth="1"/>
  </cols>
  <sheetData>
    <row r="1" spans="1:9" ht="25.95" customHeight="1" x14ac:dyDescent="0.3">
      <c r="A1" s="421" t="s">
        <v>627</v>
      </c>
      <c r="B1" s="392"/>
      <c r="C1" s="392"/>
      <c r="D1" s="392"/>
      <c r="E1" s="392"/>
      <c r="F1" s="392"/>
      <c r="G1" s="392"/>
      <c r="H1" s="392"/>
      <c r="I1" s="392"/>
    </row>
    <row r="2" spans="1:9" x14ac:dyDescent="0.3">
      <c r="A2" s="289" t="s">
        <v>628</v>
      </c>
      <c r="B2" s="289" t="s">
        <v>629</v>
      </c>
      <c r="C2" s="289" t="s">
        <v>630</v>
      </c>
      <c r="D2" s="289" t="s">
        <v>631</v>
      </c>
      <c r="E2" s="289" t="s">
        <v>632</v>
      </c>
      <c r="F2" s="289" t="s">
        <v>85</v>
      </c>
      <c r="G2" s="289" t="s">
        <v>633</v>
      </c>
      <c r="H2" s="289" t="s">
        <v>634</v>
      </c>
      <c r="I2" s="289" t="s">
        <v>635</v>
      </c>
    </row>
    <row r="3" spans="1:9" x14ac:dyDescent="0.3">
      <c r="A3" s="290">
        <v>45656</v>
      </c>
      <c r="B3" s="290">
        <v>45659</v>
      </c>
      <c r="C3" s="291" t="s">
        <v>8</v>
      </c>
      <c r="D3" s="292" t="s">
        <v>636</v>
      </c>
      <c r="E3" s="292">
        <v>2</v>
      </c>
      <c r="F3" s="292">
        <v>2</v>
      </c>
      <c r="G3" s="292" t="s">
        <v>637</v>
      </c>
      <c r="H3" s="292" t="s">
        <v>638</v>
      </c>
      <c r="I3" s="293">
        <v>5967</v>
      </c>
    </row>
    <row r="4" spans="1:9" x14ac:dyDescent="0.3">
      <c r="A4" s="290">
        <v>45657</v>
      </c>
      <c r="B4" s="290">
        <v>45663</v>
      </c>
      <c r="C4" s="294" t="s">
        <v>639</v>
      </c>
      <c r="D4" s="292" t="s">
        <v>640</v>
      </c>
      <c r="E4" s="292">
        <v>6</v>
      </c>
      <c r="F4" s="292">
        <v>1</v>
      </c>
      <c r="G4" s="292" t="s">
        <v>641</v>
      </c>
      <c r="H4" s="292" t="s">
        <v>642</v>
      </c>
      <c r="I4" s="293">
        <v>13800</v>
      </c>
    </row>
    <row r="5" spans="1:9" x14ac:dyDescent="0.3">
      <c r="A5" s="290">
        <v>45660</v>
      </c>
      <c r="B5" s="290">
        <v>45660</v>
      </c>
      <c r="C5" s="291" t="s">
        <v>8</v>
      </c>
      <c r="D5" s="292" t="s">
        <v>643</v>
      </c>
      <c r="E5" s="292">
        <v>1</v>
      </c>
      <c r="F5" s="292">
        <v>4</v>
      </c>
      <c r="G5" s="292" t="s">
        <v>641</v>
      </c>
      <c r="H5" s="292" t="s">
        <v>642</v>
      </c>
      <c r="I5" s="293">
        <v>1400</v>
      </c>
    </row>
    <row r="6" spans="1:9" x14ac:dyDescent="0.3">
      <c r="A6" s="290">
        <v>45662</v>
      </c>
      <c r="B6" s="290">
        <v>45665</v>
      </c>
      <c r="C6" s="291" t="s">
        <v>8</v>
      </c>
      <c r="D6" s="292" t="s">
        <v>644</v>
      </c>
      <c r="E6" s="292">
        <v>4</v>
      </c>
      <c r="F6" s="292">
        <v>2</v>
      </c>
      <c r="G6" s="292" t="s">
        <v>637</v>
      </c>
      <c r="H6" s="292" t="s">
        <v>638</v>
      </c>
      <c r="I6" s="293">
        <v>11808</v>
      </c>
    </row>
    <row r="7" spans="1:9" x14ac:dyDescent="0.3">
      <c r="A7" s="290">
        <v>45664</v>
      </c>
      <c r="B7" s="290">
        <v>45668</v>
      </c>
      <c r="C7" s="294" t="s">
        <v>639</v>
      </c>
      <c r="D7" s="292" t="s">
        <v>645</v>
      </c>
      <c r="E7" s="292">
        <v>5</v>
      </c>
      <c r="F7" s="292">
        <v>4</v>
      </c>
      <c r="G7" s="292" t="s">
        <v>646</v>
      </c>
      <c r="H7" s="292" t="s">
        <v>638</v>
      </c>
      <c r="I7" s="293">
        <v>22338</v>
      </c>
    </row>
    <row r="8" spans="1:9" x14ac:dyDescent="0.3">
      <c r="A8" s="290">
        <v>45666</v>
      </c>
      <c r="B8" s="290">
        <v>45668</v>
      </c>
      <c r="C8" s="291" t="s">
        <v>8</v>
      </c>
      <c r="D8" s="292" t="s">
        <v>647</v>
      </c>
      <c r="E8" s="292">
        <v>3</v>
      </c>
      <c r="F8" s="292">
        <v>4</v>
      </c>
      <c r="G8" s="292" t="s">
        <v>646</v>
      </c>
      <c r="H8" s="292" t="s">
        <v>638</v>
      </c>
      <c r="I8" s="293">
        <v>12751</v>
      </c>
    </row>
    <row r="9" spans="1:9" x14ac:dyDescent="0.3">
      <c r="A9" s="290">
        <v>45669</v>
      </c>
      <c r="B9" s="290">
        <v>45670</v>
      </c>
      <c r="C9" s="294" t="s">
        <v>639</v>
      </c>
      <c r="D9" s="292" t="s">
        <v>648</v>
      </c>
      <c r="E9" s="292">
        <v>2</v>
      </c>
      <c r="F9" s="292">
        <v>2</v>
      </c>
      <c r="G9" s="292" t="s">
        <v>646</v>
      </c>
      <c r="H9" s="292" t="s">
        <v>638</v>
      </c>
      <c r="I9" s="293">
        <v>5688</v>
      </c>
    </row>
    <row r="10" spans="1:9" x14ac:dyDescent="0.3">
      <c r="A10" s="290">
        <v>45672</v>
      </c>
      <c r="B10" s="290">
        <v>45673</v>
      </c>
      <c r="C10" s="291" t="s">
        <v>8</v>
      </c>
      <c r="D10" s="292" t="s">
        <v>649</v>
      </c>
      <c r="E10" s="292">
        <v>2</v>
      </c>
      <c r="F10" s="292">
        <v>2</v>
      </c>
      <c r="G10" s="292" t="s">
        <v>637</v>
      </c>
      <c r="H10" s="292" t="s">
        <v>638</v>
      </c>
      <c r="I10" s="293">
        <v>3565</v>
      </c>
    </row>
    <row r="11" spans="1:9" x14ac:dyDescent="0.3">
      <c r="A11" s="290">
        <v>45672</v>
      </c>
      <c r="B11" s="290">
        <v>45675</v>
      </c>
      <c r="C11" s="294" t="s">
        <v>639</v>
      </c>
      <c r="D11" s="292" t="s">
        <v>650</v>
      </c>
      <c r="E11" s="292">
        <v>4</v>
      </c>
      <c r="F11" s="292">
        <v>2</v>
      </c>
      <c r="G11" s="292" t="s">
        <v>646</v>
      </c>
      <c r="H11" s="292" t="s">
        <v>638</v>
      </c>
      <c r="I11" s="293">
        <v>14212</v>
      </c>
    </row>
    <row r="12" spans="1:9" x14ac:dyDescent="0.3">
      <c r="A12" s="290">
        <v>45674</v>
      </c>
      <c r="B12" s="290">
        <v>45674</v>
      </c>
      <c r="C12" s="291" t="s">
        <v>8</v>
      </c>
      <c r="D12" s="292" t="s">
        <v>651</v>
      </c>
      <c r="E12" s="292">
        <v>1</v>
      </c>
      <c r="F12" s="292">
        <v>2</v>
      </c>
      <c r="G12" s="292" t="s">
        <v>637</v>
      </c>
      <c r="H12" s="292" t="s">
        <v>638</v>
      </c>
      <c r="I12" s="293">
        <v>1732</v>
      </c>
    </row>
    <row r="13" spans="1:9" x14ac:dyDescent="0.3">
      <c r="A13" s="290">
        <v>45675</v>
      </c>
      <c r="B13" s="290">
        <v>45676</v>
      </c>
      <c r="C13" s="291" t="s">
        <v>8</v>
      </c>
      <c r="D13" s="292" t="s">
        <v>652</v>
      </c>
      <c r="E13" s="292">
        <v>2</v>
      </c>
      <c r="F13" s="292">
        <v>2</v>
      </c>
      <c r="G13" s="292" t="s">
        <v>646</v>
      </c>
      <c r="H13" s="292" t="s">
        <v>638</v>
      </c>
      <c r="I13" s="293">
        <v>5069</v>
      </c>
    </row>
    <row r="14" spans="1:9" x14ac:dyDescent="0.3">
      <c r="A14" s="290">
        <v>45677</v>
      </c>
      <c r="B14" s="290">
        <v>45677</v>
      </c>
      <c r="C14" s="294" t="s">
        <v>639</v>
      </c>
      <c r="D14" s="292" t="s">
        <v>652</v>
      </c>
      <c r="E14" s="292">
        <v>1</v>
      </c>
      <c r="F14" s="292">
        <v>2</v>
      </c>
      <c r="G14" s="292" t="s">
        <v>637</v>
      </c>
      <c r="H14" s="292" t="s">
        <v>638</v>
      </c>
      <c r="I14" s="293">
        <v>2262</v>
      </c>
    </row>
    <row r="15" spans="1:9" x14ac:dyDescent="0.3">
      <c r="A15" s="290">
        <v>45677</v>
      </c>
      <c r="B15" s="290">
        <v>45677</v>
      </c>
      <c r="C15" s="291" t="s">
        <v>8</v>
      </c>
      <c r="D15" s="292" t="s">
        <v>653</v>
      </c>
      <c r="E15" s="292">
        <v>1</v>
      </c>
      <c r="F15" s="292">
        <v>2</v>
      </c>
      <c r="G15" s="292" t="s">
        <v>641</v>
      </c>
      <c r="H15" s="292" t="s">
        <v>642</v>
      </c>
      <c r="I15" s="293">
        <v>2800</v>
      </c>
    </row>
    <row r="16" spans="1:9" x14ac:dyDescent="0.3">
      <c r="A16" s="290">
        <v>45680</v>
      </c>
      <c r="B16" s="290">
        <v>45680</v>
      </c>
      <c r="C16" s="294" t="s">
        <v>639</v>
      </c>
      <c r="D16" s="292" t="s">
        <v>654</v>
      </c>
      <c r="E16" s="292">
        <v>1</v>
      </c>
      <c r="F16" s="292">
        <v>2</v>
      </c>
      <c r="G16" s="292" t="s">
        <v>646</v>
      </c>
      <c r="H16" s="292" t="s">
        <v>638</v>
      </c>
      <c r="I16" s="293">
        <v>2071</v>
      </c>
    </row>
    <row r="17" spans="1:9" x14ac:dyDescent="0.3">
      <c r="A17" s="290">
        <v>45683</v>
      </c>
      <c r="B17" s="290">
        <v>45683</v>
      </c>
      <c r="C17" s="294" t="s">
        <v>639</v>
      </c>
      <c r="D17" s="292" t="s">
        <v>655</v>
      </c>
      <c r="E17" s="292">
        <v>1</v>
      </c>
      <c r="F17" s="292">
        <v>4</v>
      </c>
      <c r="G17" s="292" t="s">
        <v>646</v>
      </c>
      <c r="H17" s="292" t="s">
        <v>638</v>
      </c>
      <c r="I17" s="293">
        <v>2851</v>
      </c>
    </row>
    <row r="18" spans="1:9" x14ac:dyDescent="0.3">
      <c r="A18" s="290">
        <v>45683</v>
      </c>
      <c r="B18" s="290">
        <v>45683</v>
      </c>
      <c r="C18" s="291" t="s">
        <v>8</v>
      </c>
      <c r="D18" s="292" t="s">
        <v>656</v>
      </c>
      <c r="E18" s="292">
        <v>1</v>
      </c>
      <c r="F18" s="292">
        <v>2</v>
      </c>
      <c r="G18" s="292" t="s">
        <v>637</v>
      </c>
      <c r="H18" s="292" t="s">
        <v>638</v>
      </c>
      <c r="I18" s="293">
        <v>1969</v>
      </c>
    </row>
    <row r="19" spans="1:9" x14ac:dyDescent="0.3">
      <c r="A19" s="290">
        <v>45685</v>
      </c>
      <c r="B19" s="290">
        <v>45691</v>
      </c>
      <c r="C19" s="291" t="s">
        <v>8</v>
      </c>
      <c r="D19" s="292" t="s">
        <v>657</v>
      </c>
      <c r="E19" s="292">
        <v>7</v>
      </c>
      <c r="F19" s="292">
        <v>2</v>
      </c>
      <c r="G19" s="292" t="s">
        <v>646</v>
      </c>
      <c r="H19" s="292" t="s">
        <v>638</v>
      </c>
      <c r="I19" s="293">
        <v>25017</v>
      </c>
    </row>
    <row r="20" spans="1:9" x14ac:dyDescent="0.3">
      <c r="A20" s="290">
        <v>45686</v>
      </c>
      <c r="B20" s="290">
        <v>45687</v>
      </c>
      <c r="C20" s="294" t="s">
        <v>639</v>
      </c>
      <c r="D20" s="292" t="s">
        <v>658</v>
      </c>
      <c r="E20" s="292">
        <v>2</v>
      </c>
      <c r="F20" s="292">
        <v>3</v>
      </c>
      <c r="G20" s="292" t="s">
        <v>637</v>
      </c>
      <c r="H20" s="292" t="s">
        <v>638</v>
      </c>
      <c r="I20" s="293">
        <v>4896</v>
      </c>
    </row>
    <row r="21" spans="1:9" x14ac:dyDescent="0.3">
      <c r="A21" s="290">
        <v>45688</v>
      </c>
      <c r="B21" s="290">
        <v>45689</v>
      </c>
      <c r="C21" s="294" t="s">
        <v>639</v>
      </c>
      <c r="D21" s="292" t="s">
        <v>659</v>
      </c>
      <c r="E21" s="292">
        <v>2</v>
      </c>
      <c r="F21" s="292">
        <v>2</v>
      </c>
      <c r="G21" s="292" t="s">
        <v>646</v>
      </c>
      <c r="H21" s="292" t="s">
        <v>638</v>
      </c>
      <c r="I21" s="293">
        <v>5998</v>
      </c>
    </row>
    <row r="22" spans="1:9" x14ac:dyDescent="0.3">
      <c r="A22" s="290">
        <v>45690</v>
      </c>
      <c r="B22" s="290">
        <v>45691</v>
      </c>
      <c r="C22" s="294" t="s">
        <v>639</v>
      </c>
      <c r="D22" s="292" t="s">
        <v>660</v>
      </c>
      <c r="E22" s="292">
        <v>2</v>
      </c>
      <c r="F22" s="292">
        <v>2</v>
      </c>
      <c r="G22" s="292" t="s">
        <v>646</v>
      </c>
      <c r="H22" s="292" t="s">
        <v>638</v>
      </c>
      <c r="I22" s="293">
        <v>6354</v>
      </c>
    </row>
    <row r="23" spans="1:9" x14ac:dyDescent="0.3">
      <c r="A23" s="290">
        <v>45693</v>
      </c>
      <c r="B23" s="290">
        <v>45696</v>
      </c>
      <c r="C23" s="294" t="s">
        <v>639</v>
      </c>
      <c r="D23" s="292" t="s">
        <v>661</v>
      </c>
      <c r="E23" s="292">
        <v>4</v>
      </c>
      <c r="F23" s="292">
        <v>2</v>
      </c>
      <c r="G23" s="292" t="s">
        <v>646</v>
      </c>
      <c r="H23" s="292" t="s">
        <v>638</v>
      </c>
      <c r="I23" s="293">
        <v>14915</v>
      </c>
    </row>
    <row r="24" spans="1:9" x14ac:dyDescent="0.3">
      <c r="A24" s="290">
        <v>45694</v>
      </c>
      <c r="B24" s="290">
        <v>45695</v>
      </c>
      <c r="C24" s="291" t="s">
        <v>8</v>
      </c>
      <c r="D24" s="292" t="s">
        <v>662</v>
      </c>
      <c r="E24" s="292">
        <v>2</v>
      </c>
      <c r="F24" s="292">
        <v>3</v>
      </c>
      <c r="G24" s="292" t="s">
        <v>637</v>
      </c>
      <c r="H24" s="292" t="s">
        <v>663</v>
      </c>
      <c r="I24" s="293">
        <v>4400</v>
      </c>
    </row>
    <row r="25" spans="1:9" x14ac:dyDescent="0.3">
      <c r="A25" s="290">
        <v>45697</v>
      </c>
      <c r="B25" s="290">
        <v>45699</v>
      </c>
      <c r="C25" s="291" t="s">
        <v>8</v>
      </c>
      <c r="D25" s="292" t="s">
        <v>664</v>
      </c>
      <c r="E25" s="292">
        <v>3</v>
      </c>
      <c r="F25" s="292">
        <v>2</v>
      </c>
      <c r="G25" s="292" t="s">
        <v>637</v>
      </c>
      <c r="H25" s="292" t="s">
        <v>638</v>
      </c>
      <c r="I25" s="293">
        <v>5270</v>
      </c>
    </row>
    <row r="26" spans="1:9" x14ac:dyDescent="0.3">
      <c r="A26" s="290">
        <v>45698</v>
      </c>
      <c r="B26" s="290">
        <v>45700</v>
      </c>
      <c r="C26" s="294" t="s">
        <v>639</v>
      </c>
      <c r="D26" s="292" t="s">
        <v>665</v>
      </c>
      <c r="E26" s="292">
        <v>3</v>
      </c>
      <c r="F26" s="292">
        <v>2</v>
      </c>
      <c r="G26" s="292" t="s">
        <v>646</v>
      </c>
      <c r="H26" s="292" t="s">
        <v>638</v>
      </c>
      <c r="I26" s="293">
        <v>7603</v>
      </c>
    </row>
    <row r="27" spans="1:9" x14ac:dyDescent="0.3">
      <c r="A27" s="290">
        <v>45700</v>
      </c>
      <c r="B27" s="290">
        <v>45702</v>
      </c>
      <c r="C27" s="291" t="s">
        <v>8</v>
      </c>
      <c r="D27" s="292" t="s">
        <v>666</v>
      </c>
      <c r="E27" s="292">
        <v>3</v>
      </c>
      <c r="F27" s="292">
        <v>4</v>
      </c>
      <c r="G27" s="292" t="s">
        <v>646</v>
      </c>
      <c r="H27" s="292" t="s">
        <v>663</v>
      </c>
      <c r="I27" s="293">
        <v>9600</v>
      </c>
    </row>
    <row r="28" spans="1:9" x14ac:dyDescent="0.3">
      <c r="A28" s="290">
        <v>45701</v>
      </c>
      <c r="B28" s="290">
        <v>45702</v>
      </c>
      <c r="C28" s="294" t="s">
        <v>639</v>
      </c>
      <c r="D28" s="292" t="s">
        <v>667</v>
      </c>
      <c r="E28" s="292">
        <v>2</v>
      </c>
      <c r="F28" s="292">
        <v>2</v>
      </c>
      <c r="G28" s="292" t="s">
        <v>637</v>
      </c>
      <c r="H28" s="292" t="s">
        <v>638</v>
      </c>
      <c r="I28" s="293">
        <v>3763</v>
      </c>
    </row>
    <row r="29" spans="1:9" x14ac:dyDescent="0.3">
      <c r="A29" s="290">
        <v>45703</v>
      </c>
      <c r="B29" s="290">
        <v>45703</v>
      </c>
      <c r="C29" s="294" t="s">
        <v>639</v>
      </c>
      <c r="D29" s="292" t="s">
        <v>666</v>
      </c>
      <c r="E29" s="292">
        <v>1</v>
      </c>
      <c r="F29" s="292">
        <v>4</v>
      </c>
      <c r="G29" s="292" t="s">
        <v>646</v>
      </c>
      <c r="H29" s="292" t="s">
        <v>663</v>
      </c>
      <c r="I29" s="293">
        <v>3200</v>
      </c>
    </row>
    <row r="30" spans="1:9" x14ac:dyDescent="0.3">
      <c r="A30" s="290">
        <v>45703</v>
      </c>
      <c r="B30" s="290">
        <v>45707</v>
      </c>
      <c r="C30" s="291" t="s">
        <v>8</v>
      </c>
      <c r="D30" s="292" t="s">
        <v>668</v>
      </c>
      <c r="E30" s="292">
        <v>5</v>
      </c>
      <c r="F30" s="292">
        <v>2</v>
      </c>
      <c r="G30" s="292" t="s">
        <v>637</v>
      </c>
      <c r="H30" s="292" t="s">
        <v>638</v>
      </c>
      <c r="I30" s="293">
        <v>12480</v>
      </c>
    </row>
    <row r="31" spans="1:9" x14ac:dyDescent="0.3">
      <c r="A31" s="290">
        <v>45704</v>
      </c>
      <c r="B31" s="290">
        <v>45704</v>
      </c>
      <c r="C31" s="294" t="s">
        <v>639</v>
      </c>
      <c r="D31" s="292" t="s">
        <v>669</v>
      </c>
      <c r="E31" s="292">
        <v>1</v>
      </c>
      <c r="F31" s="292">
        <v>2</v>
      </c>
      <c r="G31" s="292" t="s">
        <v>646</v>
      </c>
      <c r="H31" s="292" t="s">
        <v>638</v>
      </c>
      <c r="I31" s="293">
        <v>2071</v>
      </c>
    </row>
    <row r="32" spans="1:9" x14ac:dyDescent="0.3">
      <c r="A32" s="290">
        <v>45707</v>
      </c>
      <c r="B32" s="290">
        <v>45707</v>
      </c>
      <c r="C32" s="294" t="s">
        <v>639</v>
      </c>
      <c r="D32" s="292" t="s">
        <v>670</v>
      </c>
      <c r="E32" s="292">
        <v>1</v>
      </c>
      <c r="F32" s="292">
        <v>4</v>
      </c>
      <c r="G32" s="292" t="s">
        <v>646</v>
      </c>
      <c r="H32" s="292" t="s">
        <v>638</v>
      </c>
      <c r="I32" s="293">
        <v>3283</v>
      </c>
    </row>
    <row r="33" spans="1:9" x14ac:dyDescent="0.3">
      <c r="A33" s="290">
        <v>45708</v>
      </c>
      <c r="B33" s="290">
        <v>45709</v>
      </c>
      <c r="C33" s="294" t="s">
        <v>639</v>
      </c>
      <c r="D33" s="292" t="s">
        <v>671</v>
      </c>
      <c r="E33" s="292">
        <v>2</v>
      </c>
      <c r="F33" s="292">
        <v>3</v>
      </c>
      <c r="G33" s="292" t="s">
        <v>637</v>
      </c>
      <c r="H33" s="292" t="s">
        <v>638</v>
      </c>
      <c r="I33" s="293">
        <v>6696</v>
      </c>
    </row>
    <row r="34" spans="1:9" x14ac:dyDescent="0.3">
      <c r="A34" s="290">
        <v>45709</v>
      </c>
      <c r="B34" s="290">
        <v>45710</v>
      </c>
      <c r="C34" s="291" t="s">
        <v>8</v>
      </c>
      <c r="D34" s="292" t="s">
        <v>672</v>
      </c>
      <c r="E34" s="292">
        <v>2</v>
      </c>
      <c r="F34" s="292">
        <v>2</v>
      </c>
      <c r="G34" s="292" t="s">
        <v>637</v>
      </c>
      <c r="H34" s="292" t="s">
        <v>638</v>
      </c>
      <c r="I34" s="293">
        <v>4767</v>
      </c>
    </row>
    <row r="35" spans="1:9" x14ac:dyDescent="0.3">
      <c r="A35" s="290">
        <v>45711</v>
      </c>
      <c r="B35" s="290">
        <v>45714</v>
      </c>
      <c r="C35" s="294" t="s">
        <v>639</v>
      </c>
      <c r="D35" s="292" t="s">
        <v>673</v>
      </c>
      <c r="E35" s="292">
        <v>4</v>
      </c>
      <c r="F35" s="292">
        <v>2</v>
      </c>
      <c r="G35" s="292" t="s">
        <v>637</v>
      </c>
      <c r="H35" s="292" t="s">
        <v>638</v>
      </c>
      <c r="I35" s="293">
        <v>8633</v>
      </c>
    </row>
    <row r="36" spans="1:9" x14ac:dyDescent="0.3">
      <c r="A36" s="290">
        <v>45711</v>
      </c>
      <c r="B36" s="290">
        <v>45715</v>
      </c>
      <c r="C36" s="291" t="s">
        <v>8</v>
      </c>
      <c r="D36" s="292" t="s">
        <v>674</v>
      </c>
      <c r="E36" s="292">
        <v>5</v>
      </c>
      <c r="F36" s="292">
        <v>2</v>
      </c>
      <c r="G36" s="292" t="s">
        <v>637</v>
      </c>
      <c r="H36" s="292" t="s">
        <v>638</v>
      </c>
      <c r="I36" s="293">
        <v>8784</v>
      </c>
    </row>
    <row r="37" spans="1:9" x14ac:dyDescent="0.3">
      <c r="A37" s="290">
        <v>45715</v>
      </c>
      <c r="B37" s="290">
        <v>45717</v>
      </c>
      <c r="C37" s="294" t="s">
        <v>639</v>
      </c>
      <c r="D37" s="292" t="s">
        <v>675</v>
      </c>
      <c r="E37" s="292">
        <v>3</v>
      </c>
      <c r="F37" s="292">
        <v>2</v>
      </c>
      <c r="G37" s="292" t="s">
        <v>646</v>
      </c>
      <c r="H37" s="292" t="s">
        <v>638</v>
      </c>
      <c r="I37" s="293">
        <v>7114</v>
      </c>
    </row>
    <row r="38" spans="1:9" x14ac:dyDescent="0.3">
      <c r="A38" s="290">
        <v>45716</v>
      </c>
      <c r="B38" s="290">
        <v>45716</v>
      </c>
      <c r="C38" s="291" t="s">
        <v>8</v>
      </c>
      <c r="D38" s="292" t="s">
        <v>676</v>
      </c>
      <c r="E38" s="292">
        <v>1</v>
      </c>
      <c r="F38" s="292">
        <v>2</v>
      </c>
      <c r="G38" s="292" t="s">
        <v>637</v>
      </c>
      <c r="H38" s="292" t="s">
        <v>638</v>
      </c>
      <c r="I38" s="293">
        <v>2219</v>
      </c>
    </row>
    <row r="39" spans="1:9" x14ac:dyDescent="0.3">
      <c r="A39" s="290">
        <v>45719</v>
      </c>
      <c r="B39" s="290">
        <v>45721</v>
      </c>
      <c r="C39" s="294" t="s">
        <v>639</v>
      </c>
      <c r="D39" s="292" t="s">
        <v>677</v>
      </c>
      <c r="E39" s="292">
        <v>3</v>
      </c>
      <c r="F39" s="292">
        <v>4</v>
      </c>
      <c r="G39" s="292" t="s">
        <v>646</v>
      </c>
      <c r="H39" s="292" t="s">
        <v>638</v>
      </c>
      <c r="I39" s="293">
        <v>13954</v>
      </c>
    </row>
    <row r="40" spans="1:9" x14ac:dyDescent="0.3">
      <c r="A40" s="290">
        <v>45721</v>
      </c>
      <c r="B40" s="290">
        <v>45723</v>
      </c>
      <c r="C40" s="291" t="s">
        <v>8</v>
      </c>
      <c r="D40" s="292" t="s">
        <v>678</v>
      </c>
      <c r="E40" s="292">
        <v>3</v>
      </c>
      <c r="F40" s="292">
        <v>4</v>
      </c>
      <c r="G40" s="292" t="s">
        <v>646</v>
      </c>
      <c r="H40" s="292" t="s">
        <v>638</v>
      </c>
      <c r="I40" s="293">
        <v>13577</v>
      </c>
    </row>
    <row r="41" spans="1:9" x14ac:dyDescent="0.3">
      <c r="A41" s="290">
        <v>45722</v>
      </c>
      <c r="B41" s="290">
        <v>45724</v>
      </c>
      <c r="C41" s="294" t="s">
        <v>639</v>
      </c>
      <c r="D41" s="292" t="s">
        <v>679</v>
      </c>
      <c r="E41" s="292">
        <v>3</v>
      </c>
      <c r="F41" s="292">
        <v>2</v>
      </c>
      <c r="G41" s="292" t="s">
        <v>637</v>
      </c>
      <c r="H41" s="292" t="s">
        <v>638</v>
      </c>
      <c r="I41" s="293">
        <v>5731</v>
      </c>
    </row>
    <row r="42" spans="1:9" x14ac:dyDescent="0.3">
      <c r="A42" s="290">
        <v>45725</v>
      </c>
      <c r="B42" s="290">
        <v>45727</v>
      </c>
      <c r="C42" s="291" t="s">
        <v>8</v>
      </c>
      <c r="D42" s="292" t="s">
        <v>680</v>
      </c>
      <c r="E42" s="292">
        <v>3</v>
      </c>
      <c r="F42" s="292">
        <v>2</v>
      </c>
      <c r="G42" s="292" t="s">
        <v>637</v>
      </c>
      <c r="H42" s="292" t="s">
        <v>638</v>
      </c>
      <c r="I42" s="293">
        <v>5270</v>
      </c>
    </row>
    <row r="43" spans="1:9" x14ac:dyDescent="0.3">
      <c r="A43" s="290">
        <v>45726</v>
      </c>
      <c r="B43" s="290">
        <v>45726</v>
      </c>
      <c r="C43" s="294" t="s">
        <v>639</v>
      </c>
      <c r="D43" s="292" t="s">
        <v>681</v>
      </c>
      <c r="E43" s="292">
        <v>1</v>
      </c>
      <c r="F43" s="292">
        <v>2</v>
      </c>
      <c r="G43" s="292" t="s">
        <v>637</v>
      </c>
      <c r="H43" s="292" t="s">
        <v>638</v>
      </c>
      <c r="I43" s="293">
        <v>2494</v>
      </c>
    </row>
    <row r="44" spans="1:9" x14ac:dyDescent="0.3">
      <c r="A44" s="290">
        <v>45727</v>
      </c>
      <c r="B44" s="290">
        <v>45730</v>
      </c>
      <c r="C44" s="294" t="s">
        <v>639</v>
      </c>
      <c r="D44" s="292" t="s">
        <v>682</v>
      </c>
      <c r="E44" s="292">
        <v>4</v>
      </c>
      <c r="F44" s="292">
        <v>2</v>
      </c>
      <c r="G44" s="292" t="s">
        <v>637</v>
      </c>
      <c r="H44" s="292" t="s">
        <v>638</v>
      </c>
      <c r="I44" s="293">
        <v>8944</v>
      </c>
    </row>
    <row r="45" spans="1:9" x14ac:dyDescent="0.3">
      <c r="A45" s="290">
        <v>45729</v>
      </c>
      <c r="B45" s="290">
        <v>45732</v>
      </c>
      <c r="C45" s="291" t="s">
        <v>8</v>
      </c>
      <c r="D45" s="292" t="s">
        <v>683</v>
      </c>
      <c r="E45" s="292">
        <v>4</v>
      </c>
      <c r="F45" s="292">
        <v>2</v>
      </c>
      <c r="G45" s="292" t="s">
        <v>646</v>
      </c>
      <c r="H45" s="292" t="s">
        <v>638</v>
      </c>
      <c r="I45" s="293">
        <v>11405</v>
      </c>
    </row>
    <row r="46" spans="1:9" x14ac:dyDescent="0.3">
      <c r="A46" s="290">
        <v>45731</v>
      </c>
      <c r="B46" s="290">
        <v>45737</v>
      </c>
      <c r="C46" s="294" t="s">
        <v>639</v>
      </c>
      <c r="D46" s="292" t="s">
        <v>684</v>
      </c>
      <c r="E46" s="292">
        <v>7</v>
      </c>
      <c r="F46" s="292">
        <v>2</v>
      </c>
      <c r="G46" s="292" t="s">
        <v>637</v>
      </c>
      <c r="H46" s="292" t="s">
        <v>638</v>
      </c>
      <c r="I46" s="293">
        <v>15208</v>
      </c>
    </row>
    <row r="47" spans="1:9" x14ac:dyDescent="0.3">
      <c r="A47" s="290">
        <v>45733</v>
      </c>
      <c r="B47" s="290">
        <v>45734</v>
      </c>
      <c r="C47" s="291" t="s">
        <v>8</v>
      </c>
      <c r="D47" s="292" t="s">
        <v>685</v>
      </c>
      <c r="E47" s="292">
        <v>2</v>
      </c>
      <c r="F47" s="292">
        <v>2</v>
      </c>
      <c r="G47" s="292" t="s">
        <v>637</v>
      </c>
      <c r="H47" s="292" t="s">
        <v>638</v>
      </c>
      <c r="I47" s="293">
        <v>3998</v>
      </c>
    </row>
    <row r="48" spans="1:9" x14ac:dyDescent="0.3">
      <c r="A48" s="290">
        <v>45735</v>
      </c>
      <c r="B48" s="290">
        <v>45738</v>
      </c>
      <c r="C48" s="291" t="s">
        <v>8</v>
      </c>
      <c r="D48" s="292" t="s">
        <v>686</v>
      </c>
      <c r="E48" s="292">
        <v>4</v>
      </c>
      <c r="F48" s="292">
        <v>2</v>
      </c>
      <c r="G48" s="292" t="s">
        <v>637</v>
      </c>
      <c r="H48" s="292" t="s">
        <v>638</v>
      </c>
      <c r="I48" s="293">
        <v>8871</v>
      </c>
    </row>
    <row r="49" spans="1:9" x14ac:dyDescent="0.3">
      <c r="A49" s="290">
        <v>45738</v>
      </c>
      <c r="B49" s="290">
        <v>45740</v>
      </c>
      <c r="C49" s="294" t="s">
        <v>639</v>
      </c>
      <c r="D49" s="292" t="s">
        <v>687</v>
      </c>
      <c r="E49" s="292">
        <v>3</v>
      </c>
      <c r="F49" s="292">
        <v>2</v>
      </c>
      <c r="G49" s="292" t="s">
        <v>646</v>
      </c>
      <c r="H49" s="292" t="s">
        <v>638</v>
      </c>
      <c r="I49" s="293">
        <v>10032</v>
      </c>
    </row>
    <row r="50" spans="1:9" x14ac:dyDescent="0.3">
      <c r="A50" s="290">
        <v>45739</v>
      </c>
      <c r="B50" s="290">
        <v>45740</v>
      </c>
      <c r="C50" s="291" t="s">
        <v>8</v>
      </c>
      <c r="D50" s="292" t="s">
        <v>688</v>
      </c>
      <c r="E50" s="292">
        <v>2</v>
      </c>
      <c r="F50" s="292">
        <v>2</v>
      </c>
      <c r="G50" s="292" t="s">
        <v>637</v>
      </c>
      <c r="H50" s="292" t="s">
        <v>638</v>
      </c>
      <c r="I50" s="293">
        <v>3998</v>
      </c>
    </row>
    <row r="51" spans="1:9" x14ac:dyDescent="0.3">
      <c r="A51" s="290">
        <v>45741</v>
      </c>
      <c r="B51" s="290">
        <v>45743</v>
      </c>
      <c r="C51" s="291" t="s">
        <v>8</v>
      </c>
      <c r="D51" s="292" t="s">
        <v>689</v>
      </c>
      <c r="E51" s="292">
        <v>3</v>
      </c>
      <c r="F51" s="292">
        <v>3</v>
      </c>
      <c r="G51" s="292" t="s">
        <v>637</v>
      </c>
      <c r="H51" s="292" t="s">
        <v>638</v>
      </c>
      <c r="I51" s="293">
        <v>8300</v>
      </c>
    </row>
    <row r="52" spans="1:9" x14ac:dyDescent="0.3">
      <c r="A52" s="290">
        <v>45741</v>
      </c>
      <c r="B52" s="290">
        <v>45744</v>
      </c>
      <c r="C52" s="294" t="s">
        <v>639</v>
      </c>
      <c r="D52" s="292" t="s">
        <v>690</v>
      </c>
      <c r="E52" s="292">
        <v>4</v>
      </c>
      <c r="F52" s="292">
        <v>2</v>
      </c>
      <c r="G52" s="292" t="s">
        <v>637</v>
      </c>
      <c r="H52" s="292" t="s">
        <v>638</v>
      </c>
      <c r="I52" s="293">
        <v>11934</v>
      </c>
    </row>
    <row r="53" spans="1:9" x14ac:dyDescent="0.3">
      <c r="A53" s="290">
        <v>45745</v>
      </c>
      <c r="B53" s="290">
        <v>45747</v>
      </c>
      <c r="C53" s="291" t="s">
        <v>8</v>
      </c>
      <c r="D53" s="292" t="s">
        <v>691</v>
      </c>
      <c r="E53" s="292">
        <v>3</v>
      </c>
      <c r="F53" s="292">
        <v>4</v>
      </c>
      <c r="G53" s="292" t="s">
        <v>646</v>
      </c>
      <c r="H53" s="292" t="s">
        <v>638</v>
      </c>
      <c r="I53" s="293">
        <v>15276</v>
      </c>
    </row>
    <row r="54" spans="1:9" x14ac:dyDescent="0.3">
      <c r="A54" s="290">
        <v>45745</v>
      </c>
      <c r="B54" s="290">
        <v>45747</v>
      </c>
      <c r="C54" s="294" t="s">
        <v>639</v>
      </c>
      <c r="D54" s="292" t="s">
        <v>692</v>
      </c>
      <c r="E54" s="292">
        <v>3</v>
      </c>
      <c r="F54" s="292">
        <v>3</v>
      </c>
      <c r="G54" s="292" t="s">
        <v>646</v>
      </c>
      <c r="H54" s="292" t="s">
        <v>638</v>
      </c>
      <c r="I54" s="293">
        <v>11831</v>
      </c>
    </row>
    <row r="55" spans="1:9" x14ac:dyDescent="0.3">
      <c r="A55" s="290">
        <v>45749</v>
      </c>
      <c r="B55" s="290">
        <v>45750</v>
      </c>
      <c r="C55" s="291" t="s">
        <v>8</v>
      </c>
      <c r="D55" s="292" t="s">
        <v>693</v>
      </c>
      <c r="E55" s="292">
        <v>2</v>
      </c>
      <c r="F55" s="292">
        <v>3</v>
      </c>
      <c r="G55" s="292" t="s">
        <v>637</v>
      </c>
      <c r="H55" s="292" t="s">
        <v>638</v>
      </c>
      <c r="I55" s="293">
        <v>4910</v>
      </c>
    </row>
    <row r="56" spans="1:9" x14ac:dyDescent="0.3">
      <c r="A56" s="290">
        <v>45749</v>
      </c>
      <c r="B56" s="290">
        <v>45751</v>
      </c>
      <c r="C56" s="294" t="s">
        <v>639</v>
      </c>
      <c r="D56" s="292" t="s">
        <v>694</v>
      </c>
      <c r="E56" s="292">
        <v>3</v>
      </c>
      <c r="F56" s="292">
        <v>2</v>
      </c>
      <c r="G56" s="292" t="s">
        <v>637</v>
      </c>
      <c r="H56" s="292" t="s">
        <v>638</v>
      </c>
      <c r="I56" s="293">
        <v>6260</v>
      </c>
    </row>
    <row r="57" spans="1:9" x14ac:dyDescent="0.3">
      <c r="A57" s="290">
        <v>45751</v>
      </c>
      <c r="B57" s="290">
        <v>45752</v>
      </c>
      <c r="C57" s="291" t="s">
        <v>8</v>
      </c>
      <c r="D57" s="292" t="s">
        <v>695</v>
      </c>
      <c r="E57" s="292">
        <v>2</v>
      </c>
      <c r="F57" s="292">
        <v>2</v>
      </c>
      <c r="G57" s="292" t="s">
        <v>637</v>
      </c>
      <c r="H57" s="292" t="s">
        <v>663</v>
      </c>
      <c r="I57" s="293">
        <v>4000</v>
      </c>
    </row>
    <row r="58" spans="1:9" x14ac:dyDescent="0.3">
      <c r="A58" s="290">
        <v>45753</v>
      </c>
      <c r="B58" s="290">
        <v>45756</v>
      </c>
      <c r="C58" s="291" t="s">
        <v>8</v>
      </c>
      <c r="D58" s="292" t="s">
        <v>696</v>
      </c>
      <c r="E58" s="292">
        <v>4</v>
      </c>
      <c r="F58" s="292">
        <v>2</v>
      </c>
      <c r="G58" s="292" t="s">
        <v>637</v>
      </c>
      <c r="H58" s="292" t="s">
        <v>638</v>
      </c>
      <c r="I58" s="293">
        <v>11856</v>
      </c>
    </row>
    <row r="59" spans="1:9" x14ac:dyDescent="0.3">
      <c r="A59" s="290">
        <v>45754</v>
      </c>
      <c r="B59" s="290">
        <v>45758</v>
      </c>
      <c r="C59" s="294" t="s">
        <v>639</v>
      </c>
      <c r="D59" s="292" t="s">
        <v>697</v>
      </c>
      <c r="E59" s="292">
        <v>5</v>
      </c>
      <c r="F59" s="292">
        <v>4</v>
      </c>
      <c r="G59" s="292" t="s">
        <v>646</v>
      </c>
      <c r="H59" s="292" t="s">
        <v>663</v>
      </c>
      <c r="I59" s="293">
        <v>22000</v>
      </c>
    </row>
    <row r="60" spans="1:9" x14ac:dyDescent="0.3">
      <c r="A60" s="290">
        <v>45759</v>
      </c>
      <c r="B60" s="290">
        <v>45759</v>
      </c>
      <c r="C60" s="291" t="s">
        <v>8</v>
      </c>
      <c r="D60" s="292" t="s">
        <v>698</v>
      </c>
      <c r="E60" s="292">
        <v>1</v>
      </c>
      <c r="F60" s="292">
        <v>3</v>
      </c>
      <c r="G60" s="292" t="s">
        <v>646</v>
      </c>
      <c r="H60" s="292" t="s">
        <v>638</v>
      </c>
      <c r="I60" s="293">
        <v>4693</v>
      </c>
    </row>
    <row r="61" spans="1:9" x14ac:dyDescent="0.3">
      <c r="A61" s="290">
        <v>45760</v>
      </c>
      <c r="B61" s="290">
        <v>45761</v>
      </c>
      <c r="C61" s="291" t="s">
        <v>8</v>
      </c>
      <c r="D61" s="292" t="s">
        <v>699</v>
      </c>
      <c r="E61" s="292">
        <v>2</v>
      </c>
      <c r="F61" s="292">
        <v>3</v>
      </c>
      <c r="G61" s="292" t="s">
        <v>637</v>
      </c>
      <c r="H61" s="292" t="s">
        <v>638</v>
      </c>
      <c r="I61" s="293">
        <v>5264</v>
      </c>
    </row>
    <row r="62" spans="1:9" x14ac:dyDescent="0.3">
      <c r="A62" s="290">
        <v>45762</v>
      </c>
      <c r="B62" s="290">
        <v>45763</v>
      </c>
      <c r="C62" s="294" t="s">
        <v>639</v>
      </c>
      <c r="D62" s="292" t="s">
        <v>700</v>
      </c>
      <c r="E62" s="292">
        <v>2</v>
      </c>
      <c r="F62" s="292">
        <v>2</v>
      </c>
      <c r="G62" s="292" t="s">
        <v>637</v>
      </c>
      <c r="H62" s="292" t="s">
        <v>638</v>
      </c>
      <c r="I62" s="293">
        <v>4439</v>
      </c>
    </row>
    <row r="63" spans="1:9" x14ac:dyDescent="0.3">
      <c r="A63" s="290">
        <v>45764</v>
      </c>
      <c r="B63" s="290">
        <v>45765</v>
      </c>
      <c r="C63" s="291" t="s">
        <v>8</v>
      </c>
      <c r="D63" s="292" t="s">
        <v>701</v>
      </c>
      <c r="E63" s="292">
        <v>2</v>
      </c>
      <c r="F63" s="292">
        <v>4</v>
      </c>
      <c r="G63" s="292" t="s">
        <v>646</v>
      </c>
      <c r="H63" s="292" t="s">
        <v>663</v>
      </c>
      <c r="I63" s="293">
        <v>7360</v>
      </c>
    </row>
    <row r="64" spans="1:9" x14ac:dyDescent="0.3">
      <c r="A64" s="290">
        <v>45764</v>
      </c>
      <c r="B64" s="290">
        <v>45766</v>
      </c>
      <c r="C64" s="294" t="s">
        <v>639</v>
      </c>
      <c r="D64" s="292" t="s">
        <v>702</v>
      </c>
      <c r="E64" s="292">
        <v>3</v>
      </c>
      <c r="F64" s="292">
        <v>4</v>
      </c>
      <c r="G64" s="292" t="s">
        <v>637</v>
      </c>
      <c r="H64" s="292" t="s">
        <v>638</v>
      </c>
      <c r="I64" s="293">
        <v>8618</v>
      </c>
    </row>
    <row r="65" spans="1:9" x14ac:dyDescent="0.3">
      <c r="A65" s="290">
        <v>45766</v>
      </c>
      <c r="B65" s="290">
        <v>45766</v>
      </c>
      <c r="C65" s="291" t="s">
        <v>8</v>
      </c>
      <c r="D65" s="292" t="s">
        <v>703</v>
      </c>
      <c r="E65" s="292">
        <v>1</v>
      </c>
      <c r="F65" s="292">
        <v>4</v>
      </c>
      <c r="G65" s="292" t="s">
        <v>646</v>
      </c>
      <c r="H65" s="292" t="s">
        <v>638</v>
      </c>
      <c r="I65" s="293">
        <v>6030</v>
      </c>
    </row>
    <row r="66" spans="1:9" x14ac:dyDescent="0.3">
      <c r="A66" s="290">
        <v>45767</v>
      </c>
      <c r="B66" s="290">
        <v>45767</v>
      </c>
      <c r="C66" s="294" t="s">
        <v>639</v>
      </c>
      <c r="D66" s="292" t="s">
        <v>704</v>
      </c>
      <c r="E66" s="292">
        <v>1</v>
      </c>
      <c r="F66" s="292">
        <v>4</v>
      </c>
      <c r="G66" s="292" t="s">
        <v>637</v>
      </c>
      <c r="H66" s="292" t="s">
        <v>638</v>
      </c>
      <c r="I66" s="293">
        <v>3162</v>
      </c>
    </row>
    <row r="67" spans="1:9" x14ac:dyDescent="0.3">
      <c r="A67" s="290">
        <v>45767</v>
      </c>
      <c r="B67" s="290">
        <v>45767</v>
      </c>
      <c r="C67" s="291" t="s">
        <v>8</v>
      </c>
      <c r="D67" s="292" t="s">
        <v>704</v>
      </c>
      <c r="E67" s="292">
        <v>1</v>
      </c>
      <c r="F67" s="292">
        <v>4</v>
      </c>
      <c r="G67" s="292" t="s">
        <v>637</v>
      </c>
      <c r="H67" s="292" t="s">
        <v>638</v>
      </c>
      <c r="I67" s="293">
        <v>3162</v>
      </c>
    </row>
    <row r="68" spans="1:9" x14ac:dyDescent="0.3">
      <c r="A68" s="290">
        <v>45768</v>
      </c>
      <c r="B68" s="290">
        <v>45769</v>
      </c>
      <c r="C68" s="294" t="s">
        <v>639</v>
      </c>
      <c r="D68" s="292" t="s">
        <v>705</v>
      </c>
      <c r="E68" s="292">
        <v>2</v>
      </c>
      <c r="F68" s="292">
        <v>2</v>
      </c>
      <c r="G68" s="292" t="s">
        <v>637</v>
      </c>
      <c r="H68" s="292" t="s">
        <v>638</v>
      </c>
      <c r="I68" s="293">
        <v>4507</v>
      </c>
    </row>
    <row r="69" spans="1:9" x14ac:dyDescent="0.3">
      <c r="A69" s="290">
        <v>45768</v>
      </c>
      <c r="B69" s="290">
        <v>45771</v>
      </c>
      <c r="C69" s="291" t="s">
        <v>8</v>
      </c>
      <c r="D69" s="292" t="s">
        <v>706</v>
      </c>
      <c r="E69" s="292">
        <v>4</v>
      </c>
      <c r="F69" s="292">
        <v>4</v>
      </c>
      <c r="G69" s="292" t="s">
        <v>646</v>
      </c>
      <c r="H69" s="292" t="s">
        <v>638</v>
      </c>
      <c r="I69" s="293">
        <v>18054</v>
      </c>
    </row>
    <row r="70" spans="1:9" x14ac:dyDescent="0.3">
      <c r="A70" s="290">
        <v>45770</v>
      </c>
      <c r="B70" s="290">
        <v>45770</v>
      </c>
      <c r="C70" s="294" t="s">
        <v>639</v>
      </c>
      <c r="D70" s="292" t="s">
        <v>707</v>
      </c>
      <c r="E70" s="292">
        <v>1</v>
      </c>
      <c r="F70" s="292">
        <v>3</v>
      </c>
      <c r="G70" s="292" t="s">
        <v>646</v>
      </c>
      <c r="H70" s="292" t="s">
        <v>638</v>
      </c>
      <c r="I70" s="293">
        <v>3768</v>
      </c>
    </row>
    <row r="71" spans="1:9" x14ac:dyDescent="0.3">
      <c r="A71" s="290">
        <v>45772</v>
      </c>
      <c r="B71" s="290">
        <v>45773</v>
      </c>
      <c r="C71" s="291" t="s">
        <v>8</v>
      </c>
      <c r="D71" s="292" t="s">
        <v>708</v>
      </c>
      <c r="E71" s="292">
        <v>2</v>
      </c>
      <c r="F71" s="292">
        <v>2</v>
      </c>
      <c r="G71" s="292" t="s">
        <v>637</v>
      </c>
      <c r="H71" s="292" t="s">
        <v>638</v>
      </c>
      <c r="I71" s="293">
        <v>5054</v>
      </c>
    </row>
    <row r="72" spans="1:9" x14ac:dyDescent="0.3">
      <c r="A72" s="290">
        <v>45772</v>
      </c>
      <c r="B72" s="290">
        <v>45776</v>
      </c>
      <c r="C72" s="294" t="s">
        <v>639</v>
      </c>
      <c r="D72" s="292" t="s">
        <v>709</v>
      </c>
      <c r="E72" s="292">
        <v>5</v>
      </c>
      <c r="F72" s="292">
        <v>2</v>
      </c>
      <c r="G72" s="292" t="s">
        <v>646</v>
      </c>
      <c r="H72" s="292" t="s">
        <v>638</v>
      </c>
      <c r="I72" s="293">
        <v>16830</v>
      </c>
    </row>
    <row r="73" spans="1:9" x14ac:dyDescent="0.3">
      <c r="A73" s="290">
        <v>45774</v>
      </c>
      <c r="B73" s="290">
        <v>45776</v>
      </c>
      <c r="C73" s="291" t="s">
        <v>8</v>
      </c>
      <c r="D73" s="292" t="s">
        <v>710</v>
      </c>
      <c r="E73" s="292">
        <v>3</v>
      </c>
      <c r="F73" s="292">
        <v>2</v>
      </c>
      <c r="G73" s="292" t="s">
        <v>646</v>
      </c>
      <c r="H73" s="292" t="s">
        <v>638</v>
      </c>
      <c r="I73" s="293">
        <v>8837</v>
      </c>
    </row>
    <row r="74" spans="1:9" x14ac:dyDescent="0.3">
      <c r="A74" s="290">
        <v>45777</v>
      </c>
      <c r="B74" s="290">
        <v>45777</v>
      </c>
      <c r="C74" s="294" t="s">
        <v>639</v>
      </c>
      <c r="D74" s="292" t="s">
        <v>711</v>
      </c>
      <c r="E74" s="292">
        <v>1</v>
      </c>
      <c r="F74" s="292">
        <v>4</v>
      </c>
      <c r="G74" s="292" t="s">
        <v>646</v>
      </c>
      <c r="H74" s="292" t="s">
        <v>638</v>
      </c>
      <c r="I74" s="293">
        <v>3953</v>
      </c>
    </row>
    <row r="75" spans="1:9" x14ac:dyDescent="0.3">
      <c r="A75" s="290">
        <v>45777</v>
      </c>
      <c r="B75" s="290">
        <v>45778</v>
      </c>
      <c r="C75" s="291" t="s">
        <v>8</v>
      </c>
      <c r="D75" s="292" t="s">
        <v>712</v>
      </c>
      <c r="E75" s="292">
        <v>2</v>
      </c>
      <c r="F75" s="292">
        <v>2</v>
      </c>
      <c r="G75" s="292" t="s">
        <v>637</v>
      </c>
      <c r="H75" s="292" t="s">
        <v>638</v>
      </c>
      <c r="I75" s="293">
        <v>4142</v>
      </c>
    </row>
    <row r="76" spans="1:9" x14ac:dyDescent="0.3">
      <c r="A76" s="290">
        <v>45778</v>
      </c>
      <c r="B76" s="290">
        <v>45778</v>
      </c>
      <c r="C76" s="294" t="s">
        <v>639</v>
      </c>
      <c r="D76" s="292" t="s">
        <v>713</v>
      </c>
      <c r="E76" s="292">
        <v>1</v>
      </c>
      <c r="F76" s="292">
        <v>4</v>
      </c>
      <c r="G76" s="292" t="s">
        <v>646</v>
      </c>
      <c r="H76" s="292" t="s">
        <v>638</v>
      </c>
      <c r="I76" s="293">
        <v>4824</v>
      </c>
    </row>
    <row r="77" spans="1:9" x14ac:dyDescent="0.3">
      <c r="A77" s="290">
        <v>45779</v>
      </c>
      <c r="B77" s="290">
        <v>45779</v>
      </c>
      <c r="C77" s="294" t="s">
        <v>639</v>
      </c>
      <c r="D77" s="292" t="s">
        <v>714</v>
      </c>
      <c r="E77" s="292">
        <v>1</v>
      </c>
      <c r="F77" s="292">
        <v>4</v>
      </c>
      <c r="G77" s="292" t="s">
        <v>637</v>
      </c>
      <c r="H77" s="292" t="s">
        <v>663</v>
      </c>
      <c r="I77" s="293">
        <v>3000</v>
      </c>
    </row>
    <row r="78" spans="1:9" x14ac:dyDescent="0.3">
      <c r="A78" s="290">
        <v>45783</v>
      </c>
      <c r="B78" s="290">
        <v>45784</v>
      </c>
      <c r="C78" s="294" t="s">
        <v>639</v>
      </c>
      <c r="D78" s="292" t="s">
        <v>715</v>
      </c>
      <c r="E78" s="292">
        <v>2</v>
      </c>
      <c r="F78" s="292">
        <v>4</v>
      </c>
      <c r="G78" s="292" t="s">
        <v>637</v>
      </c>
      <c r="H78" s="292" t="s">
        <v>638</v>
      </c>
      <c r="I78" s="293">
        <v>5702</v>
      </c>
    </row>
    <row r="79" spans="1:9" x14ac:dyDescent="0.3">
      <c r="A79" s="290">
        <v>45783</v>
      </c>
      <c r="B79" s="290">
        <v>45784</v>
      </c>
      <c r="C79" s="291" t="s">
        <v>8</v>
      </c>
      <c r="D79" s="292" t="s">
        <v>715</v>
      </c>
      <c r="E79" s="292">
        <v>2</v>
      </c>
      <c r="F79" s="292">
        <v>4</v>
      </c>
      <c r="G79" s="292" t="s">
        <v>637</v>
      </c>
      <c r="H79" s="292" t="s">
        <v>638</v>
      </c>
      <c r="I79" s="293">
        <v>5702</v>
      </c>
    </row>
    <row r="80" spans="1:9" x14ac:dyDescent="0.3">
      <c r="A80" s="290">
        <v>45786</v>
      </c>
      <c r="B80" s="290">
        <v>45786</v>
      </c>
      <c r="C80" s="294" t="s">
        <v>639</v>
      </c>
      <c r="D80" s="292" t="s">
        <v>716</v>
      </c>
      <c r="E80" s="292">
        <v>1</v>
      </c>
      <c r="F80" s="292">
        <v>2</v>
      </c>
      <c r="G80" s="292" t="s">
        <v>646</v>
      </c>
      <c r="H80" s="292" t="s">
        <v>638</v>
      </c>
      <c r="I80" s="293">
        <v>2856</v>
      </c>
    </row>
    <row r="81" spans="1:9" x14ac:dyDescent="0.3">
      <c r="A81" s="290">
        <v>45786</v>
      </c>
      <c r="B81" s="290">
        <v>45788</v>
      </c>
      <c r="C81" s="291" t="s">
        <v>8</v>
      </c>
      <c r="D81" s="292" t="s">
        <v>717</v>
      </c>
      <c r="E81" s="292">
        <v>3</v>
      </c>
      <c r="F81" s="292">
        <v>4</v>
      </c>
      <c r="G81" s="292" t="s">
        <v>637</v>
      </c>
      <c r="H81" s="292" t="s">
        <v>638</v>
      </c>
      <c r="I81" s="293">
        <v>9169</v>
      </c>
    </row>
    <row r="82" spans="1:9" x14ac:dyDescent="0.3">
      <c r="A82" s="290">
        <v>45787</v>
      </c>
      <c r="B82" s="290">
        <v>45788</v>
      </c>
      <c r="C82" s="294" t="s">
        <v>639</v>
      </c>
      <c r="D82" s="292" t="s">
        <v>718</v>
      </c>
      <c r="E82" s="292">
        <v>2</v>
      </c>
      <c r="F82" s="292">
        <v>4</v>
      </c>
      <c r="G82" s="292" t="s">
        <v>637</v>
      </c>
      <c r="H82" s="292" t="s">
        <v>638</v>
      </c>
      <c r="I82" s="293">
        <v>5702</v>
      </c>
    </row>
    <row r="83" spans="1:9" x14ac:dyDescent="0.3">
      <c r="A83" s="290">
        <v>45790</v>
      </c>
      <c r="B83" s="290">
        <v>45791</v>
      </c>
      <c r="C83" s="294" t="s">
        <v>639</v>
      </c>
      <c r="D83" s="292" t="s">
        <v>719</v>
      </c>
      <c r="E83" s="292">
        <v>2</v>
      </c>
      <c r="F83" s="292">
        <v>2</v>
      </c>
      <c r="G83" s="292" t="s">
        <v>637</v>
      </c>
      <c r="H83" s="292" t="s">
        <v>638</v>
      </c>
      <c r="I83" s="293">
        <v>3643</v>
      </c>
    </row>
    <row r="84" spans="1:9" x14ac:dyDescent="0.3">
      <c r="A84" s="290">
        <v>45792</v>
      </c>
      <c r="B84" s="290">
        <v>45793</v>
      </c>
      <c r="C84" s="291" t="s">
        <v>8</v>
      </c>
      <c r="D84" s="292" t="s">
        <v>720</v>
      </c>
      <c r="E84" s="292">
        <v>2</v>
      </c>
      <c r="F84" s="292">
        <v>2</v>
      </c>
      <c r="G84" s="292" t="s">
        <v>637</v>
      </c>
      <c r="H84" s="292" t="s">
        <v>638</v>
      </c>
      <c r="I84" s="293">
        <v>4562</v>
      </c>
    </row>
    <row r="85" spans="1:9" x14ac:dyDescent="0.3">
      <c r="A85" s="290">
        <v>45792</v>
      </c>
      <c r="B85" s="290">
        <v>45794</v>
      </c>
      <c r="C85" s="294" t="s">
        <v>639</v>
      </c>
      <c r="D85" s="292" t="s">
        <v>721</v>
      </c>
      <c r="E85" s="292">
        <v>3</v>
      </c>
      <c r="F85" s="292">
        <v>2</v>
      </c>
      <c r="G85" s="292" t="s">
        <v>637</v>
      </c>
      <c r="H85" s="292" t="s">
        <v>638</v>
      </c>
      <c r="I85" s="293">
        <v>7366</v>
      </c>
    </row>
    <row r="86" spans="1:9" x14ac:dyDescent="0.3">
      <c r="A86" s="290">
        <v>45794</v>
      </c>
      <c r="B86" s="290">
        <v>45803</v>
      </c>
      <c r="C86" s="291" t="s">
        <v>8</v>
      </c>
      <c r="D86" s="292" t="s">
        <v>722</v>
      </c>
      <c r="E86" s="292">
        <v>10</v>
      </c>
      <c r="F86" s="292">
        <v>2</v>
      </c>
      <c r="G86" s="292" t="s">
        <v>641</v>
      </c>
      <c r="H86" s="292" t="s">
        <v>723</v>
      </c>
      <c r="I86" s="293">
        <v>0</v>
      </c>
    </row>
    <row r="87" spans="1:9" x14ac:dyDescent="0.3">
      <c r="A87" s="290">
        <v>45796</v>
      </c>
      <c r="B87" s="290">
        <v>45796</v>
      </c>
      <c r="C87" s="294" t="s">
        <v>639</v>
      </c>
      <c r="D87" s="292" t="s">
        <v>724</v>
      </c>
      <c r="E87" s="292">
        <v>1</v>
      </c>
      <c r="F87" s="292">
        <v>2</v>
      </c>
      <c r="G87" s="292" t="s">
        <v>637</v>
      </c>
      <c r="H87" s="292" t="s">
        <v>638</v>
      </c>
      <c r="I87" s="293">
        <v>2071</v>
      </c>
    </row>
    <row r="88" spans="1:9" x14ac:dyDescent="0.3">
      <c r="A88" s="290">
        <v>45797</v>
      </c>
      <c r="B88" s="290">
        <v>45797</v>
      </c>
      <c r="C88" s="294" t="s">
        <v>639</v>
      </c>
      <c r="D88" s="292" t="s">
        <v>725</v>
      </c>
      <c r="E88" s="292">
        <v>1</v>
      </c>
      <c r="F88" s="292">
        <v>2</v>
      </c>
      <c r="G88" s="292" t="s">
        <v>637</v>
      </c>
      <c r="H88" s="292" t="s">
        <v>638</v>
      </c>
      <c r="I88" s="293">
        <v>2219</v>
      </c>
    </row>
    <row r="89" spans="1:9" x14ac:dyDescent="0.3">
      <c r="A89" s="290">
        <v>45799</v>
      </c>
      <c r="B89" s="290">
        <v>45801</v>
      </c>
      <c r="C89" s="294" t="s">
        <v>639</v>
      </c>
      <c r="D89" s="292" t="s">
        <v>726</v>
      </c>
      <c r="E89" s="292">
        <v>3</v>
      </c>
      <c r="F89" s="292">
        <v>2</v>
      </c>
      <c r="G89" s="292" t="s">
        <v>637</v>
      </c>
      <c r="H89" s="292" t="s">
        <v>638</v>
      </c>
      <c r="I89" s="293">
        <v>6237</v>
      </c>
    </row>
    <row r="90" spans="1:9" x14ac:dyDescent="0.3">
      <c r="A90" s="290">
        <v>45803</v>
      </c>
      <c r="B90" s="290">
        <v>45806</v>
      </c>
      <c r="C90" s="294" t="s">
        <v>639</v>
      </c>
      <c r="D90" s="292" t="s">
        <v>727</v>
      </c>
      <c r="E90" s="292">
        <v>4</v>
      </c>
      <c r="F90" s="292">
        <v>1</v>
      </c>
      <c r="G90" s="292" t="s">
        <v>646</v>
      </c>
      <c r="H90" s="292" t="s">
        <v>663</v>
      </c>
      <c r="I90" s="293">
        <v>9150</v>
      </c>
    </row>
    <row r="91" spans="1:9" x14ac:dyDescent="0.3">
      <c r="A91" s="290">
        <v>45804</v>
      </c>
      <c r="B91" s="290">
        <v>45814</v>
      </c>
      <c r="C91" s="291" t="s">
        <v>8</v>
      </c>
      <c r="D91" s="292" t="s">
        <v>728</v>
      </c>
      <c r="E91" s="292">
        <v>11</v>
      </c>
      <c r="F91" s="292">
        <v>2</v>
      </c>
      <c r="G91" s="292" t="s">
        <v>641</v>
      </c>
      <c r="H91" s="292" t="s">
        <v>723</v>
      </c>
      <c r="I91" s="293">
        <v>0</v>
      </c>
    </row>
    <row r="92" spans="1:9" x14ac:dyDescent="0.3">
      <c r="A92" s="290">
        <v>45807</v>
      </c>
      <c r="B92" s="290">
        <v>45810</v>
      </c>
      <c r="C92" s="294" t="s">
        <v>639</v>
      </c>
      <c r="D92" s="292" t="s">
        <v>729</v>
      </c>
      <c r="E92" s="292">
        <v>4</v>
      </c>
      <c r="F92" s="292">
        <v>4</v>
      </c>
      <c r="G92" s="292" t="s">
        <v>646</v>
      </c>
      <c r="H92" s="292" t="s">
        <v>638</v>
      </c>
      <c r="I92" s="293">
        <v>18714</v>
      </c>
    </row>
    <row r="93" spans="1:9" x14ac:dyDescent="0.3">
      <c r="A93" s="290">
        <v>45814</v>
      </c>
      <c r="B93" s="290">
        <v>45815</v>
      </c>
      <c r="C93" s="294" t="s">
        <v>639</v>
      </c>
      <c r="D93" s="292" t="s">
        <v>728</v>
      </c>
      <c r="E93" s="292">
        <v>2</v>
      </c>
      <c r="F93" s="292">
        <v>4</v>
      </c>
      <c r="G93" s="292" t="s">
        <v>641</v>
      </c>
      <c r="H93" s="292" t="s">
        <v>723</v>
      </c>
      <c r="I93" s="293">
        <v>11400</v>
      </c>
    </row>
    <row r="94" spans="1:9" x14ac:dyDescent="0.3">
      <c r="A94" s="290">
        <v>45815</v>
      </c>
      <c r="B94" s="290">
        <v>45816</v>
      </c>
      <c r="C94" s="291" t="s">
        <v>8</v>
      </c>
      <c r="D94" s="292" t="s">
        <v>730</v>
      </c>
      <c r="E94" s="292">
        <v>2</v>
      </c>
      <c r="F94" s="292">
        <v>2</v>
      </c>
      <c r="G94" s="292" t="s">
        <v>646</v>
      </c>
      <c r="H94" s="292" t="s">
        <v>638</v>
      </c>
      <c r="I94" s="293">
        <v>6772</v>
      </c>
    </row>
    <row r="95" spans="1:9" x14ac:dyDescent="0.3">
      <c r="A95" s="290">
        <v>45818</v>
      </c>
      <c r="B95" s="290">
        <v>45819</v>
      </c>
      <c r="C95" s="291" t="s">
        <v>8</v>
      </c>
      <c r="D95" s="292" t="s">
        <v>731</v>
      </c>
      <c r="E95" s="292">
        <v>2</v>
      </c>
      <c r="F95" s="292">
        <v>3</v>
      </c>
      <c r="G95" s="292" t="s">
        <v>637</v>
      </c>
      <c r="H95" s="292" t="s">
        <v>638</v>
      </c>
      <c r="I95" s="293">
        <v>4910</v>
      </c>
    </row>
    <row r="96" spans="1:9" x14ac:dyDescent="0.3">
      <c r="A96" s="290">
        <v>45818</v>
      </c>
      <c r="B96" s="290">
        <v>45822</v>
      </c>
      <c r="C96" s="294" t="s">
        <v>639</v>
      </c>
      <c r="D96" s="292" t="s">
        <v>732</v>
      </c>
      <c r="E96" s="292">
        <v>5</v>
      </c>
      <c r="F96" s="292">
        <v>2</v>
      </c>
      <c r="G96" s="292" t="s">
        <v>646</v>
      </c>
      <c r="H96" s="292" t="s">
        <v>638</v>
      </c>
      <c r="I96" s="293">
        <v>16025</v>
      </c>
    </row>
    <row r="97" spans="1:9" x14ac:dyDescent="0.3">
      <c r="A97" s="290">
        <v>45821</v>
      </c>
      <c r="B97" s="290">
        <v>45821</v>
      </c>
      <c r="C97" s="291" t="s">
        <v>8</v>
      </c>
      <c r="D97" s="292" t="s">
        <v>733</v>
      </c>
      <c r="E97" s="292">
        <v>1</v>
      </c>
      <c r="F97" s="292">
        <v>1</v>
      </c>
      <c r="G97" s="292" t="s">
        <v>637</v>
      </c>
      <c r="H97" s="292" t="s">
        <v>638</v>
      </c>
      <c r="I97" s="293">
        <v>2089</v>
      </c>
    </row>
    <row r="98" spans="1:9" x14ac:dyDescent="0.3">
      <c r="A98" s="290">
        <v>45823</v>
      </c>
      <c r="B98" s="290">
        <v>45823</v>
      </c>
      <c r="C98" s="291" t="s">
        <v>8</v>
      </c>
      <c r="D98" s="292" t="s">
        <v>734</v>
      </c>
      <c r="E98" s="292">
        <v>1</v>
      </c>
      <c r="F98" s="292">
        <v>3</v>
      </c>
      <c r="G98" s="292" t="s">
        <v>646</v>
      </c>
      <c r="H98" s="292" t="s">
        <v>638</v>
      </c>
      <c r="I98" s="293">
        <v>3796</v>
      </c>
    </row>
    <row r="99" spans="1:9" x14ac:dyDescent="0.3">
      <c r="A99" s="290">
        <v>45824</v>
      </c>
      <c r="B99" s="290">
        <v>45824</v>
      </c>
      <c r="C99" s="294" t="s">
        <v>639</v>
      </c>
      <c r="D99" s="292" t="s">
        <v>735</v>
      </c>
      <c r="E99" s="292">
        <v>1</v>
      </c>
      <c r="F99" s="292">
        <v>2</v>
      </c>
      <c r="G99" s="292" t="s">
        <v>637</v>
      </c>
      <c r="H99" s="292" t="s">
        <v>638</v>
      </c>
      <c r="I99" s="293">
        <v>2388</v>
      </c>
    </row>
    <row r="100" spans="1:9" x14ac:dyDescent="0.3">
      <c r="A100" s="290">
        <v>45826</v>
      </c>
      <c r="B100" s="290">
        <v>45829</v>
      </c>
      <c r="C100" s="294" t="s">
        <v>639</v>
      </c>
      <c r="D100" s="292" t="s">
        <v>736</v>
      </c>
      <c r="E100" s="292">
        <v>4</v>
      </c>
      <c r="F100" s="292">
        <v>2</v>
      </c>
      <c r="G100" s="292" t="s">
        <v>637</v>
      </c>
      <c r="H100" s="292" t="s">
        <v>638</v>
      </c>
      <c r="I100" s="293">
        <v>8878</v>
      </c>
    </row>
    <row r="101" spans="1:9" x14ac:dyDescent="0.3">
      <c r="A101" s="290">
        <v>45830</v>
      </c>
      <c r="B101" s="290">
        <v>45831</v>
      </c>
      <c r="C101" s="294" t="s">
        <v>639</v>
      </c>
      <c r="D101" s="292" t="s">
        <v>737</v>
      </c>
      <c r="E101" s="292">
        <v>2</v>
      </c>
      <c r="F101" s="292">
        <v>2</v>
      </c>
      <c r="G101" s="292" t="s">
        <v>646</v>
      </c>
      <c r="H101" s="292" t="s">
        <v>638</v>
      </c>
      <c r="I101" s="293">
        <v>7038</v>
      </c>
    </row>
    <row r="102" spans="1:9" x14ac:dyDescent="0.3">
      <c r="A102" s="290">
        <v>45833</v>
      </c>
      <c r="B102" s="290">
        <v>45834</v>
      </c>
      <c r="C102" s="294" t="s">
        <v>639</v>
      </c>
      <c r="D102" s="292" t="s">
        <v>738</v>
      </c>
      <c r="E102" s="292">
        <v>2</v>
      </c>
      <c r="F102" s="292">
        <v>2</v>
      </c>
      <c r="G102" s="292" t="s">
        <v>637</v>
      </c>
      <c r="H102" s="292" t="s">
        <v>739</v>
      </c>
      <c r="I102" s="293">
        <v>4200</v>
      </c>
    </row>
    <row r="103" spans="1:9" x14ac:dyDescent="0.3">
      <c r="A103" s="290">
        <v>45835</v>
      </c>
      <c r="B103" s="290">
        <v>45837</v>
      </c>
      <c r="C103" s="294" t="s">
        <v>639</v>
      </c>
      <c r="D103" s="292" t="s">
        <v>738</v>
      </c>
      <c r="E103" s="292">
        <v>3</v>
      </c>
      <c r="F103" s="292">
        <v>2</v>
      </c>
      <c r="G103" s="292" t="s">
        <v>637</v>
      </c>
      <c r="H103" s="292" t="s">
        <v>638</v>
      </c>
      <c r="I103" s="293">
        <v>7131</v>
      </c>
    </row>
    <row r="104" spans="1:9" x14ac:dyDescent="0.3">
      <c r="A104" s="290">
        <v>45838</v>
      </c>
      <c r="B104" s="290">
        <v>45839</v>
      </c>
      <c r="C104" s="294" t="s">
        <v>639</v>
      </c>
      <c r="D104" s="292" t="s">
        <v>740</v>
      </c>
      <c r="E104" s="292">
        <v>2</v>
      </c>
      <c r="F104" s="292">
        <v>2</v>
      </c>
      <c r="G104" s="292" t="s">
        <v>637</v>
      </c>
      <c r="H104" s="292" t="s">
        <v>638</v>
      </c>
      <c r="I104" s="293">
        <v>4439</v>
      </c>
    </row>
    <row r="105" spans="1:9" x14ac:dyDescent="0.3">
      <c r="A105" s="290">
        <v>45842</v>
      </c>
      <c r="B105" s="290">
        <v>45843</v>
      </c>
      <c r="C105" s="294" t="s">
        <v>639</v>
      </c>
      <c r="D105" s="292" t="s">
        <v>741</v>
      </c>
      <c r="E105" s="292">
        <v>2</v>
      </c>
      <c r="F105" s="292">
        <v>4</v>
      </c>
      <c r="G105" s="292" t="s">
        <v>637</v>
      </c>
      <c r="H105" s="292" t="s">
        <v>638</v>
      </c>
      <c r="I105" s="293">
        <v>6610</v>
      </c>
    </row>
    <row r="106" spans="1:9" x14ac:dyDescent="0.3">
      <c r="A106" s="290">
        <v>45843</v>
      </c>
      <c r="B106" s="290">
        <v>45844</v>
      </c>
      <c r="C106" s="291" t="s">
        <v>8</v>
      </c>
      <c r="D106" s="292" t="s">
        <v>742</v>
      </c>
      <c r="E106" s="292">
        <v>2</v>
      </c>
      <c r="F106" s="292">
        <v>2</v>
      </c>
      <c r="G106" s="292" t="s">
        <v>637</v>
      </c>
      <c r="H106" s="292" t="s">
        <v>638</v>
      </c>
      <c r="I106" s="293">
        <v>4439</v>
      </c>
    </row>
    <row r="107" spans="1:9" x14ac:dyDescent="0.3">
      <c r="A107" s="290">
        <v>45844</v>
      </c>
      <c r="B107" s="290">
        <v>45845</v>
      </c>
      <c r="C107" s="294" t="s">
        <v>639</v>
      </c>
      <c r="D107" s="292" t="s">
        <v>743</v>
      </c>
      <c r="E107" s="292">
        <v>2</v>
      </c>
      <c r="F107" s="292">
        <v>4</v>
      </c>
      <c r="G107" s="292" t="s">
        <v>637</v>
      </c>
      <c r="H107" s="292" t="s">
        <v>638</v>
      </c>
      <c r="I107" s="293">
        <v>6792</v>
      </c>
    </row>
    <row r="108" spans="1:9" x14ac:dyDescent="0.3">
      <c r="A108" s="290">
        <v>45845</v>
      </c>
      <c r="B108" s="290">
        <v>45847</v>
      </c>
      <c r="C108" s="291" t="s">
        <v>8</v>
      </c>
      <c r="D108" s="292" t="s">
        <v>744</v>
      </c>
      <c r="E108" s="292">
        <v>3</v>
      </c>
      <c r="F108" s="292">
        <v>3</v>
      </c>
      <c r="G108" s="292" t="s">
        <v>637</v>
      </c>
      <c r="H108" s="292" t="s">
        <v>638</v>
      </c>
      <c r="I108" s="293">
        <v>7896</v>
      </c>
    </row>
    <row r="109" spans="1:9" x14ac:dyDescent="0.3">
      <c r="A109" s="290">
        <v>45847</v>
      </c>
      <c r="B109" s="290">
        <v>45848</v>
      </c>
      <c r="C109" s="294" t="s">
        <v>639</v>
      </c>
      <c r="D109" s="292" t="s">
        <v>745</v>
      </c>
      <c r="E109" s="292">
        <v>2</v>
      </c>
      <c r="F109" s="292">
        <v>4</v>
      </c>
      <c r="G109" s="292" t="s">
        <v>637</v>
      </c>
      <c r="H109" s="292" t="s">
        <v>638</v>
      </c>
      <c r="I109" s="293">
        <v>6336</v>
      </c>
    </row>
    <row r="110" spans="1:9" x14ac:dyDescent="0.3">
      <c r="A110" s="290">
        <v>45848</v>
      </c>
      <c r="B110" s="290">
        <v>45851</v>
      </c>
      <c r="C110" s="291" t="s">
        <v>8</v>
      </c>
      <c r="D110" s="292" t="s">
        <v>746</v>
      </c>
      <c r="E110" s="292">
        <v>4</v>
      </c>
      <c r="F110" s="292">
        <v>2</v>
      </c>
      <c r="G110" s="292" t="s">
        <v>637</v>
      </c>
      <c r="H110" s="292" t="s">
        <v>638</v>
      </c>
      <c r="I110" s="293">
        <v>8347</v>
      </c>
    </row>
    <row r="111" spans="1:9" x14ac:dyDescent="0.3">
      <c r="A111" s="290">
        <v>45849</v>
      </c>
      <c r="B111" s="290">
        <v>45850</v>
      </c>
      <c r="C111" s="294" t="s">
        <v>639</v>
      </c>
      <c r="D111" s="292" t="s">
        <v>747</v>
      </c>
      <c r="E111" s="292">
        <v>2</v>
      </c>
      <c r="F111" s="292">
        <v>3</v>
      </c>
      <c r="G111" s="292" t="s">
        <v>637</v>
      </c>
      <c r="H111" s="292" t="s">
        <v>638</v>
      </c>
      <c r="I111" s="293">
        <v>7510</v>
      </c>
    </row>
    <row r="112" spans="1:9" x14ac:dyDescent="0.3">
      <c r="A112" s="290">
        <v>45851</v>
      </c>
      <c r="B112" s="290">
        <v>45851</v>
      </c>
      <c r="C112" s="294" t="s">
        <v>639</v>
      </c>
      <c r="D112" s="292" t="s">
        <v>748</v>
      </c>
      <c r="E112" s="292">
        <v>1</v>
      </c>
      <c r="F112" s="292">
        <v>3</v>
      </c>
      <c r="G112" s="292" t="s">
        <v>646</v>
      </c>
      <c r="H112" s="292" t="s">
        <v>638</v>
      </c>
      <c r="I112" s="293">
        <v>4750</v>
      </c>
    </row>
    <row r="113" spans="1:9" x14ac:dyDescent="0.3">
      <c r="A113" s="290">
        <v>45852</v>
      </c>
      <c r="B113" s="290">
        <v>45854</v>
      </c>
      <c r="C113" s="294" t="s">
        <v>639</v>
      </c>
      <c r="D113" s="292" t="s">
        <v>749</v>
      </c>
      <c r="E113" s="292">
        <v>3</v>
      </c>
      <c r="F113" s="292">
        <v>4</v>
      </c>
      <c r="G113" s="292" t="s">
        <v>637</v>
      </c>
      <c r="H113" s="292" t="s">
        <v>638</v>
      </c>
      <c r="I113" s="293">
        <v>12393</v>
      </c>
    </row>
    <row r="114" spans="1:9" x14ac:dyDescent="0.3">
      <c r="A114" s="290">
        <v>45853</v>
      </c>
      <c r="B114" s="290">
        <v>45854</v>
      </c>
      <c r="C114" s="291" t="s">
        <v>8</v>
      </c>
      <c r="D114" s="292" t="s">
        <v>750</v>
      </c>
      <c r="E114" s="292">
        <v>2</v>
      </c>
      <c r="F114" s="292">
        <v>4</v>
      </c>
      <c r="G114" s="292" t="s">
        <v>637</v>
      </c>
      <c r="H114" s="292" t="s">
        <v>638</v>
      </c>
      <c r="I114" s="293">
        <v>5692</v>
      </c>
    </row>
    <row r="115" spans="1:9" x14ac:dyDescent="0.3">
      <c r="A115" s="290">
        <v>45855</v>
      </c>
      <c r="B115" s="290">
        <v>45855</v>
      </c>
      <c r="C115" s="291" t="s">
        <v>8</v>
      </c>
      <c r="D115" s="292" t="s">
        <v>750</v>
      </c>
      <c r="E115" s="292">
        <v>1</v>
      </c>
      <c r="F115" s="292">
        <v>4</v>
      </c>
      <c r="G115" s="292" t="s">
        <v>637</v>
      </c>
      <c r="H115" s="292" t="s">
        <v>739</v>
      </c>
      <c r="I115" s="293">
        <v>2600</v>
      </c>
    </row>
    <row r="116" spans="1:9" x14ac:dyDescent="0.3">
      <c r="A116" s="290">
        <v>45856</v>
      </c>
      <c r="B116" s="290">
        <v>45856</v>
      </c>
      <c r="C116" s="294" t="s">
        <v>639</v>
      </c>
      <c r="D116" s="292" t="s">
        <v>751</v>
      </c>
      <c r="E116" s="292">
        <v>1</v>
      </c>
      <c r="F116" s="292">
        <v>4</v>
      </c>
      <c r="G116" s="292" t="s">
        <v>637</v>
      </c>
      <c r="H116" s="292" t="s">
        <v>638</v>
      </c>
      <c r="I116" s="293">
        <v>2851</v>
      </c>
    </row>
    <row r="117" spans="1:9" x14ac:dyDescent="0.3">
      <c r="A117" s="290">
        <v>45857</v>
      </c>
      <c r="B117" s="290">
        <v>45858</v>
      </c>
      <c r="C117" s="291" t="s">
        <v>8</v>
      </c>
      <c r="D117" s="292" t="s">
        <v>752</v>
      </c>
      <c r="E117" s="292">
        <v>2</v>
      </c>
      <c r="F117" s="292">
        <v>2</v>
      </c>
      <c r="G117" s="292" t="s">
        <v>637</v>
      </c>
      <c r="H117" s="292" t="s">
        <v>638</v>
      </c>
      <c r="I117" s="293">
        <v>4142</v>
      </c>
    </row>
    <row r="118" spans="1:9" x14ac:dyDescent="0.3">
      <c r="A118" s="290">
        <v>45857</v>
      </c>
      <c r="B118" s="290">
        <v>45859</v>
      </c>
      <c r="C118" s="294" t="s">
        <v>639</v>
      </c>
      <c r="D118" s="292" t="s">
        <v>753</v>
      </c>
      <c r="E118" s="292">
        <v>3</v>
      </c>
      <c r="F118" s="292">
        <v>3</v>
      </c>
      <c r="G118" s="292" t="s">
        <v>637</v>
      </c>
      <c r="H118" s="292" t="s">
        <v>638</v>
      </c>
      <c r="I118" s="293">
        <v>7295</v>
      </c>
    </row>
    <row r="119" spans="1:9" x14ac:dyDescent="0.3">
      <c r="A119" s="290">
        <v>45859</v>
      </c>
      <c r="B119" s="290">
        <v>45866</v>
      </c>
      <c r="C119" s="291" t="s">
        <v>8</v>
      </c>
      <c r="D119" s="292" t="s">
        <v>754</v>
      </c>
      <c r="E119" s="292">
        <v>8</v>
      </c>
      <c r="F119" s="292">
        <v>2</v>
      </c>
      <c r="G119" s="292" t="s">
        <v>637</v>
      </c>
      <c r="H119" s="292" t="s">
        <v>663</v>
      </c>
      <c r="I119" s="293">
        <v>15911</v>
      </c>
    </row>
    <row r="120" spans="1:9" x14ac:dyDescent="0.3">
      <c r="A120" s="290">
        <v>45860</v>
      </c>
      <c r="B120" s="290">
        <v>45860</v>
      </c>
      <c r="C120" s="294" t="s">
        <v>639</v>
      </c>
      <c r="D120" s="292" t="s">
        <v>753</v>
      </c>
      <c r="E120" s="292">
        <v>1</v>
      </c>
      <c r="F120" s="292">
        <v>3</v>
      </c>
      <c r="G120" s="292" t="s">
        <v>646</v>
      </c>
      <c r="H120" s="292" t="s">
        <v>638</v>
      </c>
      <c r="I120" s="293">
        <v>2916</v>
      </c>
    </row>
    <row r="121" spans="1:9" x14ac:dyDescent="0.3">
      <c r="A121" s="290">
        <v>45863</v>
      </c>
      <c r="B121" s="290">
        <v>45867</v>
      </c>
      <c r="C121" s="294" t="s">
        <v>639</v>
      </c>
      <c r="D121" s="292" t="s">
        <v>755</v>
      </c>
      <c r="E121" s="292">
        <v>5</v>
      </c>
      <c r="F121" s="292">
        <v>2</v>
      </c>
      <c r="G121" s="292" t="s">
        <v>637</v>
      </c>
      <c r="H121" s="292" t="s">
        <v>638</v>
      </c>
      <c r="I121" s="293">
        <v>11934</v>
      </c>
    </row>
    <row r="122" spans="1:9" x14ac:dyDescent="0.3">
      <c r="A122" s="290">
        <v>45868</v>
      </c>
      <c r="B122" s="290">
        <v>45868</v>
      </c>
      <c r="C122" s="291" t="s">
        <v>8</v>
      </c>
      <c r="D122" s="292" t="s">
        <v>755</v>
      </c>
      <c r="E122" s="292">
        <v>1</v>
      </c>
      <c r="F122" s="292">
        <v>2</v>
      </c>
      <c r="G122" s="292" t="s">
        <v>637</v>
      </c>
      <c r="H122" s="292" t="s">
        <v>723</v>
      </c>
      <c r="I122" s="293">
        <v>2300</v>
      </c>
    </row>
    <row r="123" spans="1:9" x14ac:dyDescent="0.3">
      <c r="A123" s="290">
        <v>45869</v>
      </c>
      <c r="B123" s="290">
        <v>45871</v>
      </c>
      <c r="C123" s="291" t="s">
        <v>8</v>
      </c>
      <c r="D123" s="292" t="s">
        <v>756</v>
      </c>
      <c r="E123" s="292">
        <v>3</v>
      </c>
      <c r="F123" s="292">
        <v>4</v>
      </c>
      <c r="G123" s="292" t="s">
        <v>637</v>
      </c>
      <c r="H123" s="292" t="s">
        <v>638</v>
      </c>
      <c r="I123" s="293">
        <v>9169</v>
      </c>
    </row>
    <row r="124" spans="1:9" x14ac:dyDescent="0.3">
      <c r="A124" s="290">
        <v>45870</v>
      </c>
      <c r="B124" s="290">
        <v>45870</v>
      </c>
      <c r="C124" s="294" t="s">
        <v>639</v>
      </c>
      <c r="D124" s="292" t="s">
        <v>757</v>
      </c>
      <c r="E124" s="292">
        <v>1</v>
      </c>
      <c r="F124" s="292">
        <v>4</v>
      </c>
      <c r="G124" s="292" t="s">
        <v>637</v>
      </c>
      <c r="H124" s="292" t="s">
        <v>663</v>
      </c>
      <c r="I124" s="293">
        <v>3800</v>
      </c>
    </row>
    <row r="125" spans="1:9" x14ac:dyDescent="0.3">
      <c r="A125" s="290">
        <v>45871</v>
      </c>
      <c r="B125" s="290">
        <v>45871</v>
      </c>
      <c r="C125" s="294" t="s">
        <v>639</v>
      </c>
      <c r="D125" s="292" t="s">
        <v>758</v>
      </c>
      <c r="E125" s="292">
        <v>1</v>
      </c>
      <c r="F125" s="292">
        <v>3</v>
      </c>
      <c r="G125" s="292" t="s">
        <v>646</v>
      </c>
      <c r="H125" s="292" t="s">
        <v>638</v>
      </c>
      <c r="I125" s="293">
        <v>3965</v>
      </c>
    </row>
    <row r="126" spans="1:9" x14ac:dyDescent="0.3">
      <c r="A126" s="290">
        <v>45872</v>
      </c>
      <c r="B126" s="290">
        <v>45873</v>
      </c>
      <c r="C126" s="294" t="s">
        <v>639</v>
      </c>
      <c r="D126" s="292" t="s">
        <v>759</v>
      </c>
      <c r="E126" s="292">
        <v>2</v>
      </c>
      <c r="F126" s="292">
        <v>2</v>
      </c>
      <c r="G126" s="292" t="s">
        <v>641</v>
      </c>
      <c r="H126" s="292" t="s">
        <v>723</v>
      </c>
      <c r="I126" s="293">
        <v>0</v>
      </c>
    </row>
    <row r="127" spans="1:9" x14ac:dyDescent="0.3">
      <c r="A127" s="290">
        <v>45872</v>
      </c>
      <c r="B127" s="290">
        <v>45874</v>
      </c>
      <c r="C127" s="291" t="s">
        <v>8</v>
      </c>
      <c r="D127" s="292" t="s">
        <v>760</v>
      </c>
      <c r="E127" s="292">
        <v>3</v>
      </c>
      <c r="F127" s="292">
        <v>2</v>
      </c>
      <c r="G127" s="292" t="s">
        <v>637</v>
      </c>
      <c r="H127" s="292" t="s">
        <v>638</v>
      </c>
      <c r="I127" s="293">
        <v>6214</v>
      </c>
    </row>
    <row r="128" spans="1:9" x14ac:dyDescent="0.3">
      <c r="A128" s="290">
        <v>45874</v>
      </c>
      <c r="B128" s="290">
        <v>45876</v>
      </c>
      <c r="C128" s="294" t="s">
        <v>639</v>
      </c>
      <c r="D128" s="292" t="s">
        <v>761</v>
      </c>
      <c r="E128" s="292">
        <v>3</v>
      </c>
      <c r="F128" s="292">
        <v>4</v>
      </c>
      <c r="G128" s="292" t="s">
        <v>637</v>
      </c>
      <c r="H128" s="292" t="s">
        <v>638</v>
      </c>
      <c r="I128" s="293">
        <v>8554</v>
      </c>
    </row>
    <row r="129" spans="1:9" x14ac:dyDescent="0.3">
      <c r="A129" s="290">
        <v>45875</v>
      </c>
      <c r="B129" s="290">
        <v>45877</v>
      </c>
      <c r="C129" s="291" t="s">
        <v>8</v>
      </c>
      <c r="D129" s="292" t="s">
        <v>762</v>
      </c>
      <c r="E129" s="292">
        <v>3</v>
      </c>
      <c r="F129" s="292">
        <v>3</v>
      </c>
      <c r="G129" s="292" t="s">
        <v>646</v>
      </c>
      <c r="H129" s="292" t="s">
        <v>638</v>
      </c>
      <c r="I129" s="293">
        <v>10692</v>
      </c>
    </row>
    <row r="130" spans="1:9" x14ac:dyDescent="0.3">
      <c r="A130" s="290">
        <v>45877</v>
      </c>
      <c r="B130" s="290">
        <v>45879</v>
      </c>
      <c r="C130" s="294" t="s">
        <v>639</v>
      </c>
      <c r="D130" s="292" t="s">
        <v>763</v>
      </c>
      <c r="E130" s="292">
        <v>3</v>
      </c>
      <c r="F130" s="292">
        <v>2</v>
      </c>
      <c r="G130" s="292" t="s">
        <v>637</v>
      </c>
      <c r="H130" s="292" t="s">
        <v>638</v>
      </c>
      <c r="I130" s="293">
        <v>8618</v>
      </c>
    </row>
    <row r="131" spans="1:9" x14ac:dyDescent="0.3">
      <c r="A131" s="290">
        <v>45878</v>
      </c>
      <c r="B131" s="290">
        <v>45879</v>
      </c>
      <c r="C131" s="291" t="s">
        <v>8</v>
      </c>
      <c r="D131" s="292" t="s">
        <v>764</v>
      </c>
      <c r="E131" s="292">
        <v>2</v>
      </c>
      <c r="F131" s="292">
        <v>2</v>
      </c>
      <c r="G131" s="292" t="s">
        <v>637</v>
      </c>
      <c r="H131" s="292" t="s">
        <v>638</v>
      </c>
      <c r="I131" s="293">
        <v>5928</v>
      </c>
    </row>
    <row r="132" spans="1:9" x14ac:dyDescent="0.3">
      <c r="A132" s="290">
        <v>45881</v>
      </c>
      <c r="B132" s="290">
        <v>45881</v>
      </c>
      <c r="C132" s="291" t="s">
        <v>8</v>
      </c>
      <c r="D132" s="292" t="s">
        <v>765</v>
      </c>
      <c r="E132" s="292">
        <v>1</v>
      </c>
      <c r="F132" s="292">
        <v>3</v>
      </c>
      <c r="G132" s="292" t="s">
        <v>637</v>
      </c>
      <c r="H132" s="292" t="s">
        <v>638</v>
      </c>
      <c r="I132" s="293">
        <v>2632</v>
      </c>
    </row>
    <row r="133" spans="1:9" x14ac:dyDescent="0.3">
      <c r="A133" s="290">
        <v>45881</v>
      </c>
      <c r="B133" s="290">
        <v>45882</v>
      </c>
      <c r="C133" s="294" t="s">
        <v>639</v>
      </c>
      <c r="D133" s="292" t="s">
        <v>766</v>
      </c>
      <c r="E133" s="292">
        <v>2</v>
      </c>
      <c r="F133" s="292">
        <v>4</v>
      </c>
      <c r="G133" s="292" t="s">
        <v>637</v>
      </c>
      <c r="H133" s="292" t="s">
        <v>638</v>
      </c>
      <c r="I133" s="293">
        <v>6792</v>
      </c>
    </row>
    <row r="134" spans="1:9" x14ac:dyDescent="0.3">
      <c r="A134" s="290">
        <v>45882</v>
      </c>
      <c r="B134" s="290">
        <v>45882</v>
      </c>
      <c r="C134" s="291" t="s">
        <v>8</v>
      </c>
      <c r="D134" s="292" t="s">
        <v>767</v>
      </c>
      <c r="E134" s="292">
        <v>1</v>
      </c>
      <c r="F134" s="292">
        <v>1</v>
      </c>
      <c r="G134" s="292" t="s">
        <v>637</v>
      </c>
      <c r="H134" s="292" t="s">
        <v>723</v>
      </c>
      <c r="I134" s="293">
        <v>0</v>
      </c>
    </row>
    <row r="135" spans="1:9" x14ac:dyDescent="0.3">
      <c r="A135" s="290">
        <v>45884</v>
      </c>
      <c r="B135" s="290">
        <v>45885</v>
      </c>
      <c r="C135" s="294" t="s">
        <v>639</v>
      </c>
      <c r="D135" s="292" t="s">
        <v>768</v>
      </c>
      <c r="E135" s="292">
        <v>2</v>
      </c>
      <c r="F135" s="292">
        <v>2</v>
      </c>
      <c r="G135" s="292" t="s">
        <v>637</v>
      </c>
      <c r="H135" s="292" t="s">
        <v>638</v>
      </c>
      <c r="I135" s="293">
        <v>4411</v>
      </c>
    </row>
    <row r="136" spans="1:9" x14ac:dyDescent="0.3">
      <c r="A136" s="290">
        <v>45884</v>
      </c>
      <c r="B136" s="290">
        <v>45886</v>
      </c>
      <c r="C136" s="291" t="s">
        <v>8</v>
      </c>
      <c r="D136" s="292" t="s">
        <v>769</v>
      </c>
      <c r="E136" s="292">
        <v>3</v>
      </c>
      <c r="F136" s="292">
        <v>2</v>
      </c>
      <c r="G136" s="292" t="s">
        <v>646</v>
      </c>
      <c r="H136" s="292" t="s">
        <v>638</v>
      </c>
      <c r="I136" s="293">
        <v>10659</v>
      </c>
    </row>
    <row r="137" spans="1:9" x14ac:dyDescent="0.3">
      <c r="A137" s="290">
        <v>45886</v>
      </c>
      <c r="B137" s="290">
        <v>45887</v>
      </c>
      <c r="C137" s="294" t="s">
        <v>639</v>
      </c>
      <c r="D137" s="292" t="s">
        <v>770</v>
      </c>
      <c r="E137" s="292">
        <v>2</v>
      </c>
      <c r="F137" s="292">
        <v>2</v>
      </c>
      <c r="G137" s="292" t="s">
        <v>637</v>
      </c>
      <c r="H137" s="292" t="s">
        <v>638</v>
      </c>
      <c r="I137" s="293">
        <v>3893</v>
      </c>
    </row>
    <row r="138" spans="1:9" x14ac:dyDescent="0.3">
      <c r="A138" s="290">
        <v>45887</v>
      </c>
      <c r="B138" s="290">
        <v>45887</v>
      </c>
      <c r="C138" s="291" t="s">
        <v>8</v>
      </c>
      <c r="D138" s="292" t="s">
        <v>771</v>
      </c>
      <c r="E138" s="292">
        <v>1</v>
      </c>
      <c r="F138" s="292">
        <v>3</v>
      </c>
      <c r="G138" s="292" t="s">
        <v>637</v>
      </c>
      <c r="H138" s="292" t="s">
        <v>638</v>
      </c>
      <c r="I138" s="293">
        <v>2455</v>
      </c>
    </row>
    <row r="139" spans="1:9" x14ac:dyDescent="0.3">
      <c r="A139" s="290">
        <v>45888</v>
      </c>
      <c r="B139" s="290">
        <v>45889</v>
      </c>
      <c r="C139" s="291" t="s">
        <v>8</v>
      </c>
      <c r="D139" s="292" t="s">
        <v>772</v>
      </c>
      <c r="E139" s="292">
        <v>2</v>
      </c>
      <c r="F139" s="292">
        <v>4</v>
      </c>
      <c r="G139" s="292" t="s">
        <v>646</v>
      </c>
      <c r="H139" s="292" t="s">
        <v>638</v>
      </c>
      <c r="I139" s="293">
        <v>11457</v>
      </c>
    </row>
    <row r="140" spans="1:9" x14ac:dyDescent="0.3">
      <c r="A140" s="290">
        <v>45888</v>
      </c>
      <c r="B140" s="290">
        <v>45890</v>
      </c>
      <c r="C140" s="294" t="s">
        <v>639</v>
      </c>
      <c r="D140" s="292" t="s">
        <v>773</v>
      </c>
      <c r="E140" s="292">
        <v>3</v>
      </c>
      <c r="F140" s="292">
        <v>2</v>
      </c>
      <c r="G140" s="292" t="s">
        <v>637</v>
      </c>
      <c r="H140" s="292" t="s">
        <v>638</v>
      </c>
      <c r="I140" s="293">
        <v>6658</v>
      </c>
    </row>
    <row r="141" spans="1:9" x14ac:dyDescent="0.3">
      <c r="A141" s="290">
        <v>45891</v>
      </c>
      <c r="B141" s="290">
        <v>45892</v>
      </c>
      <c r="C141" s="291" t="s">
        <v>8</v>
      </c>
      <c r="D141" s="292" t="s">
        <v>774</v>
      </c>
      <c r="E141" s="292">
        <v>2</v>
      </c>
      <c r="F141" s="292">
        <v>4</v>
      </c>
      <c r="G141" s="292" t="s">
        <v>646</v>
      </c>
      <c r="H141" s="292" t="s">
        <v>638</v>
      </c>
      <c r="I141" s="293">
        <v>8968</v>
      </c>
    </row>
    <row r="142" spans="1:9" x14ac:dyDescent="0.3">
      <c r="A142" s="290">
        <v>45892</v>
      </c>
      <c r="B142" s="290">
        <v>45895</v>
      </c>
      <c r="C142" s="294" t="s">
        <v>639</v>
      </c>
      <c r="D142" s="292" t="s">
        <v>775</v>
      </c>
      <c r="E142" s="292">
        <v>4</v>
      </c>
      <c r="F142" s="292">
        <v>4</v>
      </c>
      <c r="G142" s="292" t="s">
        <v>646</v>
      </c>
      <c r="H142" s="292" t="s">
        <v>638</v>
      </c>
      <c r="I142" s="293">
        <v>16925</v>
      </c>
    </row>
    <row r="143" spans="1:9" x14ac:dyDescent="0.3">
      <c r="A143" s="290">
        <v>45893</v>
      </c>
      <c r="B143" s="290">
        <v>45894</v>
      </c>
      <c r="C143" s="291" t="s">
        <v>8</v>
      </c>
      <c r="D143" s="292" t="s">
        <v>776</v>
      </c>
      <c r="E143" s="292">
        <v>2</v>
      </c>
      <c r="F143" s="292">
        <v>2</v>
      </c>
      <c r="G143" s="292" t="s">
        <v>637</v>
      </c>
      <c r="H143" s="292" t="s">
        <v>638</v>
      </c>
      <c r="I143" s="293">
        <v>4439</v>
      </c>
    </row>
    <row r="144" spans="1:9" x14ac:dyDescent="0.3">
      <c r="A144" s="290">
        <v>45896</v>
      </c>
      <c r="B144" s="290">
        <v>45897</v>
      </c>
      <c r="C144" s="294" t="s">
        <v>639</v>
      </c>
      <c r="D144" s="292" t="s">
        <v>777</v>
      </c>
      <c r="E144" s="292">
        <v>2</v>
      </c>
      <c r="F144" s="292">
        <v>3</v>
      </c>
      <c r="G144" s="292" t="s">
        <v>637</v>
      </c>
      <c r="H144" s="292" t="s">
        <v>638</v>
      </c>
      <c r="I144" s="293">
        <v>4910</v>
      </c>
    </row>
    <row r="145" spans="1:9" x14ac:dyDescent="0.3">
      <c r="A145" s="290">
        <v>45896</v>
      </c>
      <c r="B145" s="290">
        <v>45897</v>
      </c>
      <c r="C145" s="291" t="s">
        <v>8</v>
      </c>
      <c r="D145" s="292" t="s">
        <v>777</v>
      </c>
      <c r="E145" s="292">
        <v>2</v>
      </c>
      <c r="F145" s="292">
        <v>2</v>
      </c>
      <c r="G145" s="292" t="s">
        <v>637</v>
      </c>
      <c r="H145" s="292" t="s">
        <v>638</v>
      </c>
      <c r="I145" s="293">
        <v>4142</v>
      </c>
    </row>
    <row r="146" spans="1:9" x14ac:dyDescent="0.3">
      <c r="A146" s="290">
        <v>45898</v>
      </c>
      <c r="B146" s="290">
        <v>45899</v>
      </c>
      <c r="C146" s="291" t="s">
        <v>8</v>
      </c>
      <c r="D146" s="292" t="s">
        <v>777</v>
      </c>
      <c r="E146" s="292">
        <v>2</v>
      </c>
      <c r="F146" s="292">
        <v>4</v>
      </c>
      <c r="G146" s="292" t="s">
        <v>637</v>
      </c>
      <c r="H146" s="292" t="s">
        <v>638</v>
      </c>
      <c r="I146" s="293">
        <v>5702</v>
      </c>
    </row>
    <row r="147" spans="1:9" x14ac:dyDescent="0.3">
      <c r="A147" s="290">
        <v>45898</v>
      </c>
      <c r="B147" s="290">
        <v>45899</v>
      </c>
      <c r="C147" s="294" t="s">
        <v>639</v>
      </c>
      <c r="D147" s="292" t="s">
        <v>778</v>
      </c>
      <c r="E147" s="292">
        <v>2</v>
      </c>
      <c r="F147" s="292">
        <v>2</v>
      </c>
      <c r="G147" s="292" t="s">
        <v>641</v>
      </c>
      <c r="H147" s="292" t="s">
        <v>723</v>
      </c>
      <c r="I147" s="293">
        <v>0</v>
      </c>
    </row>
    <row r="148" spans="1:9" x14ac:dyDescent="0.3">
      <c r="A148" s="290">
        <v>45903</v>
      </c>
      <c r="B148" s="290">
        <v>45903</v>
      </c>
      <c r="C148" s="294" t="s">
        <v>639</v>
      </c>
      <c r="D148" s="292" t="s">
        <v>779</v>
      </c>
      <c r="E148" s="292">
        <v>1</v>
      </c>
      <c r="F148" s="292">
        <v>2</v>
      </c>
      <c r="G148" s="292" t="s">
        <v>646</v>
      </c>
      <c r="H148" s="292" t="s">
        <v>638</v>
      </c>
      <c r="I148" s="293">
        <v>3344</v>
      </c>
    </row>
    <row r="149" spans="1:9" x14ac:dyDescent="0.3">
      <c r="A149" s="290">
        <v>45903</v>
      </c>
      <c r="B149" s="290">
        <v>45903</v>
      </c>
      <c r="C149" s="291" t="s">
        <v>8</v>
      </c>
      <c r="D149" s="292" t="s">
        <v>780</v>
      </c>
      <c r="E149" s="292">
        <v>1</v>
      </c>
      <c r="F149" s="292">
        <v>2</v>
      </c>
      <c r="G149" s="292" t="s">
        <v>637</v>
      </c>
      <c r="H149" s="292" t="s">
        <v>638</v>
      </c>
      <c r="I149" s="293">
        <v>2071</v>
      </c>
    </row>
    <row r="150" spans="1:9" x14ac:dyDescent="0.3">
      <c r="A150" s="290">
        <v>45905</v>
      </c>
      <c r="B150" s="290">
        <v>45905</v>
      </c>
      <c r="C150" s="291" t="s">
        <v>8</v>
      </c>
      <c r="D150" s="292" t="s">
        <v>781</v>
      </c>
      <c r="E150" s="292">
        <v>1</v>
      </c>
      <c r="F150" s="292">
        <v>2</v>
      </c>
      <c r="G150" s="292" t="s">
        <v>637</v>
      </c>
      <c r="H150" s="292" t="s">
        <v>638</v>
      </c>
      <c r="I150" s="293">
        <v>2071</v>
      </c>
    </row>
    <row r="151" spans="1:9" x14ac:dyDescent="0.3">
      <c r="A151" s="290">
        <v>45906</v>
      </c>
      <c r="B151" s="290">
        <v>45906</v>
      </c>
      <c r="C151" s="294" t="s">
        <v>639</v>
      </c>
      <c r="D151" s="292" t="s">
        <v>782</v>
      </c>
      <c r="E151" s="292">
        <v>1</v>
      </c>
      <c r="F151" s="292">
        <v>2</v>
      </c>
      <c r="G151" s="292" t="s">
        <v>646</v>
      </c>
      <c r="H151" s="292" t="s">
        <v>638</v>
      </c>
      <c r="I151" s="293">
        <v>3344</v>
      </c>
    </row>
    <row r="152" spans="1:9" x14ac:dyDescent="0.3">
      <c r="A152" s="290">
        <v>45907</v>
      </c>
      <c r="B152" s="290">
        <v>45907</v>
      </c>
      <c r="C152" s="294" t="s">
        <v>639</v>
      </c>
      <c r="D152" s="292" t="s">
        <v>783</v>
      </c>
      <c r="E152" s="292">
        <v>1</v>
      </c>
      <c r="F152" s="292">
        <v>2</v>
      </c>
      <c r="G152" s="292" t="s">
        <v>637</v>
      </c>
      <c r="H152" s="292" t="s">
        <v>638</v>
      </c>
      <c r="I152" s="293">
        <v>2071</v>
      </c>
    </row>
    <row r="153" spans="1:9" x14ac:dyDescent="0.3">
      <c r="A153" s="290">
        <v>45908</v>
      </c>
      <c r="B153" s="290">
        <v>45913</v>
      </c>
      <c r="C153" s="291" t="s">
        <v>8</v>
      </c>
      <c r="D153" s="292" t="s">
        <v>784</v>
      </c>
      <c r="E153" s="292">
        <v>6</v>
      </c>
      <c r="F153" s="292">
        <v>2</v>
      </c>
      <c r="G153" s="292" t="s">
        <v>646</v>
      </c>
      <c r="H153" s="292" t="s">
        <v>638</v>
      </c>
      <c r="I153" s="293">
        <v>20064</v>
      </c>
    </row>
    <row r="154" spans="1:9" x14ac:dyDescent="0.3">
      <c r="A154" s="290">
        <v>45909</v>
      </c>
      <c r="B154" s="290">
        <v>45910</v>
      </c>
      <c r="C154" s="294" t="s">
        <v>639</v>
      </c>
      <c r="D154" s="292" t="s">
        <v>785</v>
      </c>
      <c r="E154" s="292">
        <v>2</v>
      </c>
      <c r="F154" s="292">
        <v>2</v>
      </c>
      <c r="G154" s="292" t="s">
        <v>646</v>
      </c>
      <c r="H154" s="292" t="s">
        <v>638</v>
      </c>
      <c r="I154" s="293">
        <v>7355</v>
      </c>
    </row>
    <row r="155" spans="1:9" x14ac:dyDescent="0.3">
      <c r="A155" s="290">
        <v>45911</v>
      </c>
      <c r="B155" s="290">
        <v>45912</v>
      </c>
      <c r="C155" s="294" t="s">
        <v>639</v>
      </c>
      <c r="D155" s="292" t="s">
        <v>786</v>
      </c>
      <c r="E155" s="292">
        <v>2</v>
      </c>
      <c r="F155" s="292">
        <v>2</v>
      </c>
      <c r="G155" s="292" t="s">
        <v>646</v>
      </c>
      <c r="H155" s="292" t="s">
        <v>638</v>
      </c>
      <c r="I155" s="293">
        <v>6452</v>
      </c>
    </row>
    <row r="156" spans="1:9" x14ac:dyDescent="0.3">
      <c r="A156" s="290">
        <v>45913</v>
      </c>
      <c r="B156" s="290">
        <v>45916</v>
      </c>
      <c r="C156" s="294" t="s">
        <v>639</v>
      </c>
      <c r="D156" s="292" t="s">
        <v>787</v>
      </c>
      <c r="E156" s="292">
        <v>4</v>
      </c>
      <c r="F156" s="292">
        <v>3</v>
      </c>
      <c r="G156" s="292" t="s">
        <v>637</v>
      </c>
      <c r="H156" s="292" t="s">
        <v>638</v>
      </c>
      <c r="I156" s="293">
        <v>12016</v>
      </c>
    </row>
    <row r="157" spans="1:9" x14ac:dyDescent="0.3">
      <c r="A157" s="290">
        <v>45918</v>
      </c>
      <c r="B157" s="290">
        <v>45918</v>
      </c>
      <c r="C157" s="291" t="s">
        <v>8</v>
      </c>
      <c r="D157" s="292" t="s">
        <v>788</v>
      </c>
      <c r="E157" s="292">
        <v>1</v>
      </c>
      <c r="F157" s="292">
        <v>2</v>
      </c>
      <c r="G157" s="292" t="s">
        <v>637</v>
      </c>
      <c r="H157" s="292" t="s">
        <v>638</v>
      </c>
      <c r="I157" s="293">
        <v>2219</v>
      </c>
    </row>
    <row r="158" spans="1:9" x14ac:dyDescent="0.3">
      <c r="A158" s="290">
        <v>45919</v>
      </c>
      <c r="B158" s="290">
        <v>45920</v>
      </c>
      <c r="C158" s="291" t="s">
        <v>8</v>
      </c>
      <c r="D158" s="292" t="s">
        <v>789</v>
      </c>
      <c r="E158" s="292">
        <v>2</v>
      </c>
      <c r="F158" s="292">
        <v>2</v>
      </c>
      <c r="G158" s="292" t="s">
        <v>637</v>
      </c>
      <c r="H158" s="292" t="s">
        <v>638</v>
      </c>
      <c r="I158" s="293">
        <v>4439</v>
      </c>
    </row>
    <row r="159" spans="1:9" x14ac:dyDescent="0.3">
      <c r="A159" s="290">
        <v>45922</v>
      </c>
      <c r="B159" s="290">
        <v>45927</v>
      </c>
      <c r="C159" s="291" t="s">
        <v>8</v>
      </c>
      <c r="D159" s="292" t="s">
        <v>790</v>
      </c>
      <c r="E159" s="292">
        <v>6</v>
      </c>
      <c r="F159" s="292">
        <v>2</v>
      </c>
      <c r="G159" s="292" t="s">
        <v>637</v>
      </c>
      <c r="H159" s="292" t="s">
        <v>638</v>
      </c>
      <c r="I159" s="293">
        <v>14227</v>
      </c>
    </row>
    <row r="160" spans="1:9" x14ac:dyDescent="0.3">
      <c r="A160" s="290">
        <v>45924</v>
      </c>
      <c r="B160" s="290">
        <v>45924</v>
      </c>
      <c r="C160" s="294" t="s">
        <v>639</v>
      </c>
      <c r="D160" s="292" t="s">
        <v>791</v>
      </c>
      <c r="E160" s="292">
        <v>1</v>
      </c>
      <c r="F160" s="292">
        <v>2</v>
      </c>
      <c r="G160" s="292" t="s">
        <v>637</v>
      </c>
      <c r="H160" s="292" t="s">
        <v>638</v>
      </c>
      <c r="I160" s="293">
        <v>2254</v>
      </c>
    </row>
    <row r="161" spans="1:9" x14ac:dyDescent="0.3">
      <c r="A161" s="290">
        <v>45925</v>
      </c>
      <c r="B161" s="290">
        <v>45926</v>
      </c>
      <c r="C161" s="294" t="s">
        <v>639</v>
      </c>
      <c r="D161" s="292" t="s">
        <v>792</v>
      </c>
      <c r="E161" s="292">
        <v>2</v>
      </c>
      <c r="F161" s="292">
        <v>2</v>
      </c>
      <c r="G161" s="292" t="s">
        <v>646</v>
      </c>
      <c r="H161" s="292" t="s">
        <v>638</v>
      </c>
      <c r="I161" s="293">
        <v>6019</v>
      </c>
    </row>
    <row r="162" spans="1:9" x14ac:dyDescent="0.3">
      <c r="A162" s="290">
        <v>45927</v>
      </c>
      <c r="B162" s="290">
        <v>45927</v>
      </c>
      <c r="C162" s="294" t="s">
        <v>639</v>
      </c>
      <c r="D162" s="292" t="s">
        <v>793</v>
      </c>
      <c r="E162" s="292">
        <v>1</v>
      </c>
      <c r="F162" s="292">
        <v>2</v>
      </c>
      <c r="G162" s="292" t="s">
        <v>646</v>
      </c>
      <c r="H162" s="292" t="s">
        <v>638</v>
      </c>
      <c r="I162" s="293">
        <v>2844</v>
      </c>
    </row>
    <row r="163" spans="1:9" x14ac:dyDescent="0.3">
      <c r="A163" s="290">
        <v>45928</v>
      </c>
      <c r="B163" s="290">
        <v>45928</v>
      </c>
      <c r="C163" s="294" t="s">
        <v>639</v>
      </c>
      <c r="D163" s="292" t="s">
        <v>794</v>
      </c>
      <c r="E163" s="292">
        <v>1</v>
      </c>
      <c r="F163" s="292">
        <v>2</v>
      </c>
      <c r="G163" s="292" t="s">
        <v>637</v>
      </c>
      <c r="H163" s="292" t="s">
        <v>638</v>
      </c>
      <c r="I163" s="293">
        <v>2254</v>
      </c>
    </row>
    <row r="164" spans="1:9" x14ac:dyDescent="0.3">
      <c r="A164" s="290">
        <v>45928</v>
      </c>
      <c r="B164" s="290">
        <v>45929</v>
      </c>
      <c r="C164" s="291" t="s">
        <v>8</v>
      </c>
      <c r="D164" s="292" t="s">
        <v>795</v>
      </c>
      <c r="E164" s="292">
        <v>2</v>
      </c>
      <c r="F164" s="292">
        <v>4</v>
      </c>
      <c r="G164" s="292" t="s">
        <v>646</v>
      </c>
      <c r="H164" s="292" t="s">
        <v>638</v>
      </c>
      <c r="I164" s="293">
        <v>10184</v>
      </c>
    </row>
    <row r="165" spans="1:9" x14ac:dyDescent="0.3">
      <c r="A165" s="290">
        <v>45929</v>
      </c>
      <c r="B165" s="290">
        <v>45930</v>
      </c>
      <c r="C165" s="294" t="s">
        <v>639</v>
      </c>
      <c r="D165" s="292" t="s">
        <v>796</v>
      </c>
      <c r="E165" s="292">
        <v>2</v>
      </c>
      <c r="F165" s="292">
        <v>2</v>
      </c>
      <c r="G165" s="292" t="s">
        <v>637</v>
      </c>
      <c r="H165" s="292" t="s">
        <v>638</v>
      </c>
      <c r="I165" s="293">
        <v>5746</v>
      </c>
    </row>
    <row r="166" spans="1:9" x14ac:dyDescent="0.3">
      <c r="A166" s="290">
        <v>45930</v>
      </c>
      <c r="B166" s="290">
        <v>45931</v>
      </c>
      <c r="C166" s="291" t="s">
        <v>8</v>
      </c>
      <c r="D166" s="292" t="s">
        <v>797</v>
      </c>
      <c r="E166" s="292">
        <v>2</v>
      </c>
      <c r="F166" s="292">
        <v>4</v>
      </c>
      <c r="G166" s="292" t="s">
        <v>637</v>
      </c>
      <c r="H166" s="292" t="s">
        <v>638</v>
      </c>
      <c r="I166" s="293">
        <v>5333</v>
      </c>
    </row>
    <row r="167" spans="1:9" x14ac:dyDescent="0.3">
      <c r="A167" s="290">
        <v>45932</v>
      </c>
      <c r="B167" s="290">
        <v>45932</v>
      </c>
      <c r="C167" s="294" t="s">
        <v>639</v>
      </c>
      <c r="D167" s="292" t="s">
        <v>798</v>
      </c>
      <c r="E167" s="292">
        <v>1</v>
      </c>
      <c r="F167" s="292">
        <v>4</v>
      </c>
      <c r="G167" s="292" t="s">
        <v>637</v>
      </c>
      <c r="H167" s="292" t="s">
        <v>638</v>
      </c>
      <c r="I167" s="293">
        <v>2851</v>
      </c>
    </row>
    <row r="168" spans="1:9" x14ac:dyDescent="0.3">
      <c r="A168" s="290">
        <v>45932</v>
      </c>
      <c r="B168" s="290">
        <v>45932</v>
      </c>
      <c r="C168" s="291" t="s">
        <v>8</v>
      </c>
      <c r="D168" s="292" t="s">
        <v>799</v>
      </c>
      <c r="E168" s="292">
        <v>1</v>
      </c>
      <c r="F168" s="292">
        <v>2</v>
      </c>
      <c r="G168" s="292" t="s">
        <v>637</v>
      </c>
      <c r="H168" s="292" t="s">
        <v>638</v>
      </c>
      <c r="I168" s="293">
        <v>2130</v>
      </c>
    </row>
    <row r="169" spans="1:9" x14ac:dyDescent="0.3">
      <c r="A169" s="290">
        <v>45933</v>
      </c>
      <c r="B169" s="290">
        <v>45934</v>
      </c>
      <c r="C169" s="294" t="s">
        <v>639</v>
      </c>
      <c r="D169" s="292" t="s">
        <v>800</v>
      </c>
      <c r="E169" s="292">
        <v>2</v>
      </c>
      <c r="F169" s="292">
        <v>4</v>
      </c>
      <c r="G169" s="292" t="s">
        <v>637</v>
      </c>
      <c r="H169" s="292" t="s">
        <v>638</v>
      </c>
      <c r="I169" s="293">
        <v>6480</v>
      </c>
    </row>
    <row r="170" spans="1:9" x14ac:dyDescent="0.3">
      <c r="A170" s="290">
        <v>45933</v>
      </c>
      <c r="B170" s="290">
        <v>45934</v>
      </c>
      <c r="C170" s="291" t="s">
        <v>8</v>
      </c>
      <c r="D170" s="292" t="s">
        <v>801</v>
      </c>
      <c r="E170" s="292">
        <v>2</v>
      </c>
      <c r="F170" s="292">
        <v>3</v>
      </c>
      <c r="G170" s="292" t="s">
        <v>637</v>
      </c>
      <c r="H170" s="292" t="s">
        <v>638</v>
      </c>
      <c r="I170" s="293">
        <v>5122</v>
      </c>
    </row>
    <row r="171" spans="1:9" x14ac:dyDescent="0.3">
      <c r="A171" s="290">
        <v>45935</v>
      </c>
      <c r="B171" s="290">
        <v>45935</v>
      </c>
      <c r="C171" s="294" t="s">
        <v>639</v>
      </c>
      <c r="D171" s="292" t="s">
        <v>802</v>
      </c>
      <c r="E171" s="292">
        <v>1</v>
      </c>
      <c r="F171" s="292">
        <v>4</v>
      </c>
      <c r="G171" s="292" t="s">
        <v>646</v>
      </c>
      <c r="H171" s="292" t="s">
        <v>638</v>
      </c>
      <c r="I171" s="293">
        <v>5092</v>
      </c>
    </row>
    <row r="172" spans="1:9" x14ac:dyDescent="0.3">
      <c r="A172" s="290">
        <v>45935</v>
      </c>
      <c r="B172" s="290">
        <v>45935</v>
      </c>
      <c r="C172" s="291" t="s">
        <v>8</v>
      </c>
      <c r="D172" s="292" t="s">
        <v>802</v>
      </c>
      <c r="E172" s="292">
        <v>1</v>
      </c>
      <c r="F172" s="292">
        <v>4</v>
      </c>
      <c r="G172" s="292" t="s">
        <v>646</v>
      </c>
      <c r="H172" s="292" t="s">
        <v>638</v>
      </c>
      <c r="I172" s="293">
        <v>5092</v>
      </c>
    </row>
    <row r="173" spans="1:9" x14ac:dyDescent="0.3">
      <c r="A173" s="290">
        <v>45936</v>
      </c>
      <c r="B173" s="290">
        <v>45937</v>
      </c>
      <c r="C173" s="294" t="s">
        <v>639</v>
      </c>
      <c r="D173" s="292" t="s">
        <v>803</v>
      </c>
      <c r="E173" s="292">
        <v>2</v>
      </c>
      <c r="F173" s="292">
        <v>2</v>
      </c>
      <c r="G173" s="292" t="s">
        <v>637</v>
      </c>
      <c r="H173" s="292" t="s">
        <v>638</v>
      </c>
      <c r="I173" s="293">
        <v>4024</v>
      </c>
    </row>
    <row r="174" spans="1:9" x14ac:dyDescent="0.3">
      <c r="A174" s="290">
        <v>45938</v>
      </c>
      <c r="B174" s="290">
        <v>45938</v>
      </c>
      <c r="C174" s="294" t="s">
        <v>639</v>
      </c>
      <c r="D174" s="292" t="s">
        <v>804</v>
      </c>
      <c r="E174" s="292">
        <v>1</v>
      </c>
      <c r="F174" s="292">
        <v>2</v>
      </c>
      <c r="G174" s="292" t="s">
        <v>646</v>
      </c>
      <c r="H174" s="292" t="s">
        <v>638</v>
      </c>
      <c r="I174" s="293">
        <v>3344</v>
      </c>
    </row>
    <row r="175" spans="1:9" x14ac:dyDescent="0.3">
      <c r="A175" s="290">
        <v>45938</v>
      </c>
      <c r="B175" s="290">
        <v>45938</v>
      </c>
      <c r="C175" s="291" t="s">
        <v>8</v>
      </c>
      <c r="D175" s="292" t="s">
        <v>805</v>
      </c>
      <c r="E175" s="292">
        <v>1</v>
      </c>
      <c r="F175" s="292">
        <v>3</v>
      </c>
      <c r="G175" s="292" t="s">
        <v>637</v>
      </c>
      <c r="H175" s="292" t="s">
        <v>638</v>
      </c>
      <c r="I175" s="293">
        <v>2753</v>
      </c>
    </row>
    <row r="176" spans="1:9" x14ac:dyDescent="0.3">
      <c r="A176" s="290">
        <v>45939</v>
      </c>
      <c r="B176" s="290">
        <v>45943</v>
      </c>
      <c r="C176" s="291" t="s">
        <v>8</v>
      </c>
      <c r="D176" s="292" t="s">
        <v>806</v>
      </c>
      <c r="E176" s="292">
        <v>5</v>
      </c>
      <c r="F176" s="292">
        <v>4</v>
      </c>
      <c r="G176" s="292" t="s">
        <v>641</v>
      </c>
      <c r="H176" s="292" t="s">
        <v>723</v>
      </c>
      <c r="I176" s="293">
        <v>0</v>
      </c>
    </row>
    <row r="177" spans="1:9" x14ac:dyDescent="0.3">
      <c r="A177" s="290">
        <v>45944</v>
      </c>
      <c r="B177" s="290">
        <v>45945</v>
      </c>
      <c r="C177" s="291" t="s">
        <v>8</v>
      </c>
      <c r="D177" s="292" t="s">
        <v>807</v>
      </c>
      <c r="E177" s="292">
        <v>2</v>
      </c>
      <c r="F177" s="292">
        <v>2</v>
      </c>
      <c r="G177" s="292" t="s">
        <v>646</v>
      </c>
      <c r="H177" s="292" t="s">
        <v>638</v>
      </c>
      <c r="I177" s="293">
        <v>6688</v>
      </c>
    </row>
    <row r="178" spans="1:9" x14ac:dyDescent="0.3">
      <c r="A178" s="290">
        <v>45945</v>
      </c>
      <c r="B178" s="290">
        <v>45945</v>
      </c>
      <c r="C178" s="294" t="s">
        <v>639</v>
      </c>
      <c r="D178" s="292" t="s">
        <v>808</v>
      </c>
      <c r="E178" s="292">
        <v>1</v>
      </c>
      <c r="F178" s="292">
        <v>4</v>
      </c>
      <c r="G178" s="292" t="s">
        <v>637</v>
      </c>
      <c r="H178" s="292" t="s">
        <v>638</v>
      </c>
      <c r="I178" s="293">
        <v>3240</v>
      </c>
    </row>
    <row r="179" spans="1:9" x14ac:dyDescent="0.3">
      <c r="A179" s="290">
        <v>45946</v>
      </c>
      <c r="B179" s="290">
        <v>45946</v>
      </c>
      <c r="C179" s="294" t="s">
        <v>639</v>
      </c>
      <c r="D179" s="292" t="s">
        <v>809</v>
      </c>
      <c r="E179" s="292">
        <v>1</v>
      </c>
      <c r="F179" s="292">
        <v>2</v>
      </c>
      <c r="G179" s="292" t="s">
        <v>646</v>
      </c>
      <c r="H179" s="292" t="s">
        <v>638</v>
      </c>
      <c r="I179" s="293">
        <v>2992</v>
      </c>
    </row>
    <row r="180" spans="1:9" x14ac:dyDescent="0.3">
      <c r="A180" s="290">
        <v>45946</v>
      </c>
      <c r="B180" s="290">
        <v>45948</v>
      </c>
      <c r="C180" s="291" t="s">
        <v>8</v>
      </c>
      <c r="D180" s="292" t="s">
        <v>810</v>
      </c>
      <c r="E180" s="292">
        <v>3</v>
      </c>
      <c r="F180" s="292">
        <v>4</v>
      </c>
      <c r="G180" s="292" t="s">
        <v>637</v>
      </c>
      <c r="H180" s="292" t="s">
        <v>638</v>
      </c>
      <c r="I180" s="293">
        <v>8554</v>
      </c>
    </row>
    <row r="181" spans="1:9" x14ac:dyDescent="0.3">
      <c r="A181" s="290">
        <v>45947</v>
      </c>
      <c r="B181" s="290">
        <v>45947</v>
      </c>
      <c r="C181" s="294" t="s">
        <v>639</v>
      </c>
      <c r="D181" s="292" t="s">
        <v>811</v>
      </c>
      <c r="E181" s="292">
        <v>1</v>
      </c>
      <c r="F181" s="292">
        <v>4</v>
      </c>
      <c r="G181" s="292" t="s">
        <v>637</v>
      </c>
      <c r="H181" s="292" t="s">
        <v>638</v>
      </c>
      <c r="I181" s="293">
        <v>3216</v>
      </c>
    </row>
    <row r="182" spans="1:9" x14ac:dyDescent="0.3">
      <c r="A182" s="290">
        <v>45948</v>
      </c>
      <c r="B182" s="290">
        <v>45949</v>
      </c>
      <c r="C182" s="294" t="s">
        <v>639</v>
      </c>
      <c r="D182" s="292" t="s">
        <v>812</v>
      </c>
      <c r="E182" s="292">
        <v>2</v>
      </c>
      <c r="F182" s="292">
        <v>2</v>
      </c>
      <c r="G182" s="292" t="s">
        <v>637</v>
      </c>
      <c r="H182" s="292" t="s">
        <v>739</v>
      </c>
      <c r="I182" s="293">
        <v>3200</v>
      </c>
    </row>
    <row r="183" spans="1:9" x14ac:dyDescent="0.3">
      <c r="A183" s="290">
        <v>45950</v>
      </c>
      <c r="B183" s="290">
        <v>45952</v>
      </c>
      <c r="C183" s="294" t="s">
        <v>639</v>
      </c>
      <c r="D183" s="292" t="s">
        <v>813</v>
      </c>
      <c r="E183" s="292">
        <v>3</v>
      </c>
      <c r="F183" s="292">
        <v>4</v>
      </c>
      <c r="G183" s="292" t="s">
        <v>641</v>
      </c>
      <c r="H183" s="292" t="s">
        <v>723</v>
      </c>
      <c r="I183" s="293">
        <v>0</v>
      </c>
    </row>
    <row r="184" spans="1:9" x14ac:dyDescent="0.3">
      <c r="A184" s="290">
        <v>45950</v>
      </c>
      <c r="B184" s="290">
        <v>45952</v>
      </c>
      <c r="C184" s="291" t="s">
        <v>8</v>
      </c>
      <c r="D184" s="292" t="s">
        <v>814</v>
      </c>
      <c r="E184" s="292">
        <v>3</v>
      </c>
      <c r="F184" s="292">
        <v>3</v>
      </c>
      <c r="G184" s="292" t="s">
        <v>637</v>
      </c>
      <c r="H184" s="292" t="s">
        <v>638</v>
      </c>
      <c r="I184" s="293">
        <v>6919</v>
      </c>
    </row>
    <row r="185" spans="1:9" x14ac:dyDescent="0.3">
      <c r="A185" s="290">
        <v>45953</v>
      </c>
      <c r="B185" s="290">
        <v>45955</v>
      </c>
      <c r="C185" s="294" t="s">
        <v>639</v>
      </c>
      <c r="D185" s="292" t="s">
        <v>815</v>
      </c>
      <c r="E185" s="292">
        <v>3</v>
      </c>
      <c r="F185" s="292">
        <v>4</v>
      </c>
      <c r="G185" s="292" t="s">
        <v>637</v>
      </c>
      <c r="H185" s="292" t="s">
        <v>638</v>
      </c>
      <c r="I185" s="293">
        <v>8554</v>
      </c>
    </row>
    <row r="186" spans="1:9" x14ac:dyDescent="0.3">
      <c r="A186" s="290">
        <v>45953</v>
      </c>
      <c r="B186" s="290">
        <v>45955</v>
      </c>
      <c r="C186" s="291" t="s">
        <v>8</v>
      </c>
      <c r="D186" s="292" t="s">
        <v>815</v>
      </c>
      <c r="E186" s="292">
        <v>3</v>
      </c>
      <c r="F186" s="292">
        <v>4</v>
      </c>
      <c r="G186" s="292" t="s">
        <v>637</v>
      </c>
      <c r="H186" s="292" t="s">
        <v>638</v>
      </c>
      <c r="I186" s="293">
        <v>8554</v>
      </c>
    </row>
    <row r="187" spans="1:9" x14ac:dyDescent="0.3">
      <c r="A187" s="290">
        <v>45956</v>
      </c>
      <c r="B187" s="290">
        <v>45958</v>
      </c>
      <c r="C187" s="294" t="s">
        <v>639</v>
      </c>
      <c r="D187" s="292" t="s">
        <v>816</v>
      </c>
      <c r="E187" s="292">
        <v>3</v>
      </c>
      <c r="F187" s="292">
        <v>4</v>
      </c>
      <c r="G187" s="292" t="s">
        <v>646</v>
      </c>
      <c r="H187" s="292" t="s">
        <v>638</v>
      </c>
      <c r="I187" s="293">
        <v>16231</v>
      </c>
    </row>
    <row r="188" spans="1:9" x14ac:dyDescent="0.3">
      <c r="A188" s="290">
        <v>45957</v>
      </c>
      <c r="B188" s="290">
        <v>45957</v>
      </c>
      <c r="C188" s="291" t="s">
        <v>8</v>
      </c>
      <c r="D188" s="292" t="s">
        <v>817</v>
      </c>
      <c r="E188" s="292">
        <v>1</v>
      </c>
      <c r="F188" s="292">
        <v>4</v>
      </c>
      <c r="G188" s="292" t="s">
        <v>646</v>
      </c>
      <c r="H188" s="292" t="s">
        <v>638</v>
      </c>
      <c r="I188" s="293">
        <v>4514</v>
      </c>
    </row>
    <row r="189" spans="1:9" x14ac:dyDescent="0.3">
      <c r="A189" s="290">
        <v>45958</v>
      </c>
      <c r="B189" s="290">
        <v>45958</v>
      </c>
      <c r="C189" s="291" t="s">
        <v>8</v>
      </c>
      <c r="D189" s="292" t="s">
        <v>818</v>
      </c>
      <c r="E189" s="292">
        <v>1</v>
      </c>
      <c r="F189" s="292">
        <v>3</v>
      </c>
      <c r="G189" s="292" t="s">
        <v>637</v>
      </c>
      <c r="H189" s="292" t="s">
        <v>638</v>
      </c>
      <c r="I189" s="293">
        <v>2385</v>
      </c>
    </row>
    <row r="190" spans="1:9" x14ac:dyDescent="0.3">
      <c r="A190" s="290">
        <v>45959</v>
      </c>
      <c r="B190" s="290">
        <v>45960</v>
      </c>
      <c r="C190" s="294" t="s">
        <v>639</v>
      </c>
      <c r="D190" s="292" t="s">
        <v>819</v>
      </c>
      <c r="E190" s="292">
        <v>2</v>
      </c>
      <c r="F190" s="292">
        <v>2</v>
      </c>
      <c r="G190" s="292" t="s">
        <v>637</v>
      </c>
      <c r="H190" s="292" t="s">
        <v>638</v>
      </c>
      <c r="I190" s="293">
        <v>4439</v>
      </c>
    </row>
    <row r="191" spans="1:9" x14ac:dyDescent="0.3">
      <c r="A191" s="290">
        <v>45961</v>
      </c>
      <c r="B191" s="290">
        <v>45961</v>
      </c>
      <c r="C191" s="294" t="s">
        <v>639</v>
      </c>
      <c r="D191" s="292" t="s">
        <v>820</v>
      </c>
      <c r="E191" s="292">
        <v>1</v>
      </c>
      <c r="F191" s="292">
        <v>2</v>
      </c>
      <c r="G191" s="292" t="s">
        <v>637</v>
      </c>
      <c r="H191" s="292" t="s">
        <v>638</v>
      </c>
      <c r="I191" s="293">
        <v>2254</v>
      </c>
    </row>
    <row r="192" spans="1:9" x14ac:dyDescent="0.3">
      <c r="A192" s="290">
        <v>45961</v>
      </c>
      <c r="B192" s="290">
        <v>45962</v>
      </c>
      <c r="C192" s="291" t="s">
        <v>8</v>
      </c>
      <c r="D192" s="292" t="s">
        <v>821</v>
      </c>
      <c r="E192" s="292">
        <v>2</v>
      </c>
      <c r="F192" s="292">
        <v>2</v>
      </c>
      <c r="G192" s="292" t="s">
        <v>637</v>
      </c>
      <c r="H192" s="292" t="s">
        <v>638</v>
      </c>
      <c r="I192" s="293">
        <v>4830</v>
      </c>
    </row>
    <row r="193" spans="1:9" x14ac:dyDescent="0.3">
      <c r="A193" s="290">
        <v>45962</v>
      </c>
      <c r="B193" s="290">
        <v>45964</v>
      </c>
      <c r="C193" s="294" t="s">
        <v>639</v>
      </c>
      <c r="D193" s="292" t="s">
        <v>822</v>
      </c>
      <c r="E193" s="292">
        <v>3</v>
      </c>
      <c r="F193" s="292">
        <v>4</v>
      </c>
      <c r="G193" s="292" t="s">
        <v>646</v>
      </c>
      <c r="H193" s="292" t="s">
        <v>638</v>
      </c>
      <c r="I193" s="293">
        <v>14608</v>
      </c>
    </row>
    <row r="194" spans="1:9" x14ac:dyDescent="0.3">
      <c r="A194" s="290">
        <v>45963</v>
      </c>
      <c r="B194" s="290">
        <v>45965</v>
      </c>
      <c r="C194" s="291" t="s">
        <v>8</v>
      </c>
      <c r="D194" s="292" t="s">
        <v>823</v>
      </c>
      <c r="E194" s="292">
        <v>3</v>
      </c>
      <c r="F194" s="292">
        <v>2</v>
      </c>
      <c r="G194" s="292" t="s">
        <v>646</v>
      </c>
      <c r="H194" s="292" t="s">
        <v>638</v>
      </c>
      <c r="I194" s="293">
        <v>10659</v>
      </c>
    </row>
    <row r="195" spans="1:9" x14ac:dyDescent="0.3">
      <c r="A195" s="290">
        <v>45965</v>
      </c>
      <c r="B195" s="290">
        <v>45965</v>
      </c>
      <c r="C195" s="294" t="s">
        <v>639</v>
      </c>
      <c r="D195" s="292" t="s">
        <v>824</v>
      </c>
      <c r="E195" s="292">
        <v>1</v>
      </c>
      <c r="F195" s="292">
        <v>2</v>
      </c>
      <c r="G195" s="292" t="s">
        <v>637</v>
      </c>
      <c r="H195" s="292" t="s">
        <v>638</v>
      </c>
      <c r="I195" s="293">
        <v>2678</v>
      </c>
    </row>
    <row r="196" spans="1:9" x14ac:dyDescent="0.3">
      <c r="A196" s="290">
        <v>45967</v>
      </c>
      <c r="B196" s="290">
        <v>45968</v>
      </c>
      <c r="C196" s="291" t="s">
        <v>8</v>
      </c>
      <c r="D196" s="292" t="s">
        <v>825</v>
      </c>
      <c r="E196" s="292">
        <v>2</v>
      </c>
      <c r="F196" s="292">
        <v>2</v>
      </c>
      <c r="G196" s="292" t="s">
        <v>637</v>
      </c>
      <c r="H196" s="292" t="s">
        <v>638</v>
      </c>
      <c r="I196" s="293">
        <v>3865</v>
      </c>
    </row>
    <row r="197" spans="1:9" x14ac:dyDescent="0.3">
      <c r="A197" s="290">
        <v>45968</v>
      </c>
      <c r="B197" s="290">
        <v>45968</v>
      </c>
      <c r="C197" s="294" t="s">
        <v>639</v>
      </c>
      <c r="D197" s="292" t="s">
        <v>826</v>
      </c>
      <c r="E197" s="292">
        <v>1</v>
      </c>
      <c r="F197" s="292">
        <v>4</v>
      </c>
      <c r="G197" s="292" t="s">
        <v>637</v>
      </c>
      <c r="H197" s="292" t="s">
        <v>638</v>
      </c>
      <c r="I197" s="293">
        <v>3056</v>
      </c>
    </row>
    <row r="198" spans="1:9" x14ac:dyDescent="0.3">
      <c r="A198" s="290">
        <v>45970</v>
      </c>
      <c r="B198" s="290">
        <v>45972</v>
      </c>
      <c r="C198" s="294" t="s">
        <v>639</v>
      </c>
      <c r="D198" s="292" t="s">
        <v>827</v>
      </c>
      <c r="E198" s="292">
        <v>3</v>
      </c>
      <c r="F198" s="292">
        <v>4</v>
      </c>
      <c r="G198" s="292" t="s">
        <v>637</v>
      </c>
      <c r="H198" s="292" t="s">
        <v>638</v>
      </c>
      <c r="I198" s="293">
        <v>9005</v>
      </c>
    </row>
    <row r="199" spans="1:9" x14ac:dyDescent="0.3">
      <c r="A199" s="290">
        <v>45970</v>
      </c>
      <c r="B199" s="290">
        <v>45972</v>
      </c>
      <c r="C199" s="291" t="s">
        <v>8</v>
      </c>
      <c r="D199" s="292" t="s">
        <v>827</v>
      </c>
      <c r="E199" s="292">
        <v>3</v>
      </c>
      <c r="F199" s="292">
        <v>3</v>
      </c>
      <c r="G199" s="292" t="s">
        <v>637</v>
      </c>
      <c r="H199" s="292" t="s">
        <v>638</v>
      </c>
      <c r="I199" s="293">
        <v>7754</v>
      </c>
    </row>
    <row r="200" spans="1:9" x14ac:dyDescent="0.3">
      <c r="A200" s="290">
        <v>45973</v>
      </c>
      <c r="B200" s="290">
        <v>45975</v>
      </c>
      <c r="C200" s="291" t="s">
        <v>8</v>
      </c>
      <c r="D200" s="292" t="s">
        <v>828</v>
      </c>
      <c r="E200" s="292">
        <v>3</v>
      </c>
      <c r="F200" s="292">
        <v>2</v>
      </c>
      <c r="G200" s="292" t="s">
        <v>646</v>
      </c>
      <c r="H200" s="292" t="s">
        <v>638</v>
      </c>
      <c r="I200" s="293">
        <v>11286</v>
      </c>
    </row>
    <row r="201" spans="1:9" x14ac:dyDescent="0.3">
      <c r="A201" s="290">
        <v>45973</v>
      </c>
      <c r="B201" s="290">
        <v>45976</v>
      </c>
      <c r="C201" s="294" t="s">
        <v>639</v>
      </c>
      <c r="D201" s="292" t="s">
        <v>829</v>
      </c>
      <c r="E201" s="292">
        <v>4</v>
      </c>
      <c r="F201" s="292">
        <v>2</v>
      </c>
      <c r="G201" s="292" t="s">
        <v>637</v>
      </c>
      <c r="H201" s="292" t="s">
        <v>638</v>
      </c>
      <c r="I201" s="293">
        <v>9653</v>
      </c>
    </row>
    <row r="202" spans="1:9" x14ac:dyDescent="0.3">
      <c r="A202" s="290">
        <v>45977</v>
      </c>
      <c r="B202" s="290">
        <v>45979</v>
      </c>
      <c r="C202" s="294" t="s">
        <v>639</v>
      </c>
      <c r="D202" s="292" t="s">
        <v>830</v>
      </c>
      <c r="E202" s="292">
        <v>3</v>
      </c>
      <c r="F202" s="292">
        <v>4</v>
      </c>
      <c r="G202" s="292" t="s">
        <v>637</v>
      </c>
      <c r="H202" s="292" t="s">
        <v>638</v>
      </c>
      <c r="I202" s="293">
        <v>9169</v>
      </c>
    </row>
    <row r="203" spans="1:9" x14ac:dyDescent="0.3">
      <c r="A203" s="290">
        <v>45977</v>
      </c>
      <c r="B203" s="290">
        <v>45979</v>
      </c>
      <c r="C203" s="291" t="s">
        <v>8</v>
      </c>
      <c r="D203" s="292" t="s">
        <v>831</v>
      </c>
      <c r="E203" s="292">
        <v>3</v>
      </c>
      <c r="F203" s="292">
        <v>2</v>
      </c>
      <c r="G203" s="292" t="s">
        <v>637</v>
      </c>
      <c r="H203" s="292" t="s">
        <v>638</v>
      </c>
      <c r="I203" s="293">
        <v>6658</v>
      </c>
    </row>
    <row r="204" spans="1:9" x14ac:dyDescent="0.3">
      <c r="A204" s="290">
        <v>45980</v>
      </c>
      <c r="B204" s="290">
        <v>45980</v>
      </c>
      <c r="C204" s="291" t="s">
        <v>8</v>
      </c>
      <c r="D204" s="292" t="s">
        <v>832</v>
      </c>
      <c r="E204" s="292">
        <v>1</v>
      </c>
      <c r="F204" s="292">
        <v>2</v>
      </c>
      <c r="G204" s="292" t="s">
        <v>646</v>
      </c>
      <c r="H204" s="292" t="s">
        <v>638</v>
      </c>
      <c r="I204" s="293">
        <v>3553</v>
      </c>
    </row>
    <row r="205" spans="1:9" x14ac:dyDescent="0.3">
      <c r="A205" s="290">
        <v>45980</v>
      </c>
      <c r="B205" s="290">
        <v>45980</v>
      </c>
      <c r="C205" s="294" t="s">
        <v>639</v>
      </c>
      <c r="D205" s="292" t="s">
        <v>833</v>
      </c>
      <c r="E205" s="292">
        <v>1</v>
      </c>
      <c r="F205" s="292">
        <v>2</v>
      </c>
      <c r="G205" s="292" t="s">
        <v>641</v>
      </c>
      <c r="H205" s="292" t="s">
        <v>723</v>
      </c>
      <c r="I205" s="293">
        <v>4000</v>
      </c>
    </row>
    <row r="206" spans="1:9" x14ac:dyDescent="0.3">
      <c r="A206" s="290">
        <v>45981</v>
      </c>
      <c r="B206" s="290">
        <v>45982</v>
      </c>
      <c r="C206" s="291" t="s">
        <v>8</v>
      </c>
      <c r="D206" s="292" t="s">
        <v>833</v>
      </c>
      <c r="E206" s="292">
        <v>2</v>
      </c>
      <c r="F206" s="292">
        <v>2</v>
      </c>
      <c r="G206" s="292" t="s">
        <v>637</v>
      </c>
      <c r="H206" s="292" t="s">
        <v>638</v>
      </c>
      <c r="I206" s="293">
        <v>4439</v>
      </c>
    </row>
    <row r="207" spans="1:9" x14ac:dyDescent="0.3">
      <c r="A207" s="290">
        <v>45981</v>
      </c>
      <c r="B207" s="290">
        <v>45985</v>
      </c>
      <c r="C207" s="294" t="s">
        <v>639</v>
      </c>
      <c r="D207" s="292" t="s">
        <v>834</v>
      </c>
      <c r="E207" s="292">
        <v>5</v>
      </c>
      <c r="F207" s="292">
        <v>2</v>
      </c>
      <c r="G207" s="292" t="s">
        <v>637</v>
      </c>
      <c r="H207" s="292" t="s">
        <v>638</v>
      </c>
      <c r="I207" s="293">
        <v>9771</v>
      </c>
    </row>
    <row r="208" spans="1:9" x14ac:dyDescent="0.3">
      <c r="A208" s="290">
        <v>45984</v>
      </c>
      <c r="B208" s="290">
        <v>45985</v>
      </c>
      <c r="C208" s="291" t="s">
        <v>8</v>
      </c>
      <c r="D208" s="292" t="s">
        <v>835</v>
      </c>
      <c r="E208" s="292">
        <v>2</v>
      </c>
      <c r="F208" s="292">
        <v>2</v>
      </c>
      <c r="G208" s="292" t="s">
        <v>637</v>
      </c>
      <c r="H208" s="292" t="s">
        <v>638</v>
      </c>
      <c r="I208" s="293">
        <v>4439</v>
      </c>
    </row>
    <row r="209" spans="1:9" x14ac:dyDescent="0.3">
      <c r="A209" s="290">
        <v>45986</v>
      </c>
      <c r="B209" s="290">
        <v>45986</v>
      </c>
      <c r="C209" s="294" t="s">
        <v>639</v>
      </c>
      <c r="D209" s="292" t="s">
        <v>836</v>
      </c>
      <c r="E209" s="292">
        <v>1</v>
      </c>
      <c r="F209" s="292">
        <v>4</v>
      </c>
      <c r="G209" s="292" t="s">
        <v>637</v>
      </c>
      <c r="H209" s="292" t="s">
        <v>638</v>
      </c>
      <c r="I209" s="293">
        <v>2851</v>
      </c>
    </row>
    <row r="210" spans="1:9" x14ac:dyDescent="0.3">
      <c r="A210" s="290">
        <v>45986</v>
      </c>
      <c r="B210" s="290">
        <v>45987</v>
      </c>
      <c r="C210" s="291" t="s">
        <v>8</v>
      </c>
      <c r="D210" s="292" t="s">
        <v>837</v>
      </c>
      <c r="E210" s="292">
        <v>2</v>
      </c>
      <c r="F210" s="292">
        <v>2</v>
      </c>
      <c r="G210" s="292" t="s">
        <v>637</v>
      </c>
      <c r="H210" s="292" t="s">
        <v>638</v>
      </c>
      <c r="I210" s="293">
        <v>4454</v>
      </c>
    </row>
    <row r="211" spans="1:9" x14ac:dyDescent="0.3">
      <c r="A211" s="290">
        <v>45988</v>
      </c>
      <c r="B211" s="290">
        <v>45988</v>
      </c>
      <c r="C211" s="291" t="s">
        <v>8</v>
      </c>
      <c r="D211" s="292" t="s">
        <v>838</v>
      </c>
      <c r="E211" s="292">
        <v>1</v>
      </c>
      <c r="F211" s="292">
        <v>4</v>
      </c>
      <c r="G211" s="292" t="s">
        <v>637</v>
      </c>
      <c r="H211" s="292" t="s">
        <v>638</v>
      </c>
      <c r="I211" s="293">
        <v>3694</v>
      </c>
    </row>
    <row r="212" spans="1:9" x14ac:dyDescent="0.3">
      <c r="A212" s="290">
        <v>45989</v>
      </c>
      <c r="B212" s="290">
        <v>45990</v>
      </c>
      <c r="C212" s="294" t="s">
        <v>639</v>
      </c>
      <c r="D212" s="292" t="s">
        <v>839</v>
      </c>
      <c r="E212" s="292">
        <v>2</v>
      </c>
      <c r="F212" s="292">
        <v>2</v>
      </c>
      <c r="G212" s="292" t="s">
        <v>637</v>
      </c>
      <c r="H212" s="292" t="s">
        <v>638</v>
      </c>
      <c r="I212" s="293">
        <v>5746</v>
      </c>
    </row>
    <row r="213" spans="1:9" x14ac:dyDescent="0.3">
      <c r="A213" s="290">
        <v>45989</v>
      </c>
      <c r="B213" s="290">
        <v>45991</v>
      </c>
      <c r="C213" s="291" t="s">
        <v>8</v>
      </c>
      <c r="D213" s="292" t="s">
        <v>840</v>
      </c>
      <c r="E213" s="292">
        <v>3</v>
      </c>
      <c r="F213" s="292">
        <v>2</v>
      </c>
      <c r="G213" s="292" t="s">
        <v>637</v>
      </c>
      <c r="H213" s="292" t="s">
        <v>638</v>
      </c>
      <c r="I213" s="293">
        <v>6214</v>
      </c>
    </row>
    <row r="214" spans="1:9" x14ac:dyDescent="0.3">
      <c r="A214" s="290">
        <v>45993</v>
      </c>
      <c r="B214" s="290">
        <v>45993</v>
      </c>
      <c r="C214" s="294" t="s">
        <v>639</v>
      </c>
      <c r="D214" s="292" t="s">
        <v>841</v>
      </c>
      <c r="E214" s="292">
        <v>1</v>
      </c>
      <c r="F214" s="292">
        <v>3</v>
      </c>
      <c r="G214" s="292" t="s">
        <v>646</v>
      </c>
      <c r="H214" s="292" t="s">
        <v>638</v>
      </c>
      <c r="I214" s="293">
        <v>4232</v>
      </c>
    </row>
    <row r="215" spans="1:9" x14ac:dyDescent="0.3">
      <c r="A215" s="290">
        <v>45995</v>
      </c>
      <c r="B215" s="290">
        <v>46001</v>
      </c>
      <c r="C215" s="291" t="s">
        <v>8</v>
      </c>
      <c r="D215" s="292" t="s">
        <v>842</v>
      </c>
      <c r="E215" s="292">
        <v>7</v>
      </c>
      <c r="F215" s="292">
        <v>2</v>
      </c>
      <c r="G215" s="292" t="s">
        <v>637</v>
      </c>
      <c r="H215" s="292" t="s">
        <v>638</v>
      </c>
      <c r="I215" s="293">
        <v>15161</v>
      </c>
    </row>
    <row r="216" spans="1:9" x14ac:dyDescent="0.3">
      <c r="A216" s="290">
        <v>45996</v>
      </c>
      <c r="B216" s="290">
        <v>45998</v>
      </c>
      <c r="C216" s="294" t="s">
        <v>639</v>
      </c>
      <c r="D216" s="292" t="s">
        <v>843</v>
      </c>
      <c r="E216" s="292">
        <v>3</v>
      </c>
      <c r="F216" s="292">
        <v>4</v>
      </c>
      <c r="G216" s="292" t="s">
        <v>637</v>
      </c>
      <c r="H216" s="292" t="s">
        <v>638</v>
      </c>
      <c r="I216" s="293">
        <v>8035</v>
      </c>
    </row>
    <row r="217" spans="1:9" x14ac:dyDescent="0.3">
      <c r="A217" s="290">
        <v>46001</v>
      </c>
      <c r="B217" s="290">
        <v>46001</v>
      </c>
      <c r="C217" s="294" t="s">
        <v>639</v>
      </c>
      <c r="D217" s="292" t="s">
        <v>844</v>
      </c>
      <c r="E217" s="292">
        <v>1</v>
      </c>
      <c r="F217" s="292">
        <v>2</v>
      </c>
      <c r="G217" s="292" t="s">
        <v>646</v>
      </c>
      <c r="H217" s="292" t="s">
        <v>638</v>
      </c>
      <c r="I217" s="293">
        <v>2757</v>
      </c>
    </row>
    <row r="218" spans="1:9" x14ac:dyDescent="0.3">
      <c r="A218" s="290">
        <v>46003</v>
      </c>
      <c r="B218" s="290">
        <v>46004</v>
      </c>
      <c r="C218" s="291" t="s">
        <v>8</v>
      </c>
      <c r="D218" s="292"/>
      <c r="E218" s="292">
        <v>2</v>
      </c>
      <c r="F218" s="292">
        <v>3</v>
      </c>
      <c r="G218" s="292" t="s">
        <v>641</v>
      </c>
      <c r="H218" s="292" t="s">
        <v>723</v>
      </c>
      <c r="I218" s="293">
        <v>0</v>
      </c>
    </row>
    <row r="219" spans="1:9" x14ac:dyDescent="0.3">
      <c r="A219" s="290">
        <v>46005</v>
      </c>
      <c r="B219" s="290">
        <v>46006</v>
      </c>
      <c r="C219" s="294" t="s">
        <v>639</v>
      </c>
      <c r="D219" s="292" t="s">
        <v>845</v>
      </c>
      <c r="E219" s="292">
        <v>2</v>
      </c>
      <c r="F219" s="292">
        <v>2</v>
      </c>
      <c r="G219" s="292" t="s">
        <v>637</v>
      </c>
      <c r="H219" s="292" t="s">
        <v>638</v>
      </c>
      <c r="I219" s="293">
        <v>4083</v>
      </c>
    </row>
    <row r="220" spans="1:9" x14ac:dyDescent="0.3">
      <c r="A220" s="290">
        <v>46005</v>
      </c>
      <c r="B220" s="290">
        <v>46007</v>
      </c>
      <c r="C220" s="291" t="s">
        <v>8</v>
      </c>
      <c r="D220" s="292" t="s">
        <v>846</v>
      </c>
      <c r="E220" s="292">
        <v>3</v>
      </c>
      <c r="F220" s="292">
        <v>2</v>
      </c>
      <c r="G220" s="292" t="s">
        <v>637</v>
      </c>
      <c r="H220" s="292" t="s">
        <v>638</v>
      </c>
      <c r="I220" s="293">
        <v>6125</v>
      </c>
    </row>
    <row r="221" spans="1:9" x14ac:dyDescent="0.3">
      <c r="A221" s="290">
        <v>46008</v>
      </c>
      <c r="B221" s="290">
        <v>46010</v>
      </c>
      <c r="C221" s="294" t="s">
        <v>639</v>
      </c>
      <c r="D221" s="292" t="s">
        <v>847</v>
      </c>
      <c r="E221" s="292">
        <v>3</v>
      </c>
      <c r="F221" s="292">
        <v>3</v>
      </c>
      <c r="G221" s="292" t="s">
        <v>637</v>
      </c>
      <c r="H221" s="292" t="s">
        <v>638</v>
      </c>
      <c r="I221" s="293">
        <v>8544</v>
      </c>
    </row>
    <row r="222" spans="1:9" x14ac:dyDescent="0.3">
      <c r="A222" s="290">
        <v>46009</v>
      </c>
      <c r="B222" s="290">
        <v>46009</v>
      </c>
      <c r="C222" s="291" t="s">
        <v>8</v>
      </c>
      <c r="D222" s="292" t="s">
        <v>848</v>
      </c>
      <c r="E222" s="292">
        <v>1</v>
      </c>
      <c r="F222" s="292">
        <v>3</v>
      </c>
      <c r="G222" s="292" t="s">
        <v>637</v>
      </c>
      <c r="H222" s="292" t="s">
        <v>638</v>
      </c>
      <c r="I222" s="293">
        <v>2776</v>
      </c>
    </row>
    <row r="223" spans="1:9" x14ac:dyDescent="0.3">
      <c r="A223" s="290">
        <v>46010</v>
      </c>
      <c r="B223" s="290">
        <v>46011</v>
      </c>
      <c r="C223" s="291" t="s">
        <v>8</v>
      </c>
      <c r="D223" s="292" t="s">
        <v>849</v>
      </c>
      <c r="E223" s="292">
        <v>2</v>
      </c>
      <c r="F223" s="292">
        <v>4</v>
      </c>
      <c r="G223" s="292" t="s">
        <v>637</v>
      </c>
      <c r="H223" s="292" t="s">
        <v>638</v>
      </c>
      <c r="I223" s="293">
        <v>6048</v>
      </c>
    </row>
    <row r="224" spans="1:9" x14ac:dyDescent="0.3">
      <c r="A224" s="290">
        <v>46011</v>
      </c>
      <c r="B224" s="290">
        <v>46012</v>
      </c>
      <c r="C224" s="294" t="s">
        <v>639</v>
      </c>
      <c r="D224" s="292" t="s">
        <v>850</v>
      </c>
      <c r="E224" s="292">
        <v>2</v>
      </c>
      <c r="F224" s="292">
        <v>4</v>
      </c>
      <c r="G224" s="292" t="s">
        <v>637</v>
      </c>
      <c r="H224" s="292" t="s">
        <v>638</v>
      </c>
      <c r="I224" s="293">
        <v>5702</v>
      </c>
    </row>
    <row r="225" spans="1:9" x14ac:dyDescent="0.3">
      <c r="A225" s="290">
        <v>46013</v>
      </c>
      <c r="B225" s="290">
        <v>46016</v>
      </c>
      <c r="C225" s="291" t="s">
        <v>8</v>
      </c>
      <c r="D225" s="292" t="s">
        <v>851</v>
      </c>
      <c r="E225" s="292">
        <v>4</v>
      </c>
      <c r="F225" s="292">
        <v>3</v>
      </c>
      <c r="G225" s="292" t="s">
        <v>637</v>
      </c>
      <c r="H225" s="292" t="s">
        <v>638</v>
      </c>
      <c r="I225" s="293">
        <v>9821</v>
      </c>
    </row>
    <row r="226" spans="1:9" x14ac:dyDescent="0.3">
      <c r="A226" s="290">
        <v>46015</v>
      </c>
      <c r="B226" s="290">
        <v>46016</v>
      </c>
      <c r="C226" s="294" t="s">
        <v>639</v>
      </c>
      <c r="D226" s="292" t="s">
        <v>852</v>
      </c>
      <c r="E226" s="292">
        <v>2</v>
      </c>
      <c r="F226" s="292">
        <v>3</v>
      </c>
      <c r="G226" s="292" t="s">
        <v>637</v>
      </c>
      <c r="H226" s="292" t="s">
        <v>638</v>
      </c>
      <c r="I226" s="293">
        <v>5222</v>
      </c>
    </row>
    <row r="227" spans="1:9" x14ac:dyDescent="0.3">
      <c r="A227" s="290">
        <v>46017</v>
      </c>
      <c r="B227" s="290">
        <v>46017</v>
      </c>
      <c r="C227" s="294" t="s">
        <v>639</v>
      </c>
      <c r="D227" s="292" t="s">
        <v>853</v>
      </c>
      <c r="E227" s="292">
        <v>1</v>
      </c>
      <c r="F227" s="292">
        <v>2</v>
      </c>
      <c r="G227" s="292" t="s">
        <v>637</v>
      </c>
      <c r="H227" s="292" t="s">
        <v>638</v>
      </c>
      <c r="I227" s="293">
        <v>2455</v>
      </c>
    </row>
    <row r="228" spans="1:9" x14ac:dyDescent="0.3">
      <c r="A228" s="290">
        <v>46017</v>
      </c>
      <c r="B228" s="290">
        <v>46017</v>
      </c>
      <c r="C228" s="291" t="s">
        <v>8</v>
      </c>
      <c r="D228" s="292" t="s">
        <v>853</v>
      </c>
      <c r="E228" s="292">
        <v>1</v>
      </c>
      <c r="F228" s="292">
        <v>3</v>
      </c>
      <c r="G228" s="292" t="s">
        <v>637</v>
      </c>
      <c r="H228" s="292" t="s">
        <v>638</v>
      </c>
      <c r="I228" s="293">
        <v>2851</v>
      </c>
    </row>
    <row r="229" spans="1:9" x14ac:dyDescent="0.3">
      <c r="A229" s="290">
        <v>46018</v>
      </c>
      <c r="B229" s="290">
        <v>46023</v>
      </c>
      <c r="C229" s="291" t="s">
        <v>8</v>
      </c>
      <c r="D229" s="292" t="s">
        <v>854</v>
      </c>
      <c r="E229" s="292">
        <v>6</v>
      </c>
      <c r="F229" s="292">
        <v>4</v>
      </c>
      <c r="G229" s="292" t="s">
        <v>637</v>
      </c>
      <c r="H229" s="292" t="s">
        <v>638</v>
      </c>
      <c r="I229" s="293">
        <v>17107</v>
      </c>
    </row>
    <row r="230" spans="1:9" x14ac:dyDescent="0.3">
      <c r="A230" s="290">
        <v>46019</v>
      </c>
      <c r="B230" s="290">
        <v>46020</v>
      </c>
      <c r="C230" s="294" t="s">
        <v>639</v>
      </c>
      <c r="D230" s="292" t="s">
        <v>855</v>
      </c>
      <c r="E230" s="292">
        <v>2</v>
      </c>
      <c r="F230" s="292">
        <v>2</v>
      </c>
      <c r="G230" s="292" t="s">
        <v>637</v>
      </c>
      <c r="H230" s="292" t="s">
        <v>638</v>
      </c>
      <c r="I230" s="293">
        <v>4826</v>
      </c>
    </row>
    <row r="231" spans="1:9" x14ac:dyDescent="0.3">
      <c r="A231" s="290">
        <v>46021</v>
      </c>
      <c r="B231" s="290">
        <v>46023</v>
      </c>
      <c r="C231" s="294" t="s">
        <v>639</v>
      </c>
      <c r="D231" s="292" t="s">
        <v>856</v>
      </c>
      <c r="E231" s="292">
        <v>3</v>
      </c>
      <c r="F231" s="292">
        <v>2</v>
      </c>
      <c r="G231" s="292" t="s">
        <v>641</v>
      </c>
      <c r="H231" s="292" t="s">
        <v>723</v>
      </c>
      <c r="I231" s="293">
        <v>0</v>
      </c>
    </row>
    <row r="232" spans="1:9" x14ac:dyDescent="0.3">
      <c r="A232" s="290">
        <v>46024</v>
      </c>
      <c r="B232" s="290">
        <v>46024</v>
      </c>
      <c r="C232" s="294" t="s">
        <v>639</v>
      </c>
      <c r="D232" s="292" t="s">
        <v>857</v>
      </c>
      <c r="E232" s="292">
        <v>1</v>
      </c>
      <c r="F232" s="292">
        <v>2</v>
      </c>
      <c r="G232" s="292" t="s">
        <v>637</v>
      </c>
      <c r="H232" s="292" t="s">
        <v>638</v>
      </c>
      <c r="I232" s="293">
        <v>2296</v>
      </c>
    </row>
    <row r="233" spans="1:9" x14ac:dyDescent="0.3">
      <c r="A233" s="290">
        <v>46024</v>
      </c>
      <c r="B233" s="290">
        <v>46026</v>
      </c>
      <c r="C233" s="291" t="s">
        <v>8</v>
      </c>
      <c r="D233" s="292" t="s">
        <v>858</v>
      </c>
      <c r="E233" s="292">
        <v>3</v>
      </c>
      <c r="F233" s="292">
        <v>4</v>
      </c>
      <c r="G233" s="292" t="s">
        <v>637</v>
      </c>
      <c r="H233" s="292" t="s">
        <v>638</v>
      </c>
      <c r="I233" s="293">
        <v>9409</v>
      </c>
    </row>
    <row r="234" spans="1:9" x14ac:dyDescent="0.3">
      <c r="A234" s="290">
        <v>46025</v>
      </c>
      <c r="B234" s="290">
        <v>46027</v>
      </c>
      <c r="C234" s="294" t="s">
        <v>639</v>
      </c>
      <c r="D234" s="292" t="s">
        <v>859</v>
      </c>
      <c r="E234" s="292">
        <v>3</v>
      </c>
      <c r="F234" s="292">
        <v>4</v>
      </c>
      <c r="G234" s="292" t="s">
        <v>646</v>
      </c>
      <c r="H234" s="292" t="s">
        <v>638</v>
      </c>
      <c r="I234" s="293">
        <v>15359</v>
      </c>
    </row>
    <row r="235" spans="1:9" x14ac:dyDescent="0.3">
      <c r="A235" s="290">
        <v>46028</v>
      </c>
      <c r="B235" s="290">
        <v>46028</v>
      </c>
      <c r="C235" s="294" t="s">
        <v>639</v>
      </c>
      <c r="D235" s="292" t="s">
        <v>859</v>
      </c>
      <c r="E235" s="292">
        <v>1</v>
      </c>
      <c r="F235" s="292">
        <v>4</v>
      </c>
      <c r="G235" s="292" t="s">
        <v>646</v>
      </c>
      <c r="H235" s="292" t="s">
        <v>723</v>
      </c>
      <c r="I235" s="293">
        <v>5700</v>
      </c>
    </row>
    <row r="236" spans="1:9" x14ac:dyDescent="0.3">
      <c r="A236" s="290">
        <v>46029</v>
      </c>
      <c r="B236" s="290">
        <v>46029</v>
      </c>
      <c r="C236" s="294" t="s">
        <v>639</v>
      </c>
      <c r="D236" s="292" t="s">
        <v>860</v>
      </c>
      <c r="E236" s="292">
        <v>1</v>
      </c>
      <c r="F236" s="292">
        <v>3</v>
      </c>
      <c r="G236" s="292" t="s">
        <v>637</v>
      </c>
      <c r="H236" s="292" t="s">
        <v>638</v>
      </c>
      <c r="I236" s="293">
        <v>3436</v>
      </c>
    </row>
    <row r="237" spans="1:9" x14ac:dyDescent="0.3">
      <c r="A237" s="290">
        <v>46029</v>
      </c>
      <c r="B237" s="290">
        <v>46031</v>
      </c>
      <c r="C237" s="291" t="s">
        <v>8</v>
      </c>
      <c r="D237" s="292" t="s">
        <v>861</v>
      </c>
      <c r="E237" s="292">
        <v>3</v>
      </c>
      <c r="F237" s="292">
        <v>3</v>
      </c>
      <c r="G237" s="292" t="s">
        <v>637</v>
      </c>
      <c r="H237" s="292" t="s">
        <v>638</v>
      </c>
      <c r="I237" s="293">
        <v>7260</v>
      </c>
    </row>
    <row r="238" spans="1:9" x14ac:dyDescent="0.3">
      <c r="A238" s="290">
        <v>46031</v>
      </c>
      <c r="B238" s="290">
        <v>46033</v>
      </c>
      <c r="C238" s="294" t="s">
        <v>639</v>
      </c>
      <c r="D238" s="292" t="s">
        <v>862</v>
      </c>
      <c r="E238" s="292">
        <v>3</v>
      </c>
      <c r="F238" s="292">
        <v>2</v>
      </c>
      <c r="G238" s="292" t="s">
        <v>637</v>
      </c>
      <c r="H238" s="292" t="s">
        <v>638</v>
      </c>
      <c r="I238" s="293">
        <v>6221</v>
      </c>
    </row>
    <row r="239" spans="1:9" x14ac:dyDescent="0.3">
      <c r="A239" s="290">
        <v>46035</v>
      </c>
      <c r="B239" s="290">
        <v>46036</v>
      </c>
      <c r="C239" s="294" t="s">
        <v>639</v>
      </c>
      <c r="D239" s="292" t="s">
        <v>863</v>
      </c>
      <c r="E239" s="292">
        <v>2</v>
      </c>
      <c r="F239" s="292">
        <v>3</v>
      </c>
      <c r="G239" s="292" t="s">
        <v>646</v>
      </c>
      <c r="H239" s="292" t="s">
        <v>638</v>
      </c>
      <c r="I239" s="293">
        <v>9239</v>
      </c>
    </row>
    <row r="240" spans="1:9" x14ac:dyDescent="0.3">
      <c r="A240" s="290">
        <v>46035</v>
      </c>
      <c r="B240" s="290">
        <v>46036</v>
      </c>
      <c r="C240" s="291" t="s">
        <v>8</v>
      </c>
      <c r="D240" s="292" t="s">
        <v>863</v>
      </c>
      <c r="E240" s="292">
        <v>2</v>
      </c>
      <c r="F240" s="292">
        <v>2</v>
      </c>
      <c r="G240" s="292" t="s">
        <v>646</v>
      </c>
      <c r="H240" s="292" t="s">
        <v>638</v>
      </c>
      <c r="I240" s="293">
        <v>7392</v>
      </c>
    </row>
    <row r="241" spans="1:9" x14ac:dyDescent="0.3">
      <c r="A241" s="290">
        <v>46044</v>
      </c>
      <c r="B241" s="290">
        <v>46044</v>
      </c>
      <c r="C241" s="294" t="s">
        <v>639</v>
      </c>
      <c r="D241" s="292" t="s">
        <v>864</v>
      </c>
      <c r="E241" s="292">
        <v>1</v>
      </c>
      <c r="F241" s="292">
        <v>2</v>
      </c>
      <c r="G241" s="292" t="s">
        <v>637</v>
      </c>
      <c r="H241" s="292" t="s">
        <v>638</v>
      </c>
      <c r="I241" s="293">
        <v>2174</v>
      </c>
    </row>
    <row r="242" spans="1:9" x14ac:dyDescent="0.3">
      <c r="A242" s="290">
        <v>46045</v>
      </c>
      <c r="B242" s="290">
        <v>46047</v>
      </c>
      <c r="C242" s="294" t="s">
        <v>639</v>
      </c>
      <c r="D242" s="292" t="s">
        <v>865</v>
      </c>
      <c r="E242" s="292">
        <v>3</v>
      </c>
      <c r="F242" s="292">
        <v>2</v>
      </c>
      <c r="G242" s="292" t="s">
        <v>637</v>
      </c>
      <c r="H242" s="292" t="s">
        <v>638</v>
      </c>
      <c r="I242" s="293">
        <v>7029</v>
      </c>
    </row>
    <row r="243" spans="1:9" x14ac:dyDescent="0.3">
      <c r="A243" s="290">
        <v>46048</v>
      </c>
      <c r="B243" s="290">
        <v>46049</v>
      </c>
      <c r="C243" s="294" t="s">
        <v>639</v>
      </c>
      <c r="D243" s="292" t="s">
        <v>866</v>
      </c>
      <c r="E243" s="292">
        <v>2</v>
      </c>
      <c r="F243" s="292">
        <v>4</v>
      </c>
      <c r="G243" s="292" t="s">
        <v>637</v>
      </c>
      <c r="H243" s="292" t="s">
        <v>638</v>
      </c>
      <c r="I243" s="293">
        <v>5512</v>
      </c>
    </row>
    <row r="244" spans="1:9" x14ac:dyDescent="0.3">
      <c r="A244" s="290">
        <v>46049</v>
      </c>
      <c r="B244" s="290">
        <v>46050</v>
      </c>
      <c r="C244" s="291" t="s">
        <v>8</v>
      </c>
      <c r="D244" s="292" t="s">
        <v>867</v>
      </c>
      <c r="E244" s="292">
        <v>2</v>
      </c>
      <c r="F244" s="292">
        <v>4</v>
      </c>
      <c r="G244" s="292" t="s">
        <v>637</v>
      </c>
      <c r="H244" s="292" t="s">
        <v>638</v>
      </c>
      <c r="I244" s="293">
        <v>5357</v>
      </c>
    </row>
    <row r="245" spans="1:9" x14ac:dyDescent="0.3">
      <c r="A245" s="290">
        <v>46051</v>
      </c>
      <c r="B245" s="290">
        <v>46053</v>
      </c>
      <c r="C245" s="294" t="s">
        <v>639</v>
      </c>
      <c r="D245" s="292" t="s">
        <v>868</v>
      </c>
      <c r="E245" s="292">
        <v>3</v>
      </c>
      <c r="F245" s="292">
        <v>4</v>
      </c>
      <c r="G245" s="292" t="s">
        <v>637</v>
      </c>
      <c r="H245" s="292" t="s">
        <v>638</v>
      </c>
      <c r="I245" s="293">
        <v>11371</v>
      </c>
    </row>
    <row r="246" spans="1:9" x14ac:dyDescent="0.3">
      <c r="A246" s="290">
        <v>46051</v>
      </c>
      <c r="B246" s="290">
        <v>46058</v>
      </c>
      <c r="C246" s="291" t="s">
        <v>8</v>
      </c>
      <c r="D246" s="292" t="s">
        <v>657</v>
      </c>
      <c r="E246" s="292">
        <v>8</v>
      </c>
      <c r="F246" s="292">
        <v>2</v>
      </c>
      <c r="G246" s="292" t="s">
        <v>646</v>
      </c>
      <c r="H246" s="292" t="s">
        <v>638</v>
      </c>
      <c r="I246" s="293">
        <v>28613</v>
      </c>
    </row>
    <row r="247" spans="1:9" x14ac:dyDescent="0.3">
      <c r="A247" s="290">
        <v>46056</v>
      </c>
      <c r="B247" s="290">
        <v>46058</v>
      </c>
      <c r="C247" s="294" t="s">
        <v>639</v>
      </c>
      <c r="D247" s="292" t="s">
        <v>869</v>
      </c>
      <c r="E247" s="292">
        <v>3</v>
      </c>
      <c r="F247" s="292">
        <v>2</v>
      </c>
      <c r="G247" s="292" t="s">
        <v>637</v>
      </c>
      <c r="H247" s="292" t="s">
        <v>638</v>
      </c>
      <c r="I247" s="293">
        <v>10531</v>
      </c>
    </row>
    <row r="248" spans="1:9" x14ac:dyDescent="0.3">
      <c r="A248" s="290">
        <v>46059</v>
      </c>
      <c r="B248" s="290">
        <v>46059</v>
      </c>
      <c r="C248" s="291" t="s">
        <v>8</v>
      </c>
      <c r="D248" s="292" t="s">
        <v>869</v>
      </c>
      <c r="E248" s="292">
        <v>1</v>
      </c>
      <c r="F248" s="292">
        <v>4</v>
      </c>
      <c r="G248" s="292" t="s">
        <v>641</v>
      </c>
      <c r="H248" s="292" t="s">
        <v>723</v>
      </c>
      <c r="I248" s="293">
        <v>0</v>
      </c>
    </row>
    <row r="249" spans="1:9" x14ac:dyDescent="0.3">
      <c r="A249" s="290">
        <v>46059</v>
      </c>
      <c r="B249" s="290">
        <v>46061</v>
      </c>
      <c r="C249" s="294" t="s">
        <v>639</v>
      </c>
      <c r="D249" s="292" t="s">
        <v>870</v>
      </c>
      <c r="E249" s="292">
        <v>3</v>
      </c>
      <c r="F249" s="292">
        <v>2</v>
      </c>
      <c r="G249" s="292" t="s">
        <v>637</v>
      </c>
      <c r="H249" s="292" t="s">
        <v>638</v>
      </c>
      <c r="I249" s="293">
        <v>6976</v>
      </c>
    </row>
    <row r="250" spans="1:9" x14ac:dyDescent="0.3">
      <c r="A250" s="290">
        <v>46060</v>
      </c>
      <c r="B250" s="290">
        <v>46065</v>
      </c>
      <c r="C250" s="291" t="s">
        <v>8</v>
      </c>
      <c r="D250" s="292" t="s">
        <v>871</v>
      </c>
      <c r="E250" s="292">
        <v>6</v>
      </c>
      <c r="F250" s="292">
        <v>4</v>
      </c>
      <c r="G250" s="292" t="s">
        <v>637</v>
      </c>
      <c r="H250" s="292" t="s">
        <v>638</v>
      </c>
      <c r="I250" s="293">
        <v>19845</v>
      </c>
    </row>
    <row r="251" spans="1:9" x14ac:dyDescent="0.3">
      <c r="A251" s="290">
        <v>46064</v>
      </c>
      <c r="B251" s="290">
        <v>46066</v>
      </c>
      <c r="C251" s="294" t="s">
        <v>639</v>
      </c>
      <c r="D251" s="292" t="s">
        <v>872</v>
      </c>
      <c r="E251" s="292">
        <v>3</v>
      </c>
      <c r="F251" s="292">
        <v>3</v>
      </c>
      <c r="G251" s="292" t="s">
        <v>646</v>
      </c>
      <c r="H251" s="292" t="s">
        <v>638</v>
      </c>
      <c r="I251" s="293">
        <v>15101</v>
      </c>
    </row>
    <row r="252" spans="1:9" x14ac:dyDescent="0.3">
      <c r="A252" s="290">
        <v>46069</v>
      </c>
      <c r="B252" s="290">
        <v>46071</v>
      </c>
      <c r="C252" s="291" t="s">
        <v>8</v>
      </c>
      <c r="D252" s="292" t="s">
        <v>873</v>
      </c>
      <c r="E252" s="292">
        <v>3</v>
      </c>
      <c r="F252" s="292">
        <v>4</v>
      </c>
      <c r="G252" s="292" t="s">
        <v>646</v>
      </c>
      <c r="H252" s="292" t="s">
        <v>638</v>
      </c>
      <c r="I252" s="293">
        <v>16058</v>
      </c>
    </row>
    <row r="253" spans="1:9" x14ac:dyDescent="0.3">
      <c r="A253" s="290">
        <v>46070</v>
      </c>
      <c r="B253" s="290">
        <v>46071</v>
      </c>
      <c r="C253" s="294" t="s">
        <v>639</v>
      </c>
      <c r="D253" s="292" t="s">
        <v>874</v>
      </c>
      <c r="E253" s="292">
        <v>2</v>
      </c>
      <c r="F253" s="292">
        <v>2</v>
      </c>
      <c r="G253" s="292" t="s">
        <v>637</v>
      </c>
      <c r="H253" s="292" t="s">
        <v>638</v>
      </c>
      <c r="I253" s="293">
        <v>4912</v>
      </c>
    </row>
    <row r="254" spans="1:9" x14ac:dyDescent="0.3">
      <c r="A254" s="290">
        <v>46073</v>
      </c>
      <c r="B254" s="290">
        <v>46074</v>
      </c>
      <c r="C254" s="291" t="s">
        <v>8</v>
      </c>
      <c r="D254" s="292" t="s">
        <v>875</v>
      </c>
      <c r="E254" s="292">
        <v>2</v>
      </c>
      <c r="F254" s="292">
        <v>3</v>
      </c>
      <c r="G254" s="292" t="s">
        <v>646</v>
      </c>
      <c r="H254" s="292" t="s">
        <v>638</v>
      </c>
      <c r="I254" s="293">
        <v>8496</v>
      </c>
    </row>
    <row r="255" spans="1:9" x14ac:dyDescent="0.3">
      <c r="A255" s="290">
        <v>46074</v>
      </c>
      <c r="B255" s="290">
        <v>46077</v>
      </c>
      <c r="C255" s="294" t="s">
        <v>639</v>
      </c>
      <c r="D255" s="292" t="s">
        <v>876</v>
      </c>
      <c r="E255" s="292">
        <v>4</v>
      </c>
      <c r="F255" s="292">
        <v>3</v>
      </c>
      <c r="G255" s="292" t="s">
        <v>637</v>
      </c>
      <c r="H255" s="292" t="s">
        <v>638</v>
      </c>
      <c r="I255" s="293">
        <v>11393</v>
      </c>
    </row>
    <row r="256" spans="1:9" x14ac:dyDescent="0.3">
      <c r="A256" s="290">
        <v>46075</v>
      </c>
      <c r="B256" s="290">
        <v>46077</v>
      </c>
      <c r="C256" s="291" t="s">
        <v>8</v>
      </c>
      <c r="D256" s="292" t="s">
        <v>877</v>
      </c>
      <c r="E256" s="292">
        <v>3</v>
      </c>
      <c r="F256" s="292">
        <v>2</v>
      </c>
      <c r="G256" s="292" t="s">
        <v>637</v>
      </c>
      <c r="H256" s="292" t="s">
        <v>638</v>
      </c>
      <c r="I256" s="293">
        <v>7891</v>
      </c>
    </row>
    <row r="257" spans="1:9" x14ac:dyDescent="0.3">
      <c r="A257" s="290">
        <v>46078</v>
      </c>
      <c r="B257" s="290">
        <v>46078</v>
      </c>
      <c r="C257" s="294" t="s">
        <v>639</v>
      </c>
      <c r="D257" s="292" t="s">
        <v>877</v>
      </c>
      <c r="E257" s="292">
        <v>1</v>
      </c>
      <c r="F257" s="292">
        <v>2</v>
      </c>
      <c r="G257" s="292" t="s">
        <v>637</v>
      </c>
      <c r="H257" s="292" t="s">
        <v>638</v>
      </c>
      <c r="I257" s="293">
        <v>3289</v>
      </c>
    </row>
    <row r="258" spans="1:9" x14ac:dyDescent="0.3">
      <c r="A258" s="290">
        <v>46078</v>
      </c>
      <c r="B258" s="290">
        <v>46079</v>
      </c>
      <c r="C258" s="291" t="s">
        <v>8</v>
      </c>
      <c r="D258" s="292" t="s">
        <v>875</v>
      </c>
      <c r="E258" s="292">
        <v>2</v>
      </c>
      <c r="F258" s="292">
        <v>3</v>
      </c>
      <c r="G258" s="292" t="s">
        <v>641</v>
      </c>
      <c r="H258" s="292" t="s">
        <v>723</v>
      </c>
      <c r="I258" s="293">
        <v>9350</v>
      </c>
    </row>
    <row r="259" spans="1:9" x14ac:dyDescent="0.3">
      <c r="A259" s="290">
        <v>46083</v>
      </c>
      <c r="B259" s="290">
        <v>46085</v>
      </c>
      <c r="C259" s="294" t="s">
        <v>639</v>
      </c>
      <c r="D259" s="292" t="s">
        <v>878</v>
      </c>
      <c r="E259" s="292">
        <v>3</v>
      </c>
      <c r="F259" s="292">
        <v>2</v>
      </c>
      <c r="G259" s="292" t="s">
        <v>646</v>
      </c>
      <c r="H259" s="292" t="s">
        <v>638</v>
      </c>
      <c r="I259" s="293">
        <v>11512</v>
      </c>
    </row>
    <row r="260" spans="1:9" x14ac:dyDescent="0.3">
      <c r="A260" s="290">
        <v>46088</v>
      </c>
      <c r="B260" s="290">
        <v>46091</v>
      </c>
      <c r="C260" s="294" t="s">
        <v>639</v>
      </c>
      <c r="D260" s="292" t="s">
        <v>879</v>
      </c>
      <c r="E260" s="292">
        <v>4</v>
      </c>
      <c r="F260" s="292">
        <v>2</v>
      </c>
      <c r="G260" s="292" t="s">
        <v>646</v>
      </c>
      <c r="H260" s="292" t="s">
        <v>638</v>
      </c>
      <c r="I260" s="293">
        <v>17313</v>
      </c>
    </row>
    <row r="261" spans="1:9" x14ac:dyDescent="0.3">
      <c r="A261" s="290">
        <v>46090</v>
      </c>
      <c r="B261" s="290">
        <v>46091</v>
      </c>
      <c r="C261" s="291" t="s">
        <v>8</v>
      </c>
      <c r="D261" s="292" t="s">
        <v>880</v>
      </c>
      <c r="E261" s="292">
        <v>2</v>
      </c>
      <c r="F261" s="292">
        <v>3</v>
      </c>
      <c r="G261" s="292" t="s">
        <v>646</v>
      </c>
      <c r="H261" s="292" t="s">
        <v>638</v>
      </c>
      <c r="I261" s="293">
        <v>9311</v>
      </c>
    </row>
    <row r="262" spans="1:9" x14ac:dyDescent="0.3">
      <c r="A262" s="290">
        <v>46093</v>
      </c>
      <c r="B262" s="290">
        <v>46093</v>
      </c>
      <c r="C262" s="294" t="s">
        <v>639</v>
      </c>
      <c r="D262" s="292" t="s">
        <v>881</v>
      </c>
      <c r="E262" s="292">
        <v>1</v>
      </c>
      <c r="F262" s="292">
        <v>2</v>
      </c>
      <c r="G262" s="292" t="s">
        <v>646</v>
      </c>
      <c r="H262" s="292" t="s">
        <v>638</v>
      </c>
      <c r="I262" s="293">
        <v>2617</v>
      </c>
    </row>
    <row r="263" spans="1:9" x14ac:dyDescent="0.3">
      <c r="A263" s="290">
        <v>46096</v>
      </c>
      <c r="B263" s="290">
        <v>46098</v>
      </c>
      <c r="C263" s="291" t="s">
        <v>8</v>
      </c>
      <c r="D263" s="292" t="s">
        <v>882</v>
      </c>
      <c r="E263" s="292">
        <v>3</v>
      </c>
      <c r="F263" s="292">
        <v>2</v>
      </c>
      <c r="G263" s="292" t="s">
        <v>637</v>
      </c>
      <c r="H263" s="292" t="s">
        <v>638</v>
      </c>
      <c r="I263" s="293">
        <v>6258</v>
      </c>
    </row>
    <row r="264" spans="1:9" x14ac:dyDescent="0.3">
      <c r="A264" s="290">
        <v>46098</v>
      </c>
      <c r="B264" s="290">
        <v>46101</v>
      </c>
      <c r="C264" s="294" t="s">
        <v>639</v>
      </c>
      <c r="D264" s="292" t="s">
        <v>883</v>
      </c>
      <c r="E264" s="292">
        <v>4</v>
      </c>
      <c r="F264" s="292">
        <v>2</v>
      </c>
      <c r="G264" s="292" t="s">
        <v>637</v>
      </c>
      <c r="H264" s="292" t="s">
        <v>638</v>
      </c>
      <c r="I264" s="293">
        <v>9325</v>
      </c>
    </row>
    <row r="265" spans="1:9" x14ac:dyDescent="0.3">
      <c r="A265" s="290">
        <v>46104</v>
      </c>
      <c r="B265" s="290">
        <v>46105</v>
      </c>
      <c r="C265" s="291" t="s">
        <v>8</v>
      </c>
      <c r="D265" s="292" t="s">
        <v>884</v>
      </c>
      <c r="E265" s="292">
        <v>2</v>
      </c>
      <c r="F265" s="292">
        <v>2</v>
      </c>
      <c r="G265" s="292" t="s">
        <v>637</v>
      </c>
      <c r="H265" s="292" t="s">
        <v>723</v>
      </c>
      <c r="I265" s="293">
        <v>0</v>
      </c>
    </row>
    <row r="266" spans="1:9" x14ac:dyDescent="0.3">
      <c r="A266" s="290">
        <v>46105</v>
      </c>
      <c r="B266" s="290">
        <v>46109</v>
      </c>
      <c r="C266" s="294" t="s">
        <v>639</v>
      </c>
      <c r="D266" s="292" t="s">
        <v>885</v>
      </c>
      <c r="E266" s="292">
        <v>5</v>
      </c>
      <c r="F266" s="292">
        <v>2</v>
      </c>
      <c r="G266" s="292" t="s">
        <v>637</v>
      </c>
      <c r="H266" s="292" t="s">
        <v>638</v>
      </c>
      <c r="I266" s="293">
        <v>11542</v>
      </c>
    </row>
    <row r="267" spans="1:9" x14ac:dyDescent="0.3">
      <c r="A267" s="290">
        <v>46106</v>
      </c>
      <c r="B267" s="290">
        <v>46106</v>
      </c>
      <c r="C267" s="291" t="s">
        <v>8</v>
      </c>
      <c r="D267" s="292" t="s">
        <v>886</v>
      </c>
      <c r="E267" s="292">
        <v>1</v>
      </c>
      <c r="F267" s="292">
        <v>4</v>
      </c>
      <c r="G267" s="292" t="s">
        <v>646</v>
      </c>
      <c r="H267" s="292" t="s">
        <v>638</v>
      </c>
      <c r="I267" s="293">
        <v>5904</v>
      </c>
    </row>
    <row r="268" spans="1:9" x14ac:dyDescent="0.3">
      <c r="A268" s="290">
        <v>46107</v>
      </c>
      <c r="B268" s="290">
        <v>46110</v>
      </c>
      <c r="C268" s="291" t="s">
        <v>8</v>
      </c>
      <c r="D268" s="292" t="s">
        <v>887</v>
      </c>
      <c r="E268" s="292">
        <v>4</v>
      </c>
      <c r="F268" s="292">
        <v>2</v>
      </c>
      <c r="G268" s="292" t="s">
        <v>646</v>
      </c>
      <c r="H268" s="292" t="s">
        <v>638</v>
      </c>
      <c r="I268" s="293">
        <v>13815</v>
      </c>
    </row>
    <row r="269" spans="1:9" x14ac:dyDescent="0.3">
      <c r="A269" s="290">
        <v>46113</v>
      </c>
      <c r="B269" s="290">
        <v>46113</v>
      </c>
      <c r="C269" s="291" t="s">
        <v>8</v>
      </c>
      <c r="D269" s="292" t="s">
        <v>888</v>
      </c>
      <c r="E269" s="292">
        <v>1</v>
      </c>
      <c r="F269" s="292">
        <v>3</v>
      </c>
      <c r="G269" s="292" t="s">
        <v>637</v>
      </c>
      <c r="H269" s="292" t="s">
        <v>638</v>
      </c>
      <c r="I269" s="293">
        <v>4627</v>
      </c>
    </row>
    <row r="270" spans="1:9" x14ac:dyDescent="0.3">
      <c r="A270" s="290">
        <v>46114</v>
      </c>
      <c r="B270" s="290">
        <v>46114</v>
      </c>
      <c r="C270" s="294" t="s">
        <v>639</v>
      </c>
      <c r="D270" s="292" t="s">
        <v>888</v>
      </c>
      <c r="E270" s="292">
        <v>1</v>
      </c>
      <c r="F270" s="292">
        <v>3</v>
      </c>
      <c r="G270" s="292" t="s">
        <v>637</v>
      </c>
      <c r="H270" s="292" t="s">
        <v>638</v>
      </c>
      <c r="I270" s="293">
        <v>4862</v>
      </c>
    </row>
    <row r="271" spans="1:9" x14ac:dyDescent="0.3">
      <c r="A271" s="290">
        <v>46114</v>
      </c>
      <c r="B271" s="290">
        <v>46116</v>
      </c>
      <c r="C271" s="291" t="s">
        <v>8</v>
      </c>
      <c r="D271" s="292" t="s">
        <v>889</v>
      </c>
      <c r="E271" s="292">
        <v>3</v>
      </c>
      <c r="F271" s="292">
        <v>4</v>
      </c>
      <c r="G271" s="292" t="s">
        <v>637</v>
      </c>
      <c r="H271" s="292" t="s">
        <v>638</v>
      </c>
      <c r="I271" s="293">
        <v>9536</v>
      </c>
    </row>
    <row r="272" spans="1:9" x14ac:dyDescent="0.3">
      <c r="A272" s="290">
        <v>46115</v>
      </c>
      <c r="B272" s="290">
        <v>46117</v>
      </c>
      <c r="C272" s="294" t="s">
        <v>639</v>
      </c>
      <c r="D272" s="292" t="s">
        <v>890</v>
      </c>
      <c r="E272" s="292">
        <v>3</v>
      </c>
      <c r="F272" s="292">
        <v>4</v>
      </c>
      <c r="G272" s="292" t="s">
        <v>637</v>
      </c>
      <c r="H272" s="292" t="s">
        <v>638</v>
      </c>
      <c r="I272" s="293">
        <v>11025</v>
      </c>
    </row>
    <row r="273" spans="1:9" x14ac:dyDescent="0.3">
      <c r="A273" s="290">
        <v>46117</v>
      </c>
      <c r="B273" s="290">
        <v>46119</v>
      </c>
      <c r="C273" s="291" t="s">
        <v>8</v>
      </c>
      <c r="D273" s="292" t="s">
        <v>891</v>
      </c>
      <c r="E273" s="292">
        <v>3</v>
      </c>
      <c r="F273" s="292">
        <v>3</v>
      </c>
      <c r="G273" s="292" t="s">
        <v>637</v>
      </c>
      <c r="H273" s="292" t="s">
        <v>638</v>
      </c>
      <c r="I273" s="293">
        <v>8976</v>
      </c>
    </row>
    <row r="274" spans="1:9" x14ac:dyDescent="0.3">
      <c r="A274" s="290">
        <v>46120</v>
      </c>
      <c r="B274" s="290">
        <v>46121</v>
      </c>
      <c r="C274" s="294" t="s">
        <v>639</v>
      </c>
      <c r="D274" s="292" t="s">
        <v>892</v>
      </c>
      <c r="E274" s="292">
        <v>2</v>
      </c>
      <c r="F274" s="292">
        <v>2</v>
      </c>
      <c r="G274" s="292" t="s">
        <v>646</v>
      </c>
      <c r="H274" s="292" t="s">
        <v>638</v>
      </c>
      <c r="I274" s="293">
        <v>0</v>
      </c>
    </row>
    <row r="275" spans="1:9" x14ac:dyDescent="0.3">
      <c r="A275" s="290">
        <v>46123</v>
      </c>
      <c r="B275" s="290">
        <v>46124</v>
      </c>
      <c r="C275" s="294" t="s">
        <v>639</v>
      </c>
      <c r="D275" s="292" t="s">
        <v>893</v>
      </c>
      <c r="E275" s="292">
        <v>2</v>
      </c>
      <c r="F275" s="292">
        <v>4</v>
      </c>
      <c r="G275" s="292" t="s">
        <v>637</v>
      </c>
      <c r="H275" s="292" t="s">
        <v>638</v>
      </c>
      <c r="I275" s="293">
        <v>6273</v>
      </c>
    </row>
    <row r="276" spans="1:9" x14ac:dyDescent="0.3">
      <c r="A276" s="290">
        <v>46126</v>
      </c>
      <c r="B276" s="290">
        <v>46128</v>
      </c>
      <c r="C276" s="294" t="s">
        <v>639</v>
      </c>
      <c r="D276" s="292" t="s">
        <v>894</v>
      </c>
      <c r="E276" s="292">
        <v>3</v>
      </c>
      <c r="F276" s="292">
        <v>3</v>
      </c>
      <c r="G276" s="292" t="s">
        <v>637</v>
      </c>
      <c r="H276" s="292" t="s">
        <v>638</v>
      </c>
      <c r="I276" s="293">
        <v>9476</v>
      </c>
    </row>
    <row r="277" spans="1:9" x14ac:dyDescent="0.3">
      <c r="A277" s="290">
        <v>46133</v>
      </c>
      <c r="B277" s="290">
        <v>46134</v>
      </c>
      <c r="C277" s="294" t="s">
        <v>639</v>
      </c>
      <c r="D277" s="292" t="s">
        <v>895</v>
      </c>
      <c r="E277" s="292">
        <v>2</v>
      </c>
      <c r="F277" s="292">
        <v>3</v>
      </c>
      <c r="G277" s="292" t="s">
        <v>646</v>
      </c>
      <c r="H277" s="292" t="s">
        <v>638</v>
      </c>
      <c r="I277" s="293">
        <v>8809</v>
      </c>
    </row>
    <row r="278" spans="1:9" x14ac:dyDescent="0.3">
      <c r="A278" s="290">
        <v>46135</v>
      </c>
      <c r="B278" s="290">
        <v>46135</v>
      </c>
      <c r="C278" s="294" t="s">
        <v>639</v>
      </c>
      <c r="D278" s="292" t="s">
        <v>896</v>
      </c>
      <c r="E278" s="292">
        <v>1</v>
      </c>
      <c r="F278" s="292">
        <v>2</v>
      </c>
      <c r="G278" s="292" t="s">
        <v>641</v>
      </c>
      <c r="H278" s="292" t="s">
        <v>723</v>
      </c>
      <c r="I278" s="293">
        <v>0</v>
      </c>
    </row>
    <row r="279" spans="1:9" x14ac:dyDescent="0.3">
      <c r="A279" s="290">
        <v>46137</v>
      </c>
      <c r="B279" s="290">
        <v>46138</v>
      </c>
      <c r="C279" s="294" t="s">
        <v>639</v>
      </c>
      <c r="D279" s="292" t="s">
        <v>897</v>
      </c>
      <c r="E279" s="292">
        <v>2</v>
      </c>
      <c r="F279" s="292">
        <v>4</v>
      </c>
      <c r="G279" s="292" t="s">
        <v>637</v>
      </c>
      <c r="H279" s="292" t="s">
        <v>638</v>
      </c>
      <c r="I279" s="293">
        <v>7619</v>
      </c>
    </row>
    <row r="280" spans="1:9" x14ac:dyDescent="0.3">
      <c r="A280" s="290">
        <v>46139</v>
      </c>
      <c r="B280" s="290">
        <v>46139</v>
      </c>
      <c r="C280" s="294" t="s">
        <v>639</v>
      </c>
      <c r="D280" s="292" t="s">
        <v>898</v>
      </c>
      <c r="E280" s="292">
        <v>1</v>
      </c>
      <c r="F280" s="292">
        <v>2</v>
      </c>
      <c r="G280" s="292" t="s">
        <v>637</v>
      </c>
      <c r="H280" s="292" t="s">
        <v>638</v>
      </c>
      <c r="I280" s="293">
        <v>3378</v>
      </c>
    </row>
    <row r="281" spans="1:9" x14ac:dyDescent="0.3">
      <c r="A281" s="290">
        <v>46140</v>
      </c>
      <c r="B281" s="290">
        <v>46141</v>
      </c>
      <c r="C281" s="294" t="s">
        <v>639</v>
      </c>
      <c r="D281" s="292" t="s">
        <v>899</v>
      </c>
      <c r="E281" s="292">
        <v>2</v>
      </c>
      <c r="F281" s="292">
        <v>2</v>
      </c>
      <c r="G281" s="292" t="s">
        <v>637</v>
      </c>
      <c r="H281" s="292" t="s">
        <v>638</v>
      </c>
      <c r="I281" s="293">
        <v>5261</v>
      </c>
    </row>
    <row r="282" spans="1:9" x14ac:dyDescent="0.3">
      <c r="A282" s="290">
        <v>46141</v>
      </c>
      <c r="B282" s="290">
        <v>46143</v>
      </c>
      <c r="C282" s="291" t="s">
        <v>8</v>
      </c>
      <c r="D282" s="292" t="s">
        <v>900</v>
      </c>
      <c r="E282" s="292">
        <v>3</v>
      </c>
      <c r="F282" s="292">
        <v>4</v>
      </c>
      <c r="G282" s="292" t="s">
        <v>637</v>
      </c>
      <c r="H282" s="292" t="s">
        <v>638</v>
      </c>
      <c r="I282" s="293">
        <v>9409</v>
      </c>
    </row>
    <row r="283" spans="1:9" x14ac:dyDescent="0.3">
      <c r="A283" s="290">
        <v>46143</v>
      </c>
      <c r="B283" s="290">
        <v>46144</v>
      </c>
      <c r="C283" s="294" t="s">
        <v>639</v>
      </c>
      <c r="D283" s="292" t="s">
        <v>901</v>
      </c>
      <c r="E283" s="292">
        <v>2</v>
      </c>
      <c r="F283" s="292">
        <v>3</v>
      </c>
      <c r="G283" s="292" t="s">
        <v>637</v>
      </c>
      <c r="H283" s="292" t="s">
        <v>638</v>
      </c>
      <c r="I283" s="293">
        <v>7996</v>
      </c>
    </row>
    <row r="284" spans="1:9" x14ac:dyDescent="0.3">
      <c r="A284" s="290">
        <v>46148</v>
      </c>
      <c r="B284" s="290">
        <v>46149</v>
      </c>
      <c r="C284" s="294" t="s">
        <v>639</v>
      </c>
      <c r="D284" s="292" t="s">
        <v>902</v>
      </c>
      <c r="E284" s="292">
        <v>2</v>
      </c>
      <c r="F284" s="292">
        <v>4</v>
      </c>
      <c r="G284" s="292" t="s">
        <v>637</v>
      </c>
      <c r="H284" s="292" t="s">
        <v>638</v>
      </c>
      <c r="I284" s="293">
        <v>7688</v>
      </c>
    </row>
    <row r="285" spans="1:9" x14ac:dyDescent="0.3">
      <c r="A285" s="290">
        <v>46149</v>
      </c>
      <c r="B285" s="290">
        <v>46151</v>
      </c>
      <c r="C285" s="291" t="s">
        <v>8</v>
      </c>
      <c r="D285" s="292" t="s">
        <v>903</v>
      </c>
      <c r="E285" s="292">
        <v>3</v>
      </c>
      <c r="F285" s="292">
        <v>4</v>
      </c>
      <c r="G285" s="292" t="s">
        <v>637</v>
      </c>
      <c r="H285" s="292" t="s">
        <v>638</v>
      </c>
      <c r="I285" s="293">
        <v>9874</v>
      </c>
    </row>
    <row r="286" spans="1:9" x14ac:dyDescent="0.3">
      <c r="A286" s="290">
        <v>46150</v>
      </c>
      <c r="B286" s="290">
        <v>46152</v>
      </c>
      <c r="C286" s="294" t="s">
        <v>639</v>
      </c>
      <c r="D286" s="292" t="s">
        <v>896</v>
      </c>
      <c r="E286" s="292">
        <v>3</v>
      </c>
      <c r="F286" s="292">
        <v>2</v>
      </c>
      <c r="G286" s="292" t="s">
        <v>641</v>
      </c>
      <c r="H286" s="292" t="s">
        <v>723</v>
      </c>
      <c r="I286" s="293">
        <v>0</v>
      </c>
    </row>
    <row r="287" spans="1:9" x14ac:dyDescent="0.3">
      <c r="A287" s="290">
        <v>46153</v>
      </c>
      <c r="B287" s="290">
        <v>46156</v>
      </c>
      <c r="C287" s="294" t="s">
        <v>639</v>
      </c>
      <c r="D287" s="292" t="s">
        <v>904</v>
      </c>
      <c r="E287" s="292">
        <v>4</v>
      </c>
      <c r="F287" s="292">
        <v>3</v>
      </c>
      <c r="G287" s="292" t="s">
        <v>637</v>
      </c>
      <c r="H287" s="292" t="s">
        <v>638</v>
      </c>
      <c r="I287" s="293">
        <v>13346</v>
      </c>
    </row>
    <row r="288" spans="1:9" x14ac:dyDescent="0.3">
      <c r="A288" s="290">
        <v>46154</v>
      </c>
      <c r="B288" s="290">
        <v>46160</v>
      </c>
      <c r="C288" s="291" t="s">
        <v>8</v>
      </c>
      <c r="D288" s="292" t="s">
        <v>905</v>
      </c>
      <c r="E288" s="292">
        <v>7</v>
      </c>
      <c r="F288" s="292">
        <v>2</v>
      </c>
      <c r="G288" s="292" t="s">
        <v>637</v>
      </c>
      <c r="H288" s="292" t="s">
        <v>638</v>
      </c>
      <c r="I288" s="293">
        <v>16488</v>
      </c>
    </row>
    <row r="289" spans="1:9" x14ac:dyDescent="0.3">
      <c r="A289" s="290">
        <v>46157</v>
      </c>
      <c r="B289" s="290">
        <v>46158</v>
      </c>
      <c r="C289" s="294" t="s">
        <v>639</v>
      </c>
      <c r="D289" s="292" t="s">
        <v>906</v>
      </c>
      <c r="E289" s="292">
        <v>2</v>
      </c>
      <c r="F289" s="292">
        <v>2</v>
      </c>
      <c r="G289" s="292" t="s">
        <v>646</v>
      </c>
      <c r="H289" s="292" t="s">
        <v>638</v>
      </c>
      <c r="I289" s="293">
        <v>7357</v>
      </c>
    </row>
    <row r="290" spans="1:9" x14ac:dyDescent="0.3">
      <c r="A290" s="290">
        <v>46161</v>
      </c>
      <c r="B290" s="290">
        <v>46164</v>
      </c>
      <c r="C290" s="294" t="s">
        <v>639</v>
      </c>
      <c r="D290" s="292" t="s">
        <v>907</v>
      </c>
      <c r="E290" s="292">
        <v>4</v>
      </c>
      <c r="F290" s="292">
        <v>4</v>
      </c>
      <c r="G290" s="292" t="s">
        <v>637</v>
      </c>
      <c r="H290" s="292" t="s">
        <v>638</v>
      </c>
      <c r="I290" s="293">
        <v>13037</v>
      </c>
    </row>
    <row r="291" spans="1:9" x14ac:dyDescent="0.3">
      <c r="A291" s="290">
        <v>46166</v>
      </c>
      <c r="B291" s="290">
        <v>46168</v>
      </c>
      <c r="C291" s="291" t="s">
        <v>8</v>
      </c>
      <c r="D291" s="292" t="s">
        <v>908</v>
      </c>
      <c r="E291" s="292">
        <v>3</v>
      </c>
      <c r="F291" s="292">
        <v>2</v>
      </c>
      <c r="G291" s="292" t="s">
        <v>646</v>
      </c>
      <c r="H291" s="292" t="s">
        <v>638</v>
      </c>
      <c r="I291" s="293">
        <v>12250</v>
      </c>
    </row>
    <row r="292" spans="1:9" x14ac:dyDescent="0.3">
      <c r="A292" s="290">
        <v>46166</v>
      </c>
      <c r="B292" s="290">
        <v>46169</v>
      </c>
      <c r="C292" s="294" t="s">
        <v>639</v>
      </c>
      <c r="D292" s="292" t="s">
        <v>909</v>
      </c>
      <c r="E292" s="292">
        <v>4</v>
      </c>
      <c r="F292" s="292">
        <v>2</v>
      </c>
      <c r="G292" s="292" t="s">
        <v>637</v>
      </c>
      <c r="H292" s="292" t="s">
        <v>663</v>
      </c>
      <c r="I292" s="293">
        <v>19774</v>
      </c>
    </row>
    <row r="293" spans="1:9" x14ac:dyDescent="0.3">
      <c r="A293" s="290">
        <v>46169</v>
      </c>
      <c r="B293" s="290">
        <v>46172</v>
      </c>
      <c r="C293" s="291" t="s">
        <v>8</v>
      </c>
      <c r="D293" s="292" t="s">
        <v>910</v>
      </c>
      <c r="E293" s="292">
        <v>4</v>
      </c>
      <c r="F293" s="292">
        <v>3</v>
      </c>
      <c r="G293" s="292" t="s">
        <v>637</v>
      </c>
      <c r="H293" s="292" t="s">
        <v>638</v>
      </c>
      <c r="I293" s="293">
        <v>11143</v>
      </c>
    </row>
    <row r="294" spans="1:9" x14ac:dyDescent="0.3">
      <c r="A294" s="290">
        <v>46177</v>
      </c>
      <c r="B294" s="290">
        <v>46177</v>
      </c>
      <c r="C294" s="294" t="s">
        <v>639</v>
      </c>
      <c r="D294" s="292" t="s">
        <v>911</v>
      </c>
      <c r="E294" s="292">
        <v>1</v>
      </c>
      <c r="F294" s="292">
        <v>4</v>
      </c>
      <c r="G294" s="292" t="s">
        <v>637</v>
      </c>
      <c r="H294" s="292" t="s">
        <v>638</v>
      </c>
      <c r="I294" s="293">
        <v>4230</v>
      </c>
    </row>
    <row r="295" spans="1:9" x14ac:dyDescent="0.3">
      <c r="A295" s="290">
        <v>46180</v>
      </c>
      <c r="B295" s="290">
        <v>46182</v>
      </c>
      <c r="C295" s="294" t="s">
        <v>639</v>
      </c>
      <c r="D295" s="292" t="s">
        <v>912</v>
      </c>
      <c r="E295" s="292">
        <v>3</v>
      </c>
      <c r="F295" s="292">
        <v>2</v>
      </c>
      <c r="G295" s="292" t="s">
        <v>646</v>
      </c>
      <c r="H295" s="292" t="s">
        <v>638</v>
      </c>
      <c r="I295" s="293">
        <v>11562</v>
      </c>
    </row>
    <row r="296" spans="1:9" x14ac:dyDescent="0.3">
      <c r="A296" s="290">
        <v>46188</v>
      </c>
      <c r="B296" s="290">
        <v>46189</v>
      </c>
      <c r="C296" s="294" t="s">
        <v>639</v>
      </c>
      <c r="D296" s="292" t="s">
        <v>913</v>
      </c>
      <c r="E296" s="292">
        <v>2</v>
      </c>
      <c r="F296" s="292">
        <v>3</v>
      </c>
      <c r="G296" s="292" t="s">
        <v>646</v>
      </c>
      <c r="H296" s="292" t="s">
        <v>638</v>
      </c>
      <c r="I296" s="293">
        <v>8276</v>
      </c>
    </row>
    <row r="297" spans="1:9" x14ac:dyDescent="0.3">
      <c r="A297" s="290">
        <v>46189</v>
      </c>
      <c r="B297" s="290">
        <v>46191</v>
      </c>
      <c r="C297" s="291" t="s">
        <v>8</v>
      </c>
      <c r="D297" s="292" t="s">
        <v>914</v>
      </c>
      <c r="E297" s="292">
        <v>3</v>
      </c>
      <c r="F297" s="292">
        <v>3</v>
      </c>
      <c r="G297" s="292" t="s">
        <v>637</v>
      </c>
      <c r="H297" s="292" t="s">
        <v>638</v>
      </c>
      <c r="I297" s="293">
        <v>9293</v>
      </c>
    </row>
    <row r="298" spans="1:9" x14ac:dyDescent="0.3">
      <c r="A298" s="290">
        <v>46192</v>
      </c>
      <c r="B298" s="290">
        <v>46193</v>
      </c>
      <c r="C298" s="294" t="s">
        <v>639</v>
      </c>
      <c r="D298" s="292" t="s">
        <v>915</v>
      </c>
      <c r="E298" s="292">
        <v>2</v>
      </c>
      <c r="F298" s="292">
        <v>3</v>
      </c>
      <c r="G298" s="292" t="s">
        <v>637</v>
      </c>
      <c r="H298" s="292" t="s">
        <v>638</v>
      </c>
      <c r="I298" s="293">
        <v>5035</v>
      </c>
    </row>
    <row r="299" spans="1:9" x14ac:dyDescent="0.3">
      <c r="A299" s="290">
        <v>46192</v>
      </c>
      <c r="B299" s="290">
        <v>46193</v>
      </c>
      <c r="C299" s="291" t="s">
        <v>8</v>
      </c>
      <c r="D299" s="292" t="s">
        <v>915</v>
      </c>
      <c r="E299" s="292">
        <v>2</v>
      </c>
      <c r="F299" s="292">
        <v>2</v>
      </c>
      <c r="G299" s="292" t="s">
        <v>637</v>
      </c>
      <c r="H299" s="292" t="s">
        <v>638</v>
      </c>
      <c r="I299" s="293">
        <v>4358</v>
      </c>
    </row>
    <row r="300" spans="1:9" x14ac:dyDescent="0.3">
      <c r="A300" s="290">
        <v>46196</v>
      </c>
      <c r="B300" s="290">
        <v>46197</v>
      </c>
      <c r="C300" s="294" t="s">
        <v>639</v>
      </c>
      <c r="D300" s="292" t="s">
        <v>916</v>
      </c>
      <c r="E300" s="292">
        <v>2</v>
      </c>
      <c r="F300" s="292">
        <v>3</v>
      </c>
      <c r="G300" s="292" t="s">
        <v>637</v>
      </c>
      <c r="H300" s="292" t="s">
        <v>638</v>
      </c>
      <c r="I300" s="293">
        <v>6874</v>
      </c>
    </row>
    <row r="301" spans="1:9" x14ac:dyDescent="0.3">
      <c r="A301" s="290">
        <v>46200</v>
      </c>
      <c r="B301" s="290">
        <v>46209</v>
      </c>
      <c r="C301" s="291" t="s">
        <v>8</v>
      </c>
      <c r="D301" s="292" t="s">
        <v>917</v>
      </c>
      <c r="E301" s="292">
        <v>10</v>
      </c>
      <c r="F301" s="292">
        <v>2</v>
      </c>
      <c r="G301" s="292" t="s">
        <v>637</v>
      </c>
      <c r="H301" s="292" t="s">
        <v>638</v>
      </c>
      <c r="I301" s="293">
        <v>24281</v>
      </c>
    </row>
    <row r="302" spans="1:9" x14ac:dyDescent="0.3">
      <c r="A302" s="290">
        <v>46201</v>
      </c>
      <c r="B302" s="290">
        <v>46205</v>
      </c>
      <c r="C302" s="294" t="s">
        <v>639</v>
      </c>
      <c r="D302" s="292" t="s">
        <v>918</v>
      </c>
      <c r="E302" s="292">
        <v>5</v>
      </c>
      <c r="F302" s="292">
        <v>3</v>
      </c>
      <c r="G302" s="292" t="s">
        <v>637</v>
      </c>
      <c r="H302" s="292" t="s">
        <v>638</v>
      </c>
      <c r="I302" s="293">
        <v>14449</v>
      </c>
    </row>
    <row r="303" spans="1:9" x14ac:dyDescent="0.3">
      <c r="A303" s="290">
        <v>46206</v>
      </c>
      <c r="B303" s="290">
        <v>46208</v>
      </c>
      <c r="C303" s="294" t="s">
        <v>639</v>
      </c>
      <c r="D303" s="292" t="s">
        <v>919</v>
      </c>
      <c r="E303" s="292">
        <v>3</v>
      </c>
      <c r="F303" s="292">
        <v>4</v>
      </c>
      <c r="G303" s="292" t="s">
        <v>637</v>
      </c>
      <c r="H303" s="292" t="s">
        <v>638</v>
      </c>
      <c r="I303" s="293">
        <v>10757</v>
      </c>
    </row>
    <row r="304" spans="1:9" x14ac:dyDescent="0.3">
      <c r="A304" s="290">
        <v>46210</v>
      </c>
      <c r="B304" s="290">
        <v>46212</v>
      </c>
      <c r="C304" s="291" t="s">
        <v>8</v>
      </c>
      <c r="D304" s="292" t="s">
        <v>920</v>
      </c>
      <c r="E304" s="292">
        <v>3</v>
      </c>
      <c r="F304" s="292">
        <v>3</v>
      </c>
      <c r="G304" s="292" t="s">
        <v>637</v>
      </c>
      <c r="H304" s="292" t="s">
        <v>638</v>
      </c>
      <c r="I304" s="293">
        <v>9044</v>
      </c>
    </row>
    <row r="305" spans="1:9" x14ac:dyDescent="0.3">
      <c r="A305" s="290">
        <v>46210</v>
      </c>
      <c r="B305" s="290">
        <v>46212</v>
      </c>
      <c r="C305" s="294" t="s">
        <v>639</v>
      </c>
      <c r="D305" s="292" t="s">
        <v>921</v>
      </c>
      <c r="E305" s="292">
        <v>3</v>
      </c>
      <c r="F305" s="292">
        <v>3</v>
      </c>
      <c r="G305" s="292" t="s">
        <v>637</v>
      </c>
      <c r="H305" s="292" t="s">
        <v>638</v>
      </c>
      <c r="I305" s="293">
        <v>13408</v>
      </c>
    </row>
    <row r="306" spans="1:9" x14ac:dyDescent="0.3">
      <c r="A306" s="290">
        <v>46213</v>
      </c>
      <c r="B306" s="290">
        <v>46215</v>
      </c>
      <c r="C306" s="294" t="s">
        <v>639</v>
      </c>
      <c r="D306" s="292" t="s">
        <v>922</v>
      </c>
      <c r="E306" s="292">
        <v>3</v>
      </c>
      <c r="F306" s="292">
        <v>2</v>
      </c>
      <c r="G306" s="292" t="s">
        <v>637</v>
      </c>
      <c r="H306" s="292" t="s">
        <v>638</v>
      </c>
      <c r="I306" s="293">
        <v>7194</v>
      </c>
    </row>
    <row r="307" spans="1:9" x14ac:dyDescent="0.3">
      <c r="A307" s="290">
        <v>46216</v>
      </c>
      <c r="B307" s="290">
        <v>46216</v>
      </c>
      <c r="C307" s="291" t="s">
        <v>8</v>
      </c>
      <c r="D307" s="292" t="s">
        <v>923</v>
      </c>
      <c r="E307" s="292">
        <v>1</v>
      </c>
      <c r="F307" s="292">
        <v>3</v>
      </c>
      <c r="G307" s="292" t="s">
        <v>637</v>
      </c>
      <c r="H307" s="292" t="s">
        <v>638</v>
      </c>
      <c r="I307" s="293">
        <v>2890</v>
      </c>
    </row>
    <row r="308" spans="1:9" x14ac:dyDescent="0.3">
      <c r="A308" s="290">
        <v>46216</v>
      </c>
      <c r="B308" s="290">
        <v>46217</v>
      </c>
      <c r="C308" s="294" t="s">
        <v>639</v>
      </c>
      <c r="D308" s="292" t="s">
        <v>924</v>
      </c>
      <c r="E308" s="292">
        <v>2</v>
      </c>
      <c r="F308" s="292">
        <v>4</v>
      </c>
      <c r="G308" s="292" t="s">
        <v>637</v>
      </c>
      <c r="H308" s="292" t="s">
        <v>638</v>
      </c>
      <c r="I308" s="293">
        <v>7994</v>
      </c>
    </row>
    <row r="309" spans="1:9" x14ac:dyDescent="0.3">
      <c r="A309" s="290">
        <v>46217</v>
      </c>
      <c r="B309" s="290">
        <v>46218</v>
      </c>
      <c r="C309" s="291" t="s">
        <v>8</v>
      </c>
      <c r="D309" s="292" t="s">
        <v>923</v>
      </c>
      <c r="E309" s="292">
        <v>2</v>
      </c>
      <c r="F309" s="292">
        <v>3</v>
      </c>
      <c r="G309" s="292" t="s">
        <v>637</v>
      </c>
      <c r="H309" s="292" t="s">
        <v>638</v>
      </c>
      <c r="I309" s="293">
        <v>5401</v>
      </c>
    </row>
    <row r="310" spans="1:9" x14ac:dyDescent="0.3">
      <c r="A310" s="290">
        <v>46218</v>
      </c>
      <c r="B310" s="290">
        <v>46219</v>
      </c>
      <c r="C310" s="294" t="s">
        <v>639</v>
      </c>
      <c r="D310" s="292" t="s">
        <v>925</v>
      </c>
      <c r="E310" s="292">
        <v>2</v>
      </c>
      <c r="F310" s="292">
        <v>3</v>
      </c>
      <c r="G310" s="292" t="s">
        <v>637</v>
      </c>
      <c r="H310" s="292" t="s">
        <v>638</v>
      </c>
      <c r="I310" s="293">
        <v>5401</v>
      </c>
    </row>
    <row r="311" spans="1:9" x14ac:dyDescent="0.3">
      <c r="A311" s="290">
        <v>46220</v>
      </c>
      <c r="B311" s="290">
        <v>46224</v>
      </c>
      <c r="C311" s="294" t="s">
        <v>639</v>
      </c>
      <c r="D311" s="292" t="s">
        <v>926</v>
      </c>
      <c r="E311" s="292">
        <v>5</v>
      </c>
      <c r="F311" s="292">
        <v>4</v>
      </c>
      <c r="G311" s="292" t="s">
        <v>646</v>
      </c>
      <c r="H311" s="292" t="s">
        <v>638</v>
      </c>
      <c r="I311" s="293">
        <v>23412</v>
      </c>
    </row>
    <row r="312" spans="1:9" x14ac:dyDescent="0.3">
      <c r="A312" s="290">
        <v>46225</v>
      </c>
      <c r="B312" s="290">
        <v>46227</v>
      </c>
      <c r="C312" s="291" t="s">
        <v>8</v>
      </c>
      <c r="D312" s="292" t="s">
        <v>927</v>
      </c>
      <c r="E312" s="292">
        <v>3</v>
      </c>
      <c r="F312" s="292">
        <v>3</v>
      </c>
      <c r="G312" s="292" t="s">
        <v>646</v>
      </c>
      <c r="H312" s="292" t="s">
        <v>638</v>
      </c>
      <c r="I312" s="293">
        <v>16605</v>
      </c>
    </row>
    <row r="313" spans="1:9" x14ac:dyDescent="0.3">
      <c r="A313" s="290">
        <v>46226</v>
      </c>
      <c r="B313" s="290">
        <v>46227</v>
      </c>
      <c r="C313" s="294" t="s">
        <v>639</v>
      </c>
      <c r="D313" s="292" t="s">
        <v>928</v>
      </c>
      <c r="E313" s="292">
        <v>2</v>
      </c>
      <c r="F313" s="292">
        <v>4</v>
      </c>
      <c r="G313" s="292" t="s">
        <v>637</v>
      </c>
      <c r="H313" s="292" t="s">
        <v>638</v>
      </c>
      <c r="I313" s="293">
        <v>7195</v>
      </c>
    </row>
    <row r="314" spans="1:9" x14ac:dyDescent="0.3">
      <c r="A314" s="290">
        <v>46228</v>
      </c>
      <c r="B314" s="290">
        <v>46230</v>
      </c>
      <c r="C314" s="294" t="s">
        <v>639</v>
      </c>
      <c r="D314" s="292" t="s">
        <v>929</v>
      </c>
      <c r="E314" s="292">
        <v>3</v>
      </c>
      <c r="F314" s="292">
        <v>2</v>
      </c>
      <c r="G314" s="292" t="s">
        <v>637</v>
      </c>
      <c r="H314" s="292" t="s">
        <v>638</v>
      </c>
      <c r="I314" s="293">
        <v>7816</v>
      </c>
    </row>
    <row r="315" spans="1:9" x14ac:dyDescent="0.3">
      <c r="A315" s="290">
        <v>46234</v>
      </c>
      <c r="B315" s="290">
        <v>46235</v>
      </c>
      <c r="C315" s="291" t="s">
        <v>8</v>
      </c>
      <c r="D315" s="292" t="s">
        <v>930</v>
      </c>
      <c r="E315" s="292">
        <v>2</v>
      </c>
      <c r="F315" s="292">
        <v>4</v>
      </c>
      <c r="G315" s="292" t="s">
        <v>637</v>
      </c>
      <c r="H315" s="292" t="s">
        <v>638</v>
      </c>
      <c r="I315" s="293">
        <v>6712</v>
      </c>
    </row>
    <row r="316" spans="1:9" x14ac:dyDescent="0.3">
      <c r="A316" s="290">
        <v>46234</v>
      </c>
      <c r="B316" s="290">
        <v>46236</v>
      </c>
      <c r="C316" s="294" t="s">
        <v>639</v>
      </c>
      <c r="D316" s="292" t="s">
        <v>931</v>
      </c>
      <c r="E316" s="292">
        <v>3</v>
      </c>
      <c r="F316" s="292">
        <v>4</v>
      </c>
      <c r="G316" s="292" t="s">
        <v>637</v>
      </c>
      <c r="H316" s="292" t="s">
        <v>638</v>
      </c>
      <c r="I316" s="293">
        <v>10792</v>
      </c>
    </row>
    <row r="317" spans="1:9" x14ac:dyDescent="0.3">
      <c r="A317" s="290">
        <v>46236</v>
      </c>
      <c r="B317" s="290">
        <v>46239</v>
      </c>
      <c r="C317" s="291" t="s">
        <v>8</v>
      </c>
      <c r="D317" s="292" t="s">
        <v>932</v>
      </c>
      <c r="E317" s="292">
        <v>4</v>
      </c>
      <c r="F317" s="292">
        <v>4</v>
      </c>
      <c r="G317" s="292" t="s">
        <v>637</v>
      </c>
      <c r="H317" s="292" t="s">
        <v>638</v>
      </c>
      <c r="I317" s="293">
        <v>17389</v>
      </c>
    </row>
    <row r="318" spans="1:9" x14ac:dyDescent="0.3">
      <c r="A318" s="290">
        <v>46237</v>
      </c>
      <c r="B318" s="290">
        <v>46238</v>
      </c>
      <c r="C318" s="294" t="s">
        <v>639</v>
      </c>
      <c r="D318" s="292" t="s">
        <v>933</v>
      </c>
      <c r="E318" s="292">
        <v>2</v>
      </c>
      <c r="F318" s="292">
        <v>4</v>
      </c>
      <c r="G318" s="292" t="s">
        <v>646</v>
      </c>
      <c r="H318" s="292" t="s">
        <v>638</v>
      </c>
      <c r="I318" s="293">
        <v>11291</v>
      </c>
    </row>
    <row r="319" spans="1:9" x14ac:dyDescent="0.3">
      <c r="A319" s="290">
        <v>46239</v>
      </c>
      <c r="B319" s="290">
        <v>46239</v>
      </c>
      <c r="C319" s="294" t="s">
        <v>639</v>
      </c>
      <c r="D319" s="292" t="s">
        <v>934</v>
      </c>
      <c r="E319" s="292">
        <v>1</v>
      </c>
      <c r="F319" s="292">
        <v>3</v>
      </c>
      <c r="G319" s="292" t="s">
        <v>646</v>
      </c>
      <c r="H319" s="292" t="s">
        <v>638</v>
      </c>
      <c r="I319" s="293">
        <v>5570</v>
      </c>
    </row>
    <row r="320" spans="1:9" x14ac:dyDescent="0.3">
      <c r="A320" s="290">
        <v>46240</v>
      </c>
      <c r="B320" s="290">
        <v>46240</v>
      </c>
      <c r="C320" s="294" t="s">
        <v>639</v>
      </c>
      <c r="D320" s="292" t="s">
        <v>935</v>
      </c>
      <c r="E320" s="292">
        <v>1</v>
      </c>
      <c r="F320" s="292">
        <v>3</v>
      </c>
      <c r="G320" s="292" t="s">
        <v>646</v>
      </c>
      <c r="H320" s="292" t="s">
        <v>638</v>
      </c>
      <c r="I320" s="293">
        <v>5043</v>
      </c>
    </row>
    <row r="321" spans="1:9" x14ac:dyDescent="0.3">
      <c r="A321" s="290">
        <v>46241</v>
      </c>
      <c r="B321" s="290">
        <v>46242</v>
      </c>
      <c r="C321" s="291" t="s">
        <v>8</v>
      </c>
      <c r="D321" s="292" t="s">
        <v>936</v>
      </c>
      <c r="E321" s="292">
        <v>2</v>
      </c>
      <c r="F321" s="292">
        <v>4</v>
      </c>
      <c r="G321" s="292" t="s">
        <v>646</v>
      </c>
      <c r="H321" s="292" t="s">
        <v>638</v>
      </c>
      <c r="I321" s="293">
        <v>11421</v>
      </c>
    </row>
    <row r="322" spans="1:9" x14ac:dyDescent="0.3">
      <c r="A322" s="290">
        <v>46241</v>
      </c>
      <c r="B322" s="290">
        <v>46242</v>
      </c>
      <c r="C322" s="294" t="s">
        <v>639</v>
      </c>
      <c r="D322" s="292" t="s">
        <v>937</v>
      </c>
      <c r="E322" s="292">
        <v>2</v>
      </c>
      <c r="F322" s="292">
        <v>2</v>
      </c>
      <c r="G322" s="292" t="s">
        <v>641</v>
      </c>
      <c r="H322" s="292" t="s">
        <v>723</v>
      </c>
      <c r="I322" s="293">
        <v>8800</v>
      </c>
    </row>
    <row r="323" spans="1:9" x14ac:dyDescent="0.3">
      <c r="A323" s="290">
        <v>46243</v>
      </c>
      <c r="B323" s="290">
        <v>46247</v>
      </c>
      <c r="C323" s="294" t="s">
        <v>639</v>
      </c>
      <c r="D323" s="292" t="s">
        <v>938</v>
      </c>
      <c r="E323" s="292">
        <v>5</v>
      </c>
      <c r="F323" s="292">
        <v>3</v>
      </c>
      <c r="G323" s="292" t="s">
        <v>637</v>
      </c>
      <c r="H323" s="292" t="s">
        <v>638</v>
      </c>
      <c r="I323" s="293">
        <v>16419</v>
      </c>
    </row>
    <row r="324" spans="1:9" x14ac:dyDescent="0.3">
      <c r="A324" s="290">
        <v>46243</v>
      </c>
      <c r="B324" s="290">
        <v>46247</v>
      </c>
      <c r="C324" s="291" t="s">
        <v>8</v>
      </c>
      <c r="D324" s="292" t="s">
        <v>938</v>
      </c>
      <c r="E324" s="292">
        <v>5</v>
      </c>
      <c r="F324" s="292">
        <v>2</v>
      </c>
      <c r="G324" s="292" t="s">
        <v>637</v>
      </c>
      <c r="H324" s="292" t="s">
        <v>638</v>
      </c>
      <c r="I324" s="293">
        <v>14107</v>
      </c>
    </row>
    <row r="325" spans="1:9" x14ac:dyDescent="0.3">
      <c r="A325" s="290">
        <v>46250</v>
      </c>
      <c r="B325" s="290">
        <v>46253</v>
      </c>
      <c r="C325" s="291" t="s">
        <v>8</v>
      </c>
      <c r="D325" s="292" t="s">
        <v>939</v>
      </c>
      <c r="E325" s="292">
        <v>4</v>
      </c>
      <c r="F325" s="292">
        <v>3</v>
      </c>
      <c r="G325" s="292" t="s">
        <v>637</v>
      </c>
      <c r="H325" s="292" t="s">
        <v>638</v>
      </c>
      <c r="I325" s="293">
        <v>14142</v>
      </c>
    </row>
    <row r="326" spans="1:9" x14ac:dyDescent="0.3">
      <c r="A326" s="290">
        <v>46253</v>
      </c>
      <c r="B326" s="290">
        <v>46254</v>
      </c>
      <c r="C326" s="294" t="s">
        <v>639</v>
      </c>
      <c r="D326" s="292" t="s">
        <v>940</v>
      </c>
      <c r="E326" s="292">
        <v>2</v>
      </c>
      <c r="F326" s="292">
        <v>4</v>
      </c>
      <c r="G326" s="292" t="s">
        <v>637</v>
      </c>
      <c r="H326" s="292" t="s">
        <v>638</v>
      </c>
      <c r="I326" s="293">
        <v>6712</v>
      </c>
    </row>
    <row r="327" spans="1:9" x14ac:dyDescent="0.3">
      <c r="A327" s="290">
        <v>46256</v>
      </c>
      <c r="B327" s="290">
        <v>46257</v>
      </c>
      <c r="C327" s="291" t="s">
        <v>8</v>
      </c>
      <c r="D327" s="292" t="s">
        <v>941</v>
      </c>
      <c r="E327" s="292">
        <v>2</v>
      </c>
      <c r="F327" s="292">
        <v>3</v>
      </c>
      <c r="G327" s="292" t="s">
        <v>637</v>
      </c>
      <c r="H327" s="292" t="s">
        <v>638</v>
      </c>
      <c r="I327" s="293">
        <v>5696</v>
      </c>
    </row>
    <row r="328" spans="1:9" x14ac:dyDescent="0.3">
      <c r="A328" s="290">
        <v>46256</v>
      </c>
      <c r="B328" s="290">
        <v>46258</v>
      </c>
      <c r="C328" s="294" t="s">
        <v>639</v>
      </c>
      <c r="D328" s="292" t="s">
        <v>942</v>
      </c>
      <c r="E328" s="292">
        <v>3</v>
      </c>
      <c r="F328" s="292">
        <v>4</v>
      </c>
      <c r="G328" s="292" t="s">
        <v>646</v>
      </c>
      <c r="H328" s="292" t="s">
        <v>638</v>
      </c>
      <c r="I328" s="293">
        <v>15228</v>
      </c>
    </row>
    <row r="329" spans="1:9" x14ac:dyDescent="0.3">
      <c r="A329" s="290">
        <v>46260</v>
      </c>
      <c r="B329" s="290">
        <v>46260</v>
      </c>
      <c r="C329" s="291" t="s">
        <v>8</v>
      </c>
      <c r="D329" s="292" t="s">
        <v>943</v>
      </c>
      <c r="E329" s="292">
        <v>1</v>
      </c>
      <c r="F329" s="292">
        <v>2</v>
      </c>
      <c r="G329" s="292" t="s">
        <v>646</v>
      </c>
      <c r="H329" s="292" t="s">
        <v>638</v>
      </c>
      <c r="I329" s="293">
        <v>3887</v>
      </c>
    </row>
    <row r="330" spans="1:9" x14ac:dyDescent="0.3">
      <c r="A330" s="290">
        <v>46261</v>
      </c>
      <c r="B330" s="290">
        <v>46263</v>
      </c>
      <c r="C330" s="291" t="s">
        <v>8</v>
      </c>
      <c r="D330" s="292" t="s">
        <v>944</v>
      </c>
      <c r="E330" s="292">
        <v>3</v>
      </c>
      <c r="F330" s="292">
        <v>3</v>
      </c>
      <c r="G330" s="292" t="s">
        <v>637</v>
      </c>
      <c r="H330" s="292" t="s">
        <v>638</v>
      </c>
      <c r="I330" s="293">
        <v>9085</v>
      </c>
    </row>
    <row r="331" spans="1:9" x14ac:dyDescent="0.3">
      <c r="A331" s="290">
        <v>46263</v>
      </c>
      <c r="B331" s="290">
        <v>46264</v>
      </c>
      <c r="C331" s="294" t="s">
        <v>639</v>
      </c>
      <c r="D331" s="292" t="s">
        <v>945</v>
      </c>
      <c r="E331" s="292">
        <v>2</v>
      </c>
      <c r="F331" s="292">
        <v>4</v>
      </c>
      <c r="G331" s="292" t="s">
        <v>637</v>
      </c>
      <c r="H331" s="292" t="s">
        <v>638</v>
      </c>
      <c r="I331" s="293">
        <v>6712</v>
      </c>
    </row>
    <row r="332" spans="1:9" x14ac:dyDescent="0.3">
      <c r="A332" s="290">
        <v>46265</v>
      </c>
      <c r="B332" s="290">
        <v>46276</v>
      </c>
      <c r="C332" s="291" t="s">
        <v>8</v>
      </c>
      <c r="D332" s="292" t="s">
        <v>946</v>
      </c>
      <c r="E332" s="292">
        <v>12</v>
      </c>
      <c r="F332" s="292">
        <v>3</v>
      </c>
      <c r="G332" s="292" t="s">
        <v>646</v>
      </c>
      <c r="H332" s="292" t="s">
        <v>638</v>
      </c>
      <c r="I332" s="293">
        <v>55931</v>
      </c>
    </row>
    <row r="333" spans="1:9" x14ac:dyDescent="0.3">
      <c r="A333" s="290">
        <v>46267</v>
      </c>
      <c r="B333" s="290">
        <v>46269</v>
      </c>
      <c r="C333" s="294" t="s">
        <v>639</v>
      </c>
      <c r="D333" s="292" t="s">
        <v>947</v>
      </c>
      <c r="E333" s="292">
        <v>3</v>
      </c>
      <c r="F333" s="292">
        <v>4</v>
      </c>
      <c r="G333" s="292" t="s">
        <v>637</v>
      </c>
      <c r="H333" s="292" t="s">
        <v>638</v>
      </c>
      <c r="I333" s="293">
        <v>13680</v>
      </c>
    </row>
    <row r="334" spans="1:9" x14ac:dyDescent="0.3">
      <c r="A334" s="290">
        <v>46271</v>
      </c>
      <c r="B334" s="290">
        <v>46272</v>
      </c>
      <c r="C334" s="294" t="s">
        <v>639</v>
      </c>
      <c r="D334" s="292" t="s">
        <v>948</v>
      </c>
      <c r="E334" s="292">
        <v>2</v>
      </c>
      <c r="F334" s="292">
        <v>3</v>
      </c>
      <c r="G334" s="292" t="s">
        <v>646</v>
      </c>
      <c r="H334" s="292" t="s">
        <v>638</v>
      </c>
      <c r="I334" s="293">
        <v>9840</v>
      </c>
    </row>
    <row r="335" spans="1:9" x14ac:dyDescent="0.3">
      <c r="A335" s="290">
        <v>46273</v>
      </c>
      <c r="B335" s="290">
        <v>46275</v>
      </c>
      <c r="C335" s="294" t="s">
        <v>639</v>
      </c>
      <c r="D335" s="292" t="s">
        <v>949</v>
      </c>
      <c r="E335" s="292">
        <v>3</v>
      </c>
      <c r="F335" s="292">
        <v>2</v>
      </c>
      <c r="G335" s="292" t="s">
        <v>637</v>
      </c>
      <c r="H335" s="292" t="s">
        <v>638</v>
      </c>
      <c r="I335" s="293">
        <v>7473</v>
      </c>
    </row>
    <row r="336" spans="1:9" x14ac:dyDescent="0.3">
      <c r="A336" s="290">
        <v>46280</v>
      </c>
      <c r="B336" s="290">
        <v>46283</v>
      </c>
      <c r="C336" s="294" t="s">
        <v>639</v>
      </c>
      <c r="D336" s="292" t="s">
        <v>950</v>
      </c>
      <c r="E336" s="292">
        <v>4</v>
      </c>
      <c r="F336" s="292">
        <v>4</v>
      </c>
      <c r="G336" s="292" t="s">
        <v>637</v>
      </c>
      <c r="H336" s="292" t="s">
        <v>638</v>
      </c>
      <c r="I336" s="293">
        <v>13423</v>
      </c>
    </row>
    <row r="337" spans="1:9" x14ac:dyDescent="0.3">
      <c r="A337" s="290">
        <v>46280</v>
      </c>
      <c r="B337" s="290">
        <v>46283</v>
      </c>
      <c r="C337" s="291" t="s">
        <v>8</v>
      </c>
      <c r="D337" s="292" t="s">
        <v>951</v>
      </c>
      <c r="E337" s="292">
        <v>4</v>
      </c>
      <c r="F337" s="292">
        <v>3</v>
      </c>
      <c r="G337" s="292" t="s">
        <v>637</v>
      </c>
      <c r="H337" s="292" t="s">
        <v>638</v>
      </c>
      <c r="I337" s="293">
        <v>13310</v>
      </c>
    </row>
    <row r="338" spans="1:9" x14ac:dyDescent="0.3">
      <c r="A338" s="290">
        <v>46287</v>
      </c>
      <c r="B338" s="290">
        <v>46289</v>
      </c>
      <c r="C338" s="294" t="s">
        <v>639</v>
      </c>
      <c r="D338" s="292" t="s">
        <v>952</v>
      </c>
      <c r="E338" s="292">
        <v>3</v>
      </c>
      <c r="F338" s="292">
        <v>3</v>
      </c>
      <c r="G338" s="292" t="s">
        <v>646</v>
      </c>
      <c r="H338" s="292" t="s">
        <v>638</v>
      </c>
      <c r="I338" s="293">
        <v>13284</v>
      </c>
    </row>
    <row r="339" spans="1:9" x14ac:dyDescent="0.3">
      <c r="A339" s="290">
        <v>46290</v>
      </c>
      <c r="B339" s="290">
        <v>46291</v>
      </c>
      <c r="C339" s="291" t="s">
        <v>8</v>
      </c>
      <c r="D339" s="292" t="s">
        <v>953</v>
      </c>
      <c r="E339" s="292">
        <v>2</v>
      </c>
      <c r="F339" s="292">
        <v>2</v>
      </c>
      <c r="G339" s="292" t="s">
        <v>637</v>
      </c>
      <c r="H339" s="292" t="s">
        <v>638</v>
      </c>
      <c r="I339" s="293">
        <v>5156</v>
      </c>
    </row>
    <row r="340" spans="1:9" x14ac:dyDescent="0.3">
      <c r="A340" s="290">
        <v>46290</v>
      </c>
      <c r="B340" s="290">
        <v>46292</v>
      </c>
      <c r="C340" s="294" t="s">
        <v>639</v>
      </c>
      <c r="D340" s="292" t="s">
        <v>954</v>
      </c>
      <c r="E340" s="292">
        <v>3</v>
      </c>
      <c r="F340" s="292">
        <v>2</v>
      </c>
      <c r="G340" s="292" t="s">
        <v>637</v>
      </c>
      <c r="H340" s="292" t="s">
        <v>638</v>
      </c>
      <c r="I340" s="293">
        <v>7473</v>
      </c>
    </row>
    <row r="341" spans="1:9" x14ac:dyDescent="0.3">
      <c r="A341" s="290">
        <v>46292</v>
      </c>
      <c r="B341" s="290">
        <v>46293</v>
      </c>
      <c r="C341" s="291" t="s">
        <v>8</v>
      </c>
      <c r="D341" s="292" t="s">
        <v>955</v>
      </c>
      <c r="E341" s="292">
        <v>2</v>
      </c>
      <c r="F341" s="292">
        <v>4</v>
      </c>
      <c r="G341" s="292" t="s">
        <v>637</v>
      </c>
      <c r="H341" s="292" t="s">
        <v>638</v>
      </c>
      <c r="I341" s="293">
        <v>6712</v>
      </c>
    </row>
    <row r="342" spans="1:9" x14ac:dyDescent="0.3">
      <c r="A342" s="290">
        <v>46295</v>
      </c>
      <c r="B342" s="290">
        <v>46297</v>
      </c>
      <c r="C342" s="294" t="s">
        <v>639</v>
      </c>
      <c r="D342" s="292" t="s">
        <v>956</v>
      </c>
      <c r="E342" s="292">
        <v>3</v>
      </c>
      <c r="F342" s="292">
        <v>2</v>
      </c>
      <c r="G342" s="292" t="s">
        <v>637</v>
      </c>
      <c r="H342" s="292" t="s">
        <v>638</v>
      </c>
      <c r="I342" s="293">
        <v>7473</v>
      </c>
    </row>
    <row r="343" spans="1:9" x14ac:dyDescent="0.3">
      <c r="A343" s="290">
        <v>46305</v>
      </c>
      <c r="B343" s="290">
        <v>46306</v>
      </c>
      <c r="C343" s="291" t="s">
        <v>8</v>
      </c>
      <c r="D343" s="292" t="s">
        <v>957</v>
      </c>
      <c r="E343" s="292">
        <v>2</v>
      </c>
      <c r="F343" s="292">
        <v>4</v>
      </c>
      <c r="G343" s="292" t="s">
        <v>637</v>
      </c>
      <c r="H343" s="292" t="s">
        <v>638</v>
      </c>
      <c r="I343" s="293">
        <v>7195</v>
      </c>
    </row>
    <row r="344" spans="1:9" x14ac:dyDescent="0.3">
      <c r="A344" s="290">
        <v>46307</v>
      </c>
      <c r="B344" s="290">
        <v>46309</v>
      </c>
      <c r="C344" s="294" t="s">
        <v>639</v>
      </c>
      <c r="D344" s="292" t="s">
        <v>958</v>
      </c>
      <c r="E344" s="292">
        <v>3</v>
      </c>
      <c r="F344" s="292">
        <v>3</v>
      </c>
      <c r="G344" s="292" t="s">
        <v>637</v>
      </c>
      <c r="H344" s="292" t="s">
        <v>638</v>
      </c>
      <c r="I344" s="293">
        <v>8735</v>
      </c>
    </row>
    <row r="345" spans="1:9" x14ac:dyDescent="0.3">
      <c r="A345" s="290">
        <v>46312</v>
      </c>
      <c r="B345" s="290">
        <v>46315</v>
      </c>
      <c r="C345" s="291" t="s">
        <v>8</v>
      </c>
      <c r="D345" s="292" t="s">
        <v>959</v>
      </c>
      <c r="E345" s="292">
        <v>4</v>
      </c>
      <c r="F345" s="292">
        <v>4</v>
      </c>
      <c r="G345" s="292" t="s">
        <v>646</v>
      </c>
      <c r="H345" s="292" t="s">
        <v>638</v>
      </c>
      <c r="I345" s="293">
        <v>24392</v>
      </c>
    </row>
    <row r="346" spans="1:9" x14ac:dyDescent="0.3">
      <c r="A346" s="290">
        <v>46314</v>
      </c>
      <c r="B346" s="290">
        <v>46315</v>
      </c>
      <c r="C346" s="294" t="s">
        <v>639</v>
      </c>
      <c r="D346" s="292" t="s">
        <v>960</v>
      </c>
      <c r="E346" s="292">
        <v>2</v>
      </c>
      <c r="F346" s="292">
        <v>2</v>
      </c>
      <c r="G346" s="292" t="s">
        <v>646</v>
      </c>
      <c r="H346" s="292" t="s">
        <v>638</v>
      </c>
      <c r="I346" s="293">
        <v>6996</v>
      </c>
    </row>
    <row r="347" spans="1:9" x14ac:dyDescent="0.3">
      <c r="A347" s="290">
        <v>46316</v>
      </c>
      <c r="B347" s="290">
        <v>46317</v>
      </c>
      <c r="C347" s="291" t="s">
        <v>8</v>
      </c>
      <c r="D347" s="292" t="s">
        <v>961</v>
      </c>
      <c r="E347" s="292">
        <v>2</v>
      </c>
      <c r="F347" s="292">
        <v>2</v>
      </c>
      <c r="G347" s="292" t="s">
        <v>637</v>
      </c>
      <c r="H347" s="292" t="s">
        <v>638</v>
      </c>
      <c r="I347" s="293">
        <v>5092</v>
      </c>
    </row>
    <row r="348" spans="1:9" x14ac:dyDescent="0.3">
      <c r="A348" s="290">
        <v>46317</v>
      </c>
      <c r="B348" s="290">
        <v>46320</v>
      </c>
      <c r="C348" s="294" t="s">
        <v>639</v>
      </c>
      <c r="D348" s="292" t="s">
        <v>962</v>
      </c>
      <c r="E348" s="292">
        <v>4</v>
      </c>
      <c r="F348" s="292">
        <v>4</v>
      </c>
      <c r="G348" s="292" t="s">
        <v>646</v>
      </c>
      <c r="H348" s="292" t="s">
        <v>638</v>
      </c>
      <c r="I348" s="293">
        <v>26478</v>
      </c>
    </row>
    <row r="349" spans="1:9" x14ac:dyDescent="0.3">
      <c r="A349" s="290">
        <v>46325</v>
      </c>
      <c r="B349" s="290">
        <v>46326</v>
      </c>
      <c r="C349" s="294" t="s">
        <v>639</v>
      </c>
      <c r="D349" s="292" t="s">
        <v>788</v>
      </c>
      <c r="E349" s="292">
        <v>2</v>
      </c>
      <c r="F349" s="292">
        <v>2</v>
      </c>
      <c r="G349" s="292" t="s">
        <v>641</v>
      </c>
      <c r="H349" s="292" t="s">
        <v>723</v>
      </c>
      <c r="I349" s="293">
        <v>8800</v>
      </c>
    </row>
    <row r="350" spans="1:9" x14ac:dyDescent="0.3">
      <c r="A350" s="290">
        <v>46327</v>
      </c>
      <c r="B350" s="290">
        <v>46332</v>
      </c>
      <c r="C350" s="291" t="s">
        <v>8</v>
      </c>
      <c r="D350" s="292" t="s">
        <v>963</v>
      </c>
      <c r="E350" s="292">
        <v>6</v>
      </c>
      <c r="F350" s="292">
        <v>2</v>
      </c>
      <c r="G350" s="292" t="s">
        <v>637</v>
      </c>
      <c r="H350" s="292" t="s">
        <v>638</v>
      </c>
      <c r="I350" s="293">
        <v>14945</v>
      </c>
    </row>
    <row r="351" spans="1:9" x14ac:dyDescent="0.3">
      <c r="A351" s="290">
        <v>46332</v>
      </c>
      <c r="B351" s="290">
        <v>46335</v>
      </c>
      <c r="C351" s="294" t="s">
        <v>639</v>
      </c>
      <c r="D351" s="292" t="s">
        <v>964</v>
      </c>
      <c r="E351" s="292">
        <v>4</v>
      </c>
      <c r="F351" s="292">
        <v>2</v>
      </c>
      <c r="G351" s="292" t="s">
        <v>637</v>
      </c>
      <c r="H351" s="292" t="s">
        <v>638</v>
      </c>
      <c r="I351" s="293">
        <v>10661</v>
      </c>
    </row>
    <row r="352" spans="1:9" x14ac:dyDescent="0.3">
      <c r="A352" s="290">
        <v>46337</v>
      </c>
      <c r="B352" s="290">
        <v>46338</v>
      </c>
      <c r="C352" s="294" t="s">
        <v>639</v>
      </c>
      <c r="D352" s="292" t="s">
        <v>965</v>
      </c>
      <c r="E352" s="292">
        <v>2</v>
      </c>
      <c r="F352" s="292">
        <v>4</v>
      </c>
      <c r="G352" s="292" t="s">
        <v>646</v>
      </c>
      <c r="H352" s="292" t="s">
        <v>638</v>
      </c>
      <c r="I352" s="293">
        <v>11291</v>
      </c>
    </row>
    <row r="353" spans="1:9" x14ac:dyDescent="0.3">
      <c r="A353" s="290">
        <v>46338</v>
      </c>
      <c r="B353" s="290">
        <v>46342</v>
      </c>
      <c r="C353" s="291" t="s">
        <v>8</v>
      </c>
      <c r="D353" s="292" t="s">
        <v>966</v>
      </c>
      <c r="E353" s="292">
        <v>5</v>
      </c>
      <c r="F353" s="292">
        <v>4</v>
      </c>
      <c r="G353" s="292" t="s">
        <v>637</v>
      </c>
      <c r="H353" s="292" t="s">
        <v>638</v>
      </c>
      <c r="I353" s="293">
        <v>17987</v>
      </c>
    </row>
    <row r="354" spans="1:9" x14ac:dyDescent="0.3">
      <c r="A354" s="290">
        <v>46342</v>
      </c>
      <c r="B354" s="290">
        <v>46351</v>
      </c>
      <c r="C354" s="294" t="s">
        <v>639</v>
      </c>
      <c r="D354" s="292" t="s">
        <v>834</v>
      </c>
      <c r="E354" s="292">
        <v>10</v>
      </c>
      <c r="F354" s="292">
        <v>2</v>
      </c>
      <c r="G354" s="292" t="s">
        <v>637</v>
      </c>
      <c r="H354" s="292" t="s">
        <v>638</v>
      </c>
      <c r="I354" s="293">
        <v>27148</v>
      </c>
    </row>
    <row r="355" spans="1:9" x14ac:dyDescent="0.3">
      <c r="A355" s="290">
        <v>46343</v>
      </c>
      <c r="B355" s="290">
        <v>46344</v>
      </c>
      <c r="C355" s="291" t="s">
        <v>8</v>
      </c>
      <c r="D355" s="292" t="s">
        <v>967</v>
      </c>
      <c r="E355" s="292">
        <v>2</v>
      </c>
      <c r="F355" s="292">
        <v>2</v>
      </c>
      <c r="G355" s="292" t="s">
        <v>637</v>
      </c>
      <c r="H355" s="292" t="s">
        <v>638</v>
      </c>
      <c r="I355" s="293">
        <v>5191</v>
      </c>
    </row>
    <row r="356" spans="1:9" x14ac:dyDescent="0.3">
      <c r="A356" s="290">
        <v>46348</v>
      </c>
      <c r="B356" s="290">
        <v>46350</v>
      </c>
      <c r="C356" s="291" t="s">
        <v>8</v>
      </c>
      <c r="D356" s="292" t="s">
        <v>968</v>
      </c>
      <c r="E356" s="292">
        <v>3</v>
      </c>
      <c r="F356" s="292">
        <v>2</v>
      </c>
      <c r="G356" s="292" t="s">
        <v>637</v>
      </c>
      <c r="H356" s="292" t="s">
        <v>638</v>
      </c>
      <c r="I356" s="293">
        <v>8114</v>
      </c>
    </row>
    <row r="357" spans="1:9" x14ac:dyDescent="0.3">
      <c r="A357" s="290">
        <v>46354</v>
      </c>
      <c r="B357" s="290">
        <v>46356</v>
      </c>
      <c r="C357" s="294" t="s">
        <v>639</v>
      </c>
      <c r="D357" s="292" t="s">
        <v>969</v>
      </c>
      <c r="E357" s="292">
        <v>3</v>
      </c>
      <c r="F357" s="292">
        <v>2</v>
      </c>
      <c r="G357" s="292" t="s">
        <v>637</v>
      </c>
      <c r="H357" s="292" t="s">
        <v>638</v>
      </c>
      <c r="I357" s="293">
        <v>7473</v>
      </c>
    </row>
    <row r="358" spans="1:9" x14ac:dyDescent="0.3">
      <c r="A358" s="290">
        <v>46360</v>
      </c>
      <c r="B358" s="290">
        <v>46360</v>
      </c>
      <c r="C358" s="294" t="s">
        <v>639</v>
      </c>
      <c r="D358" s="292" t="s">
        <v>970</v>
      </c>
      <c r="E358" s="292">
        <v>1</v>
      </c>
      <c r="F358" s="292">
        <v>2</v>
      </c>
      <c r="G358" s="292" t="s">
        <v>637</v>
      </c>
      <c r="H358" s="292" t="s">
        <v>638</v>
      </c>
      <c r="I358" s="293">
        <v>2868</v>
      </c>
    </row>
    <row r="359" spans="1:9" x14ac:dyDescent="0.3">
      <c r="A359" s="290">
        <v>46362</v>
      </c>
      <c r="B359" s="290">
        <v>46367</v>
      </c>
      <c r="C359" s="291" t="s">
        <v>8</v>
      </c>
      <c r="D359" s="292" t="s">
        <v>971</v>
      </c>
      <c r="E359" s="292">
        <v>6</v>
      </c>
      <c r="F359" s="292">
        <v>2</v>
      </c>
      <c r="G359" s="292" t="s">
        <v>637</v>
      </c>
      <c r="H359" s="292" t="s">
        <v>638</v>
      </c>
      <c r="I359" s="293">
        <v>16051</v>
      </c>
    </row>
    <row r="360" spans="1:9" x14ac:dyDescent="0.3">
      <c r="A360" s="290">
        <v>46367</v>
      </c>
      <c r="B360" s="290">
        <v>46368</v>
      </c>
      <c r="C360" s="294" t="s">
        <v>639</v>
      </c>
      <c r="D360" s="292" t="s">
        <v>972</v>
      </c>
      <c r="E360" s="292">
        <v>2</v>
      </c>
      <c r="F360" s="292">
        <v>4</v>
      </c>
      <c r="G360" s="292" t="s">
        <v>637</v>
      </c>
      <c r="H360" s="292" t="s">
        <v>638</v>
      </c>
      <c r="I360" s="293">
        <v>6653</v>
      </c>
    </row>
    <row r="361" spans="1:9" x14ac:dyDescent="0.3">
      <c r="A361" s="290">
        <v>46376</v>
      </c>
      <c r="B361" s="290">
        <v>46380</v>
      </c>
      <c r="C361" s="294" t="s">
        <v>639</v>
      </c>
      <c r="D361" s="292" t="s">
        <v>973</v>
      </c>
      <c r="E361" s="292">
        <v>5</v>
      </c>
      <c r="F361" s="292">
        <v>4</v>
      </c>
      <c r="G361" s="292" t="s">
        <v>637</v>
      </c>
      <c r="H361" s="292" t="s">
        <v>638</v>
      </c>
      <c r="I361" s="293">
        <v>17952</v>
      </c>
    </row>
    <row r="362" spans="1:9" x14ac:dyDescent="0.3">
      <c r="A362" s="290">
        <v>46377</v>
      </c>
      <c r="B362" s="290">
        <v>46378</v>
      </c>
      <c r="C362" s="291" t="s">
        <v>8</v>
      </c>
      <c r="D362" s="292" t="s">
        <v>974</v>
      </c>
      <c r="E362" s="292">
        <v>2</v>
      </c>
      <c r="F362" s="292">
        <v>3</v>
      </c>
      <c r="G362" s="292" t="s">
        <v>637</v>
      </c>
      <c r="H362" s="292" t="s">
        <v>638</v>
      </c>
      <c r="I362" s="293">
        <v>7302</v>
      </c>
    </row>
    <row r="363" spans="1:9" x14ac:dyDescent="0.3">
      <c r="A363" s="290">
        <v>46379</v>
      </c>
      <c r="B363" s="290">
        <v>46381</v>
      </c>
      <c r="C363" s="291" t="s">
        <v>8</v>
      </c>
      <c r="D363" s="292" t="s">
        <v>975</v>
      </c>
      <c r="E363" s="292">
        <v>3</v>
      </c>
      <c r="F363" s="292">
        <v>2</v>
      </c>
      <c r="G363" s="292" t="s">
        <v>637</v>
      </c>
      <c r="H363" s="292" t="s">
        <v>638</v>
      </c>
      <c r="I363" s="293">
        <v>6703</v>
      </c>
    </row>
    <row r="364" spans="1:9" x14ac:dyDescent="0.3">
      <c r="A364" s="290">
        <v>46381</v>
      </c>
      <c r="B364" s="290">
        <v>46384</v>
      </c>
      <c r="C364" s="294" t="s">
        <v>639</v>
      </c>
      <c r="D364" s="292" t="s">
        <v>976</v>
      </c>
      <c r="E364" s="292">
        <v>4</v>
      </c>
      <c r="F364" s="292">
        <v>2</v>
      </c>
      <c r="G364" s="292" t="s">
        <v>637</v>
      </c>
      <c r="H364" s="292" t="s">
        <v>638</v>
      </c>
      <c r="I364" s="293">
        <v>9501</v>
      </c>
    </row>
    <row r="365" spans="1:9" x14ac:dyDescent="0.3">
      <c r="A365" s="290">
        <v>46386</v>
      </c>
      <c r="B365" s="290">
        <v>46388</v>
      </c>
      <c r="C365" s="294" t="s">
        <v>639</v>
      </c>
      <c r="D365" s="292" t="s">
        <v>977</v>
      </c>
      <c r="E365" s="292">
        <v>3</v>
      </c>
      <c r="F365" s="292">
        <v>2</v>
      </c>
      <c r="G365" s="292" t="s">
        <v>637</v>
      </c>
      <c r="H365" s="292" t="s">
        <v>638</v>
      </c>
      <c r="I365" s="293">
        <v>7627</v>
      </c>
    </row>
    <row r="366" spans="1:9" x14ac:dyDescent="0.3">
      <c r="A366" s="290">
        <v>46386</v>
      </c>
      <c r="B366" s="290">
        <v>46389</v>
      </c>
      <c r="C366" s="291" t="s">
        <v>8</v>
      </c>
      <c r="D366" s="292" t="s">
        <v>978</v>
      </c>
      <c r="E366" s="292">
        <v>3</v>
      </c>
      <c r="F366" s="292">
        <v>2</v>
      </c>
      <c r="G366" s="292" t="s">
        <v>646</v>
      </c>
      <c r="H366" s="292" t="s">
        <v>638</v>
      </c>
      <c r="I366" s="293">
        <v>11507</v>
      </c>
    </row>
    <row r="368" spans="1:9" x14ac:dyDescent="0.3">
      <c r="A368" s="299" t="s">
        <v>979</v>
      </c>
      <c r="B368" s="299"/>
      <c r="C368" s="299"/>
      <c r="D368" s="299"/>
      <c r="E368" s="299"/>
      <c r="F368" s="299"/>
      <c r="G368" s="299"/>
      <c r="H368" s="299"/>
      <c r="I368" s="299"/>
    </row>
    <row r="369" spans="1:9" x14ac:dyDescent="0.3">
      <c r="A369" t="s">
        <v>980</v>
      </c>
      <c r="B369">
        <f>COUNTA(A3:A366)</f>
        <v>364</v>
      </c>
      <c r="C369" t="s">
        <v>981</v>
      </c>
      <c r="D369" s="292" t="s">
        <v>981</v>
      </c>
      <c r="E369" s="292">
        <f>SUM(E3:E366)</f>
        <v>952</v>
      </c>
      <c r="F369">
        <f>SUM(F3:F366)</f>
        <v>1011</v>
      </c>
      <c r="G369" s="292" t="s">
        <v>981</v>
      </c>
      <c r="H369" s="292" t="s">
        <v>981</v>
      </c>
      <c r="I369">
        <f>SUM(I3:I366)</f>
        <v>2828719</v>
      </c>
    </row>
    <row r="372" spans="1:9" ht="18" customHeight="1" x14ac:dyDescent="0.35">
      <c r="A372" s="393" t="s">
        <v>982</v>
      </c>
      <c r="B372" s="392"/>
      <c r="C372" s="392"/>
      <c r="D372" s="392"/>
      <c r="E372" s="392"/>
      <c r="F372" s="392"/>
      <c r="G372" s="392"/>
      <c r="H372" s="392"/>
      <c r="I372" s="392"/>
    </row>
    <row r="373" spans="1:9" x14ac:dyDescent="0.3">
      <c r="A373" s="396" t="s">
        <v>983</v>
      </c>
      <c r="B373" s="392"/>
      <c r="C373" s="392"/>
      <c r="D373" s="392"/>
      <c r="E373" s="392"/>
      <c r="F373" s="392"/>
      <c r="G373" s="392"/>
      <c r="H373" s="392"/>
      <c r="I373" s="392"/>
    </row>
    <row r="374" spans="1:9" x14ac:dyDescent="0.3">
      <c r="A374" s="296" t="s">
        <v>73</v>
      </c>
      <c r="B374" s="296" t="s">
        <v>25</v>
      </c>
      <c r="C374" s="296" t="s">
        <v>639</v>
      </c>
      <c r="D374" s="296" t="s">
        <v>984</v>
      </c>
      <c r="E374" s="296" t="s">
        <v>985</v>
      </c>
      <c r="F374" s="296" t="s">
        <v>986</v>
      </c>
    </row>
    <row r="375" spans="1:9" x14ac:dyDescent="0.3">
      <c r="A375" s="296" t="s">
        <v>73</v>
      </c>
      <c r="B375" s="296" t="s">
        <v>25</v>
      </c>
      <c r="C375" s="296" t="str">
        <f>TEXT(_xlfn.MINIFS(A3:A366,C3:C366,"*Sky*"),"YYYY-MM-DD")</f>
        <v>2024-12-31</v>
      </c>
      <c r="D375" s="296" t="str">
        <f>TEXT(_xlfn.MINIFS(A3:A366,C3:C366,"*Remington*"),"YYYY-MM-DD")</f>
        <v>2024-12-30</v>
      </c>
      <c r="E375" s="296" t="str">
        <f>TEXT(MIN(A3:A366),"YYYY-MM-DD")</f>
        <v>2024-12-30</v>
      </c>
      <c r="F375" s="296" t="s">
        <v>986</v>
      </c>
    </row>
    <row r="376" spans="1:9" x14ac:dyDescent="0.3">
      <c r="A376" t="s">
        <v>987</v>
      </c>
      <c r="B376" t="s">
        <v>988</v>
      </c>
      <c r="C376" t="str">
        <f>TEXT(_xlfn.MAXIFS(A3:A366,C3:C366,"*Sky*"),"YYYY-MM-DD")</f>
        <v>2026-12-30</v>
      </c>
      <c r="D376" t="str">
        <f>TEXT(_xlfn.MAXIFS(A3:A366,C3:C366,"*Remington*"),"YYYY-MM-DD")</f>
        <v>2026-12-30</v>
      </c>
      <c r="E376" t="str">
        <f>TEXT(MAX(A3:A366),"YYYY-MM-DD")</f>
        <v>2026-12-30</v>
      </c>
      <c r="F376" t="s">
        <v>989</v>
      </c>
    </row>
    <row r="377" spans="1:9" x14ac:dyDescent="0.3">
      <c r="A377" t="s">
        <v>987</v>
      </c>
      <c r="B377" t="s">
        <v>990</v>
      </c>
      <c r="C377">
        <f>_xlfn.MAXIFS(A3:A366,C3:C366,"*Sky*")-_xlfn.MINIFS(A3:A366,C3:C366,"*Sky*")</f>
        <v>729</v>
      </c>
      <c r="D377">
        <f>_xlfn.MAXIFS(A3:A366,C3:C366,"*Remington*")-_xlfn.MINIFS(A3:A366,C3:C366,"*Remington*")</f>
        <v>730</v>
      </c>
      <c r="E377">
        <f>MAX(A3:A366)-MIN(A3:A366)</f>
        <v>730</v>
      </c>
      <c r="F377" t="s">
        <v>991</v>
      </c>
    </row>
    <row r="378" spans="1:9" x14ac:dyDescent="0.3">
      <c r="A378" t="s">
        <v>987</v>
      </c>
      <c r="B378" t="s">
        <v>35</v>
      </c>
      <c r="C378" s="300">
        <f t="shared" ref="C378:E379" si="0">C377/365</f>
        <v>1.9972602739726026</v>
      </c>
      <c r="D378" s="300">
        <f t="shared" si="0"/>
        <v>2</v>
      </c>
      <c r="E378" s="300">
        <f t="shared" si="0"/>
        <v>2</v>
      </c>
      <c r="F378" t="s">
        <v>992</v>
      </c>
    </row>
    <row r="379" spans="1:9" x14ac:dyDescent="0.3">
      <c r="A379" t="s">
        <v>987</v>
      </c>
      <c r="B379" t="s">
        <v>993</v>
      </c>
      <c r="C379" s="300">
        <f t="shared" si="0"/>
        <v>5.4719459560893221E-3</v>
      </c>
      <c r="D379" s="300">
        <f t="shared" si="0"/>
        <v>5.4794520547945206E-3</v>
      </c>
      <c r="E379" s="300">
        <f t="shared" si="0"/>
        <v>5.4794520547945206E-3</v>
      </c>
      <c r="F379" t="s">
        <v>994</v>
      </c>
    </row>
    <row r="381" spans="1:9" x14ac:dyDescent="0.3">
      <c r="A381" s="301" t="s">
        <v>995</v>
      </c>
      <c r="B381" s="301"/>
      <c r="C381" s="301">
        <f>COUNTIF(C3:C366,"*Sky*")</f>
        <v>204</v>
      </c>
      <c r="D381" s="301">
        <f>COUNTIF(C3:C366,"*Remington*")</f>
        <v>160</v>
      </c>
      <c r="E381" s="301">
        <f>COUNTA(C3:C366)</f>
        <v>364</v>
      </c>
      <c r="F381" s="301"/>
    </row>
    <row r="382" spans="1:9" x14ac:dyDescent="0.3">
      <c r="A382" t="s">
        <v>996</v>
      </c>
      <c r="B382" t="s">
        <v>997</v>
      </c>
      <c r="C382">
        <f>SUMIF(C3:C366,"*Sky*",E3:E366)</f>
        <v>497</v>
      </c>
      <c r="D382">
        <f>SUMIF(C3:C366,"*Remington*",E3:E366)</f>
        <v>455</v>
      </c>
      <c r="E382">
        <f>SUM(E3:E366)</f>
        <v>952</v>
      </c>
      <c r="F382" t="s">
        <v>998</v>
      </c>
    </row>
    <row r="383" spans="1:9" x14ac:dyDescent="0.3">
      <c r="A383" t="s">
        <v>996</v>
      </c>
      <c r="B383" t="s">
        <v>999</v>
      </c>
      <c r="C383">
        <f t="array" ref="C383">SUMPRODUCT((ISNUMBER(SEARCH("Sky",C3:C366))*1),E3:E366,F3:F366)</f>
        <v>1367</v>
      </c>
      <c r="D383">
        <f t="array" ref="D383">SUMPRODUCT((ISNUMBER(SEARCH("Remington",C3:C366))*1),E3:E366,F3:F366)</f>
        <v>1223</v>
      </c>
      <c r="E383">
        <f>SUMPRODUCT(E3:E366,F3:F366)</f>
        <v>2590</v>
      </c>
      <c r="F383" t="s">
        <v>1000</v>
      </c>
    </row>
    <row r="384" spans="1:9" x14ac:dyDescent="0.3">
      <c r="A384" t="s">
        <v>996</v>
      </c>
      <c r="B384" t="s">
        <v>1001</v>
      </c>
      <c r="C384">
        <f t="array" ref="C384">SUMPRODUCT((ISNUMBER(SEARCH("Sky",C3:C366))*1),E3:E366,F3:F366)</f>
        <v>1367</v>
      </c>
      <c r="D384">
        <f t="array" ref="D384">SUMPRODUCT((ISNUMBER(SEARCH("Remington",C3:C366))*1),E3:E366,F3:F366)</f>
        <v>1223</v>
      </c>
      <c r="E384">
        <f>SUMPRODUCT(E3:E366,F3:F366)</f>
        <v>2590</v>
      </c>
      <c r="F384" t="s">
        <v>1002</v>
      </c>
    </row>
    <row r="386" spans="1:6" x14ac:dyDescent="0.3">
      <c r="A386" s="301" t="s">
        <v>1003</v>
      </c>
      <c r="B386" s="301"/>
      <c r="C386" s="301"/>
      <c r="D386" s="301"/>
      <c r="E386" s="301"/>
      <c r="F386" s="301"/>
    </row>
    <row r="387" spans="1:6" x14ac:dyDescent="0.3">
      <c r="A387" t="s">
        <v>1004</v>
      </c>
      <c r="B387" t="s">
        <v>1005</v>
      </c>
      <c r="C387" s="302">
        <f>C381/C378</f>
        <v>102.13991769547326</v>
      </c>
      <c r="D387" s="302">
        <f>D381/D378</f>
        <v>80</v>
      </c>
      <c r="E387" s="302">
        <f>E381/E378</f>
        <v>182</v>
      </c>
      <c r="F387" t="s">
        <v>1006</v>
      </c>
    </row>
    <row r="388" spans="1:6" x14ac:dyDescent="0.3">
      <c r="A388" t="s">
        <v>1004</v>
      </c>
      <c r="B388" t="s">
        <v>1007</v>
      </c>
      <c r="C388" s="302">
        <f>C382/C378</f>
        <v>248.84087791495199</v>
      </c>
      <c r="D388" s="302">
        <f>D382/D378</f>
        <v>227.5</v>
      </c>
      <c r="E388" s="302">
        <f>E382/E378</f>
        <v>476</v>
      </c>
      <c r="F388" t="s">
        <v>1008</v>
      </c>
    </row>
    <row r="389" spans="1:6" x14ac:dyDescent="0.3">
      <c r="A389" t="s">
        <v>1004</v>
      </c>
      <c r="B389" t="s">
        <v>1009</v>
      </c>
      <c r="C389" s="302">
        <f>C383/C378</f>
        <v>684.43758573388209</v>
      </c>
      <c r="D389" s="302">
        <f>D383/D378</f>
        <v>611.5</v>
      </c>
      <c r="E389" s="302">
        <f>E383/E378</f>
        <v>1295</v>
      </c>
      <c r="F389" t="s">
        <v>1010</v>
      </c>
    </row>
    <row r="390" spans="1:6" x14ac:dyDescent="0.3">
      <c r="A390" t="s">
        <v>1004</v>
      </c>
      <c r="B390" t="s">
        <v>1011</v>
      </c>
      <c r="C390" s="13">
        <f>C388/365</f>
        <v>0.68175582990397809</v>
      </c>
      <c r="D390" s="13">
        <f>D388/365</f>
        <v>0.62328767123287676</v>
      </c>
      <c r="E390" s="13">
        <f>E388/(365*2)</f>
        <v>0.65205479452054793</v>
      </c>
      <c r="F390" t="s">
        <v>1012</v>
      </c>
    </row>
    <row r="392" spans="1:6" x14ac:dyDescent="0.3">
      <c r="A392" s="297" t="s">
        <v>1013</v>
      </c>
      <c r="B392" s="297"/>
      <c r="C392" s="297"/>
      <c r="D392" s="297"/>
      <c r="E392" s="297"/>
      <c r="F392" s="297"/>
    </row>
    <row r="393" spans="1:6" x14ac:dyDescent="0.3">
      <c r="A393" t="s">
        <v>1014</v>
      </c>
      <c r="B393" t="s">
        <v>1015</v>
      </c>
      <c r="C393" s="300">
        <f>AVERAGEIF(C3:C366,"*Sky*",E3:E366)</f>
        <v>2.4362745098039214</v>
      </c>
      <c r="D393" s="300">
        <f>AVERAGEIF(C3:C366,"*Remington*",E3:E366)</f>
        <v>2.84375</v>
      </c>
      <c r="E393" s="300">
        <f>AVERAGE(E3:E366)</f>
        <v>2.6153846153846154</v>
      </c>
      <c r="F393" t="s">
        <v>1016</v>
      </c>
    </row>
    <row r="394" spans="1:6" x14ac:dyDescent="0.3">
      <c r="A394" t="s">
        <v>1014</v>
      </c>
      <c r="B394" t="s">
        <v>1017</v>
      </c>
      <c r="C394" s="302">
        <f t="array" ref="C394">MEDIAN(IF(ISNUMBER(SEARCH("Sky",C3:C366)),E3:E366))</f>
        <v>2</v>
      </c>
      <c r="D394" s="302">
        <f t="array" ref="D394">MEDIAN(IF(ISNUMBER(SEARCH("Remington",C3:C366)),E3:E366))</f>
        <v>2</v>
      </c>
      <c r="E394" s="302">
        <f>MEDIAN(E3:E366)</f>
        <v>2</v>
      </c>
      <c r="F394" t="s">
        <v>1018</v>
      </c>
    </row>
    <row r="395" spans="1:6" x14ac:dyDescent="0.3">
      <c r="A395" t="s">
        <v>1014</v>
      </c>
      <c r="B395" t="s">
        <v>1019</v>
      </c>
      <c r="C395">
        <f>_xlfn.MINIFS(E3:E366,C3:C366,"*Sky*")</f>
        <v>1</v>
      </c>
      <c r="D395">
        <f>_xlfn.MINIFS(E3:E366,C3:C366,"*Remington*")</f>
        <v>1</v>
      </c>
      <c r="E395">
        <f>MIN(E3:E366)</f>
        <v>1</v>
      </c>
      <c r="F395" t="s">
        <v>1020</v>
      </c>
    </row>
    <row r="396" spans="1:6" x14ac:dyDescent="0.3">
      <c r="A396" t="s">
        <v>1014</v>
      </c>
      <c r="B396" t="s">
        <v>1021</v>
      </c>
      <c r="C396">
        <f>_xlfn.MAXIFS(E3:E366,C3:C366,"*Sky*")</f>
        <v>10</v>
      </c>
      <c r="D396">
        <f>_xlfn.MAXIFS(E3:E366,C3:C366,"*Remington*")</f>
        <v>12</v>
      </c>
      <c r="E396">
        <f>MAX(E3:E366)</f>
        <v>12</v>
      </c>
      <c r="F396" t="s">
        <v>1022</v>
      </c>
    </row>
    <row r="398" spans="1:6" x14ac:dyDescent="0.3">
      <c r="A398" s="297" t="s">
        <v>1023</v>
      </c>
      <c r="B398" s="297"/>
      <c r="C398" s="297"/>
      <c r="D398" s="297"/>
      <c r="E398" s="297"/>
      <c r="F398" s="297"/>
    </row>
    <row r="399" spans="1:6" x14ac:dyDescent="0.3">
      <c r="A399" t="s">
        <v>1024</v>
      </c>
      <c r="B399" t="s">
        <v>1025</v>
      </c>
      <c r="C399">
        <f>COUNTIFS(C3:C366,"*Sky*",E3:E366,"&lt;=2")</f>
        <v>118</v>
      </c>
      <c r="D399">
        <f>COUNTIFS(C3:C366,"*Remington*",E3:E366,"&lt;=2")</f>
        <v>87</v>
      </c>
      <c r="E399">
        <f>COUNTIF(E3:E366,"&lt;=2")</f>
        <v>205</v>
      </c>
      <c r="F399" t="s">
        <v>1026</v>
      </c>
    </row>
    <row r="400" spans="1:6" x14ac:dyDescent="0.3">
      <c r="A400" t="s">
        <v>1024</v>
      </c>
      <c r="B400" t="s">
        <v>1027</v>
      </c>
      <c r="C400">
        <f>COUNTIFS(C3:C366,"*Sky*",E3:E366,"&gt;=3",C3:C366,"*Sky*",E3:E366,"&lt;=4")</f>
        <v>72</v>
      </c>
      <c r="D400">
        <f>COUNTIFS(C3:C366,"*Remington*",E3:E366,"&gt;=3",C3:C366,"*Remington*",E3:E366,"&lt;=4")</f>
        <v>53</v>
      </c>
      <c r="E400">
        <f>COUNTIFS(E3:E366,"&gt;=3",E3:E366,"&lt;=4")</f>
        <v>125</v>
      </c>
      <c r="F400" t="s">
        <v>1028</v>
      </c>
    </row>
    <row r="401" spans="1:6" x14ac:dyDescent="0.3">
      <c r="A401" t="s">
        <v>1024</v>
      </c>
      <c r="B401" t="s">
        <v>1029</v>
      </c>
      <c r="C401">
        <f>COUNTIFS(C3:C366,"*Sky*",E3:E366,"&gt;=5")</f>
        <v>14</v>
      </c>
      <c r="D401">
        <f>COUNTIFS(C3:C366,"*Remington*",E3:E366,"&gt;=5")</f>
        <v>20</v>
      </c>
      <c r="E401">
        <f>COUNTIF(E3:E366,"&gt;=5")</f>
        <v>34</v>
      </c>
      <c r="F401" t="s">
        <v>1030</v>
      </c>
    </row>
    <row r="402" spans="1:6" x14ac:dyDescent="0.3">
      <c r="A402" t="s">
        <v>1024</v>
      </c>
      <c r="B402" t="s">
        <v>1031</v>
      </c>
      <c r="C402" s="13">
        <f>C399/C381</f>
        <v>0.57843137254901966</v>
      </c>
      <c r="D402" s="13">
        <f>D399/D381</f>
        <v>0.54374999999999996</v>
      </c>
      <c r="E402" s="13">
        <f>E399/E381</f>
        <v>0.56318681318681318</v>
      </c>
    </row>
    <row r="403" spans="1:6" x14ac:dyDescent="0.3">
      <c r="A403" t="s">
        <v>1024</v>
      </c>
      <c r="B403" t="s">
        <v>1032</v>
      </c>
      <c r="C403" s="13">
        <f>C400/C381</f>
        <v>0.35294117647058826</v>
      </c>
      <c r="D403" s="13">
        <f>D400/D381</f>
        <v>0.33124999999999999</v>
      </c>
      <c r="E403" s="13">
        <f>E400/E381</f>
        <v>0.34340659340659341</v>
      </c>
    </row>
    <row r="404" spans="1:6" x14ac:dyDescent="0.3">
      <c r="A404" t="s">
        <v>1024</v>
      </c>
      <c r="B404" t="s">
        <v>1033</v>
      </c>
      <c r="C404" s="13">
        <f>C401/C381</f>
        <v>6.8627450980392163E-2</v>
      </c>
      <c r="D404" s="13">
        <f>D401/D381</f>
        <v>0.125</v>
      </c>
      <c r="E404" s="13">
        <f>E401/E381</f>
        <v>9.3406593406593408E-2</v>
      </c>
    </row>
    <row r="406" spans="1:6" x14ac:dyDescent="0.3">
      <c r="A406" s="303" t="s">
        <v>1034</v>
      </c>
      <c r="B406" s="303"/>
      <c r="C406" s="303"/>
      <c r="D406" s="303"/>
      <c r="E406" s="303"/>
      <c r="F406" s="303"/>
    </row>
    <row r="407" spans="1:6" x14ac:dyDescent="0.3">
      <c r="A407" t="s">
        <v>85</v>
      </c>
      <c r="B407" t="s">
        <v>1035</v>
      </c>
      <c r="C407">
        <f>SUMIF(C3:C366,"*Sky*",F3:F366)</f>
        <v>569</v>
      </c>
      <c r="D407">
        <f>SUMIF(C3:C366,"*Remington*",F3:F366)</f>
        <v>442</v>
      </c>
      <c r="E407">
        <f>SUM(F3:F366)</f>
        <v>1011</v>
      </c>
      <c r="F407" t="s">
        <v>1036</v>
      </c>
    </row>
    <row r="408" spans="1:6" x14ac:dyDescent="0.3">
      <c r="A408" t="s">
        <v>85</v>
      </c>
      <c r="B408" t="s">
        <v>1037</v>
      </c>
      <c r="C408" s="300">
        <f>AVERAGEIF(C3:C366,"*Sky*",F3:F366)</f>
        <v>2.7892156862745097</v>
      </c>
      <c r="D408" s="300">
        <f>AVERAGEIF(C3:C366,"*Remington*",F3:F366)</f>
        <v>2.7625000000000002</v>
      </c>
      <c r="E408" s="300">
        <f>AVERAGE(F3:F366)</f>
        <v>2.7774725274725274</v>
      </c>
      <c r="F408" t="s">
        <v>1038</v>
      </c>
    </row>
    <row r="409" spans="1:6" x14ac:dyDescent="0.3">
      <c r="A409" t="s">
        <v>85</v>
      </c>
      <c r="B409" t="s">
        <v>1039</v>
      </c>
      <c r="C409" s="300">
        <f>C383/C382</f>
        <v>2.7505030181086521</v>
      </c>
      <c r="D409" s="300">
        <f>D383/D382</f>
        <v>2.6879120879120881</v>
      </c>
      <c r="E409" s="300">
        <f>E383/E382</f>
        <v>2.7205882352941178</v>
      </c>
      <c r="F409" t="s">
        <v>1040</v>
      </c>
    </row>
    <row r="410" spans="1:6" x14ac:dyDescent="0.3">
      <c r="A410" t="s">
        <v>85</v>
      </c>
      <c r="B410" t="s">
        <v>1041</v>
      </c>
      <c r="C410">
        <f>_xlfn.MINIFS(F3:F366,C3:C366,"*Sky*")</f>
        <v>1</v>
      </c>
      <c r="D410">
        <f>_xlfn.MINIFS(F3:F366,C3:C366,"*Remington*")</f>
        <v>1</v>
      </c>
      <c r="E410">
        <f>MIN(F3:F366)</f>
        <v>1</v>
      </c>
      <c r="F410" t="s">
        <v>1042</v>
      </c>
    </row>
    <row r="411" spans="1:6" x14ac:dyDescent="0.3">
      <c r="A411" t="s">
        <v>85</v>
      </c>
      <c r="B411" t="s">
        <v>1043</v>
      </c>
      <c r="C411">
        <f>_xlfn.MAXIFS(F3:F366,C3:C366,"*Sky*")</f>
        <v>4</v>
      </c>
      <c r="D411">
        <f>_xlfn.MAXIFS(F3:F366,C3:C366,"*Remington*")</f>
        <v>4</v>
      </c>
      <c r="E411">
        <f>MAX(F3:F366)</f>
        <v>4</v>
      </c>
      <c r="F411" t="s">
        <v>1044</v>
      </c>
    </row>
    <row r="413" spans="1:6" x14ac:dyDescent="0.3">
      <c r="A413" s="304" t="s">
        <v>1045</v>
      </c>
      <c r="B413" s="304"/>
      <c r="C413" s="304"/>
      <c r="D413" s="304"/>
      <c r="E413" s="304"/>
      <c r="F413" s="304"/>
    </row>
    <row r="414" spans="1:6" x14ac:dyDescent="0.3">
      <c r="A414" t="s">
        <v>1046</v>
      </c>
      <c r="B414" t="s">
        <v>1047</v>
      </c>
      <c r="C414" s="305">
        <f>SUMIF(C3:C366,"*Sky*",I3:I366)</f>
        <v>1542066</v>
      </c>
      <c r="D414" s="305">
        <f>SUMIF(C3:C366,"*Remington*",I3:I366)</f>
        <v>1286653</v>
      </c>
      <c r="E414" s="305">
        <f>SUM(I3:I366)</f>
        <v>2828719</v>
      </c>
      <c r="F414" t="s">
        <v>1048</v>
      </c>
    </row>
    <row r="415" spans="1:6" x14ac:dyDescent="0.3">
      <c r="A415" t="s">
        <v>1046</v>
      </c>
      <c r="B415" t="s">
        <v>1049</v>
      </c>
      <c r="C415" s="305">
        <f>C414/C381</f>
        <v>7559.1470588235297</v>
      </c>
      <c r="D415" s="305">
        <f>D414/D381</f>
        <v>8041.5812500000002</v>
      </c>
      <c r="E415" s="305">
        <f>E414/E381</f>
        <v>7771.2060439560437</v>
      </c>
      <c r="F415" t="s">
        <v>1050</v>
      </c>
    </row>
    <row r="416" spans="1:6" x14ac:dyDescent="0.3">
      <c r="A416" t="s">
        <v>1046</v>
      </c>
      <c r="B416" t="s">
        <v>1051</v>
      </c>
      <c r="C416" s="305">
        <f>C414/C382</f>
        <v>3102.7484909456739</v>
      </c>
      <c r="D416" s="305">
        <f>D414/D382</f>
        <v>2827.8087912087913</v>
      </c>
      <c r="E416" s="305">
        <f>E414/E382</f>
        <v>2971.3434873949582</v>
      </c>
      <c r="F416" t="s">
        <v>1052</v>
      </c>
    </row>
    <row r="417" spans="1:6" x14ac:dyDescent="0.3">
      <c r="A417" t="s">
        <v>1046</v>
      </c>
      <c r="B417" t="s">
        <v>1053</v>
      </c>
      <c r="C417" s="305">
        <f>C414/C378</f>
        <v>772090.65843621409</v>
      </c>
      <c r="D417" s="305">
        <f>D414/D378</f>
        <v>643326.5</v>
      </c>
      <c r="E417" s="305">
        <f>E414/E378</f>
        <v>1414359.5</v>
      </c>
      <c r="F417" t="s">
        <v>1054</v>
      </c>
    </row>
    <row r="418" spans="1:6" x14ac:dyDescent="0.3">
      <c r="A418" t="s">
        <v>1046</v>
      </c>
      <c r="B418" t="s">
        <v>1055</v>
      </c>
      <c r="C418" s="305">
        <f>C417/365</f>
        <v>2115.316872427984</v>
      </c>
      <c r="D418" s="305">
        <f>D417/365</f>
        <v>1762.5383561643835</v>
      </c>
      <c r="E418" s="305">
        <f>E417/(365*2)</f>
        <v>1937.4787671232878</v>
      </c>
      <c r="F418" t="s">
        <v>1056</v>
      </c>
    </row>
    <row r="420" spans="1:6" x14ac:dyDescent="0.3">
      <c r="A420" s="301" t="s">
        <v>1057</v>
      </c>
      <c r="B420" s="301"/>
      <c r="C420" s="301"/>
      <c r="D420" s="301"/>
      <c r="E420" s="301"/>
      <c r="F420" s="301"/>
    </row>
    <row r="421" spans="1:6" x14ac:dyDescent="0.3">
      <c r="A421" t="s">
        <v>634</v>
      </c>
      <c r="B421" t="s">
        <v>1058</v>
      </c>
      <c r="C421">
        <f>COUNTIFS(C3:C366,"*Sky*",H3:H366,"*Booking*")</f>
        <v>184</v>
      </c>
      <c r="D421">
        <f>COUNTIFS(C3:C366,"*Remington*",H3:H366,"*Booking*")</f>
        <v>143</v>
      </c>
      <c r="E421">
        <f>COUNTIF(H3:H366,"*Booking*")</f>
        <v>327</v>
      </c>
      <c r="F421" t="s">
        <v>1059</v>
      </c>
    </row>
    <row r="422" spans="1:6" x14ac:dyDescent="0.3">
      <c r="A422" t="s">
        <v>634</v>
      </c>
      <c r="B422" t="s">
        <v>1060</v>
      </c>
      <c r="C422">
        <f>COUNTIFS(C3:C366,"*Sky*",H3:H366,"*Airbnb*")</f>
        <v>1</v>
      </c>
      <c r="D422">
        <f>COUNTIFS(C3:C366,"*Remington*",H3:H366,"*Airbnb*")</f>
        <v>2</v>
      </c>
      <c r="E422">
        <f>COUNTIF(H3:H366,"*Airbnb*")</f>
        <v>3</v>
      </c>
      <c r="F422" t="s">
        <v>1061</v>
      </c>
    </row>
    <row r="423" spans="1:6" x14ac:dyDescent="0.3">
      <c r="A423" t="s">
        <v>634</v>
      </c>
      <c r="B423" t="s">
        <v>1062</v>
      </c>
      <c r="C423">
        <f>COUNTIFS(C3:C366,"*Sky*",H3:H366,"*Own*")</f>
        <v>6</v>
      </c>
      <c r="D423">
        <f>COUNTIFS(C3:C366,"*Remington*",H3:H366,"*Own*")</f>
        <v>5</v>
      </c>
      <c r="E423">
        <f>COUNTIF(H3:H366,"*Own*")</f>
        <v>11</v>
      </c>
      <c r="F423" t="s">
        <v>1063</v>
      </c>
    </row>
    <row r="424" spans="1:6" x14ac:dyDescent="0.3">
      <c r="A424" t="s">
        <v>634</v>
      </c>
      <c r="B424" t="s">
        <v>1064</v>
      </c>
      <c r="C424" s="13">
        <f>C421/C381</f>
        <v>0.90196078431372551</v>
      </c>
      <c r="D424" s="13">
        <f>D421/D381</f>
        <v>0.89375000000000004</v>
      </c>
      <c r="E424" s="13">
        <f>E421/E381</f>
        <v>0.89835164835164838</v>
      </c>
    </row>
    <row r="425" spans="1:6" x14ac:dyDescent="0.3">
      <c r="A425" t="s">
        <v>634</v>
      </c>
      <c r="B425" t="s">
        <v>1065</v>
      </c>
      <c r="C425" s="13">
        <f>C422/C381</f>
        <v>4.9019607843137254E-3</v>
      </c>
      <c r="D425" s="13">
        <f>D422/D381</f>
        <v>1.2500000000000001E-2</v>
      </c>
      <c r="E425" s="13">
        <f>E422/E381</f>
        <v>8.241758241758242E-3</v>
      </c>
    </row>
    <row r="426" spans="1:6" x14ac:dyDescent="0.3">
      <c r="A426" t="s">
        <v>634</v>
      </c>
      <c r="B426" t="s">
        <v>1066</v>
      </c>
      <c r="C426" s="13">
        <f>C423/C381</f>
        <v>2.9411764705882353E-2</v>
      </c>
      <c r="D426" s="13">
        <f>D423/D381</f>
        <v>3.125E-2</v>
      </c>
      <c r="E426" s="13">
        <f>E423/E381</f>
        <v>3.021978021978022E-2</v>
      </c>
    </row>
    <row r="428" spans="1:6" x14ac:dyDescent="0.3">
      <c r="A428" s="303" t="s">
        <v>1067</v>
      </c>
      <c r="B428" s="303"/>
      <c r="C428" s="303"/>
      <c r="D428" s="303"/>
      <c r="E428" s="303"/>
      <c r="F428" s="303"/>
    </row>
    <row r="429" spans="1:6" x14ac:dyDescent="0.3">
      <c r="A429" t="s">
        <v>1068</v>
      </c>
      <c r="B429" t="s">
        <v>1069</v>
      </c>
      <c r="C429">
        <f>COUNTIFS(C3:C366,"*Sky*",G3:G366,"*Dinner*")</f>
        <v>65</v>
      </c>
      <c r="D429">
        <f>COUNTIFS(C3:C366,"*Remington*",G3:G366,"*Dinner*")</f>
        <v>40</v>
      </c>
      <c r="E429">
        <f>COUNTIF(G3:G366,"*Dinner*")</f>
        <v>105</v>
      </c>
      <c r="F429" t="s">
        <v>1070</v>
      </c>
    </row>
    <row r="430" spans="1:6" x14ac:dyDescent="0.3">
      <c r="A430" t="s">
        <v>1068</v>
      </c>
      <c r="B430" t="s">
        <v>1071</v>
      </c>
      <c r="C430">
        <f>COUNTIFS(C3:C366,"*Sky*",G3:G366,"B&amp;B")</f>
        <v>128</v>
      </c>
      <c r="D430">
        <f>COUNTIFS(C3:C366,"*Remington*",G3:G366,"B&amp;B")</f>
        <v>112</v>
      </c>
      <c r="E430">
        <f>COUNTIF(G3:G366,"B&amp;B")</f>
        <v>240</v>
      </c>
      <c r="F430" t="s">
        <v>1072</v>
      </c>
    </row>
    <row r="431" spans="1:6" x14ac:dyDescent="0.3">
      <c r="A431" t="s">
        <v>1068</v>
      </c>
      <c r="B431" t="s">
        <v>1073</v>
      </c>
      <c r="C431">
        <f>COUNTIFS(C3:C366,"*Sky*",G3:G366,"*Self*")</f>
        <v>11</v>
      </c>
      <c r="D431">
        <f>COUNTIFS(C3:C366,"*Remington*",G3:G366,"*Self*")</f>
        <v>8</v>
      </c>
      <c r="E431">
        <f>COUNTIF(G3:G366,"*Self*")</f>
        <v>19</v>
      </c>
      <c r="F431" t="s">
        <v>1074</v>
      </c>
    </row>
    <row r="432" spans="1:6" x14ac:dyDescent="0.3">
      <c r="A432" t="s">
        <v>1068</v>
      </c>
      <c r="B432" t="s">
        <v>1075</v>
      </c>
      <c r="C432" s="13">
        <f>C429/C381</f>
        <v>0.31862745098039214</v>
      </c>
      <c r="D432" s="13">
        <f>D429/D381</f>
        <v>0.25</v>
      </c>
      <c r="E432" s="13">
        <f>E429/E381</f>
        <v>0.28846153846153844</v>
      </c>
      <c r="F432" t="s">
        <v>1076</v>
      </c>
    </row>
    <row r="433" spans="1:6" x14ac:dyDescent="0.3">
      <c r="A433" t="s">
        <v>1068</v>
      </c>
      <c r="B433" t="s">
        <v>1077</v>
      </c>
      <c r="C433" s="13">
        <f>C430/C381</f>
        <v>0.62745098039215685</v>
      </c>
      <c r="D433" s="13">
        <f>D430/D381</f>
        <v>0.7</v>
      </c>
      <c r="E433" s="13">
        <f>E430/E381</f>
        <v>0.65934065934065933</v>
      </c>
    </row>
    <row r="434" spans="1:6" x14ac:dyDescent="0.3">
      <c r="A434" t="s">
        <v>1068</v>
      </c>
      <c r="B434" t="s">
        <v>1078</v>
      </c>
      <c r="C434" s="13">
        <f>C431/C381</f>
        <v>5.3921568627450983E-2</v>
      </c>
      <c r="D434" s="13">
        <f>D431/D381</f>
        <v>0.05</v>
      </c>
      <c r="E434" s="13">
        <f>E431/E381</f>
        <v>5.21978021978022E-2</v>
      </c>
    </row>
    <row r="435" spans="1:6" x14ac:dyDescent="0.3">
      <c r="A435" t="s">
        <v>1068</v>
      </c>
      <c r="B435" t="s">
        <v>1079</v>
      </c>
      <c r="C435" s="13">
        <f>(C429+C430)/C381</f>
        <v>0.94607843137254899</v>
      </c>
      <c r="D435" s="13">
        <f>(D429+D430)/D381</f>
        <v>0.95</v>
      </c>
      <c r="E435" s="13">
        <f>(E429+E430)/E381</f>
        <v>0.94780219780219777</v>
      </c>
      <c r="F435" t="s">
        <v>1080</v>
      </c>
    </row>
    <row r="437" spans="1:6" x14ac:dyDescent="0.3">
      <c r="A437" s="298" t="s">
        <v>1081</v>
      </c>
      <c r="B437" s="298"/>
      <c r="C437" s="298"/>
      <c r="D437" s="298"/>
      <c r="E437" s="298"/>
      <c r="F437" s="298"/>
    </row>
    <row r="438" spans="1:6" x14ac:dyDescent="0.3">
      <c r="A438" s="306" t="s">
        <v>1082</v>
      </c>
      <c r="B438" s="306" t="s">
        <v>25</v>
      </c>
      <c r="C438" s="306" t="s">
        <v>1083</v>
      </c>
      <c r="D438" s="306" t="s">
        <v>1084</v>
      </c>
      <c r="E438" s="306" t="s">
        <v>1085</v>
      </c>
      <c r="F438" s="306" t="s">
        <v>28</v>
      </c>
    </row>
    <row r="439" spans="1:6" x14ac:dyDescent="0.3">
      <c r="A439" t="s">
        <v>1086</v>
      </c>
      <c r="B439" t="s">
        <v>1039</v>
      </c>
      <c r="C439" s="300">
        <f>C409</f>
        <v>2.7505030181086521</v>
      </c>
      <c r="D439" s="300">
        <v>2.8</v>
      </c>
      <c r="E439" s="300">
        <f t="shared" ref="E439:E445" si="1">C439-D439</f>
        <v>-4.9496981891347769E-2</v>
      </c>
      <c r="F439" t="s">
        <v>87</v>
      </c>
    </row>
    <row r="440" spans="1:6" x14ac:dyDescent="0.3">
      <c r="A440" t="s">
        <v>984</v>
      </c>
      <c r="B440" t="s">
        <v>1039</v>
      </c>
      <c r="C440" s="300">
        <f>D409</f>
        <v>2.6879120879120881</v>
      </c>
      <c r="D440" s="300">
        <v>2.8</v>
      </c>
      <c r="E440" s="300">
        <f t="shared" si="1"/>
        <v>-0.11208791208791169</v>
      </c>
      <c r="F440" t="s">
        <v>87</v>
      </c>
    </row>
    <row r="441" spans="1:6" x14ac:dyDescent="0.3">
      <c r="A441" t="s">
        <v>1086</v>
      </c>
      <c r="B441" t="s">
        <v>1015</v>
      </c>
      <c r="C441" s="300">
        <f>C393</f>
        <v>2.4362745098039214</v>
      </c>
      <c r="D441" s="300">
        <f>'ASKY Stay Calc'!F5</f>
        <v>2.3173652694610798</v>
      </c>
      <c r="E441" s="300">
        <f t="shared" si="1"/>
        <v>0.11890924034284156</v>
      </c>
      <c r="F441" t="s">
        <v>1087</v>
      </c>
    </row>
    <row r="442" spans="1:6" x14ac:dyDescent="0.3">
      <c r="A442" t="s">
        <v>984</v>
      </c>
      <c r="B442" t="s">
        <v>1015</v>
      </c>
      <c r="C442" s="300">
        <f>D393</f>
        <v>2.84375</v>
      </c>
      <c r="D442" s="300">
        <f>'ASKY Stay Calc'!F6</f>
        <v>2.7443609022556399</v>
      </c>
      <c r="E442" s="300">
        <f t="shared" si="1"/>
        <v>9.9389097744360111E-2</v>
      </c>
      <c r="F442" t="s">
        <v>1088</v>
      </c>
    </row>
    <row r="443" spans="1:6" x14ac:dyDescent="0.3">
      <c r="A443" t="s">
        <v>1086</v>
      </c>
      <c r="B443" t="s">
        <v>1089</v>
      </c>
      <c r="C443" s="13">
        <f>C390</f>
        <v>0.68175582990397809</v>
      </c>
      <c r="D443" s="13">
        <f>Control!B30</f>
        <v>0.68175582990397809</v>
      </c>
      <c r="E443" s="13">
        <f t="shared" si="1"/>
        <v>0</v>
      </c>
      <c r="F443" t="s">
        <v>1090</v>
      </c>
    </row>
    <row r="444" spans="1:6" x14ac:dyDescent="0.3">
      <c r="A444" t="s">
        <v>984</v>
      </c>
      <c r="B444" t="s">
        <v>1089</v>
      </c>
      <c r="C444" s="13">
        <f>D390</f>
        <v>0.62328767123287676</v>
      </c>
      <c r="D444" s="13">
        <f>Control!B34</f>
        <v>0.62328767123287676</v>
      </c>
      <c r="E444" s="13">
        <f t="shared" si="1"/>
        <v>0</v>
      </c>
      <c r="F444" t="s">
        <v>1091</v>
      </c>
    </row>
    <row r="445" spans="1:6" x14ac:dyDescent="0.3">
      <c r="A445" t="s">
        <v>985</v>
      </c>
      <c r="B445" t="s">
        <v>1092</v>
      </c>
      <c r="C445" s="13">
        <f>E435</f>
        <v>0.94780219780219777</v>
      </c>
      <c r="D445" s="13">
        <v>0.75</v>
      </c>
      <c r="E445" s="13">
        <f t="shared" si="1"/>
        <v>0.19780219780219777</v>
      </c>
      <c r="F445" t="s">
        <v>1093</v>
      </c>
    </row>
    <row r="450" spans="1:7" ht="18" customHeight="1" x14ac:dyDescent="0.35">
      <c r="A450" s="423" t="s">
        <v>1094</v>
      </c>
      <c r="B450" s="392"/>
      <c r="C450" s="392"/>
      <c r="D450" s="392"/>
      <c r="E450" s="392"/>
      <c r="F450" s="392"/>
      <c r="G450" s="392"/>
    </row>
    <row r="451" spans="1:7" x14ac:dyDescent="0.3">
      <c r="A451" s="307" t="s">
        <v>1095</v>
      </c>
      <c r="B451" s="307" t="s">
        <v>1096</v>
      </c>
      <c r="C451" s="307" t="s">
        <v>1097</v>
      </c>
      <c r="D451" s="307" t="s">
        <v>1098</v>
      </c>
      <c r="E451" s="307" t="s">
        <v>1085</v>
      </c>
      <c r="F451" s="307" t="s">
        <v>1099</v>
      </c>
      <c r="G451" s="307" t="s">
        <v>1100</v>
      </c>
    </row>
    <row r="452" spans="1:7" x14ac:dyDescent="0.3">
      <c r="A452" t="s">
        <v>1101</v>
      </c>
      <c r="B452" t="s">
        <v>1102</v>
      </c>
      <c r="C452" s="13">
        <f>Control!B30</f>
        <v>0.68175582990397809</v>
      </c>
      <c r="D452" s="13">
        <f>C390</f>
        <v>0.68175582990397809</v>
      </c>
      <c r="E452" s="316">
        <f>D452-C452</f>
        <v>0</v>
      </c>
      <c r="F452" t="str">
        <f>TEXT(ABS(E452/C452),"0.0%")&amp;" "&amp;IF(E452&lt;0,"lower","higher")</f>
        <v>0.0% higher</v>
      </c>
      <c r="G452" t="s">
        <v>1103</v>
      </c>
    </row>
    <row r="453" spans="1:7" x14ac:dyDescent="0.3">
      <c r="A453" t="s">
        <v>1104</v>
      </c>
      <c r="B453" t="s">
        <v>1105</v>
      </c>
      <c r="C453" s="13">
        <f>Control!B34</f>
        <v>0.62328767123287676</v>
      </c>
      <c r="D453" s="13">
        <f>D390</f>
        <v>0.62328767123287676</v>
      </c>
      <c r="E453" s="316">
        <f>D453-C453</f>
        <v>0</v>
      </c>
      <c r="F453" t="str">
        <f>TEXT(ABS(E453/C453),"0.0%")&amp;" "&amp;IF(E453&lt;0,"lower","higher")</f>
        <v>0.0% higher</v>
      </c>
      <c r="G453" t="s">
        <v>1106</v>
      </c>
    </row>
    <row r="454" spans="1:7" x14ac:dyDescent="0.3">
      <c r="A454" t="s">
        <v>87</v>
      </c>
      <c r="B454" t="s">
        <v>1107</v>
      </c>
      <c r="C454" s="300">
        <f>Control!B31</f>
        <v>2.7505030181086521</v>
      </c>
      <c r="D454" s="300">
        <f>C409</f>
        <v>2.7505030181086521</v>
      </c>
      <c r="E454" s="317">
        <f>D454-C454</f>
        <v>0</v>
      </c>
      <c r="F454" t="str">
        <f>TEXT(ABS(E454/C454),"0.0%")&amp;" "&amp;IF(E454&lt;0,"lower","higher")</f>
        <v>0.0% higher</v>
      </c>
      <c r="G454" t="s">
        <v>1108</v>
      </c>
    </row>
    <row r="455" spans="1:7" x14ac:dyDescent="0.3">
      <c r="A455" t="s">
        <v>1109</v>
      </c>
      <c r="B455" t="s">
        <v>1110</v>
      </c>
      <c r="C455" s="300">
        <f>Control!B35</f>
        <v>2.6879120879120881</v>
      </c>
      <c r="D455" s="300">
        <f>D409</f>
        <v>2.6879120879120881</v>
      </c>
      <c r="E455" s="317">
        <f>D455-C455</f>
        <v>0</v>
      </c>
      <c r="F455" t="str">
        <f>TEXT(E455/C455,"0%")&amp;" higher = upside potential"</f>
        <v>0% higher = upside potential</v>
      </c>
      <c r="G455" t="s">
        <v>1108</v>
      </c>
    </row>
    <row r="456" spans="1:7" x14ac:dyDescent="0.3">
      <c r="A456" t="s">
        <v>1111</v>
      </c>
      <c r="B456" t="s">
        <v>200</v>
      </c>
      <c r="C456" s="13">
        <f>Control!B41</f>
        <v>0.75</v>
      </c>
      <c r="D456" s="13">
        <f>E435</f>
        <v>0.94780219780219777</v>
      </c>
      <c r="E456" s="316">
        <f>D456-C456</f>
        <v>0.19780219780219777</v>
      </c>
      <c r="F456" t="str">
        <f>TEXT(E456/C456,"0%")&amp;" higher = MAJOR UPSIDE"</f>
        <v>26% higher = MAJOR UPSIDE</v>
      </c>
      <c r="G456" t="s">
        <v>1112</v>
      </c>
    </row>
    <row r="457" spans="1:7" x14ac:dyDescent="0.3">
      <c r="A457" t="s">
        <v>1113</v>
      </c>
      <c r="B457" t="s">
        <v>1114</v>
      </c>
      <c r="C457" s="13">
        <f>Control!B52</f>
        <v>0.2</v>
      </c>
      <c r="D457" s="13">
        <f>E424</f>
        <v>0.89835164835164838</v>
      </c>
      <c r="F457" t="s">
        <v>1115</v>
      </c>
      <c r="G457" t="s">
        <v>1116</v>
      </c>
    </row>
    <row r="458" spans="1:7" x14ac:dyDescent="0.3">
      <c r="A458" t="s">
        <v>90</v>
      </c>
      <c r="B458" t="s">
        <v>1117</v>
      </c>
      <c r="C458" s="309">
        <f>Control!B28</f>
        <v>4500</v>
      </c>
      <c r="D458" s="309">
        <f>C416</f>
        <v>3102.7484909456739</v>
      </c>
      <c r="E458" s="318">
        <f>D458-C458</f>
        <v>-1397.2515090543261</v>
      </c>
      <c r="F458" t="str">
        <f>"Actual net ~R"&amp;ROUND(D458,0)&amp;" vs gross R"&amp;C458&amp;" (after ~20% OTA commission)"</f>
        <v>Actual net ~R3103 vs gross R4500 (after ~20% OTA commission)</v>
      </c>
      <c r="G458" t="s">
        <v>1118</v>
      </c>
    </row>
    <row r="459" spans="1:7" x14ac:dyDescent="0.3">
      <c r="A459" t="s">
        <v>94</v>
      </c>
      <c r="B459" t="s">
        <v>1119</v>
      </c>
      <c r="C459" s="309">
        <f>Control!B32</f>
        <v>3700</v>
      </c>
      <c r="D459" s="309">
        <f>D416</f>
        <v>2827.8087912087913</v>
      </c>
      <c r="E459" s="318">
        <f>D459-C459</f>
        <v>-872.19120879120874</v>
      </c>
      <c r="F459" t="str">
        <f>"Actual net ~R"&amp;ROUND(D459,0)&amp;" vs gross R"&amp;C459&amp;" (after ~20% OTA commission)"</f>
        <v>Actual net ~R2828 vs gross R3700 (after ~20% OTA commission)</v>
      </c>
      <c r="G459" t="s">
        <v>1120</v>
      </c>
    </row>
    <row r="460" spans="1:7" x14ac:dyDescent="0.3">
      <c r="A460" t="s">
        <v>1121</v>
      </c>
      <c r="B460" t="s">
        <v>1122</v>
      </c>
      <c r="C460" s="300">
        <f>'ASKY Stay Calc'!F5</f>
        <v>2.3173652694610798</v>
      </c>
      <c r="D460" s="300">
        <f>C393</f>
        <v>2.4362745098039214</v>
      </c>
      <c r="E460" s="317">
        <f>D460-C460</f>
        <v>0.11890924034284156</v>
      </c>
      <c r="F460" t="str">
        <f>TEXT(ABS(E460/C460),"0.0%")&amp;" "&amp;IF(E460&lt;0,"lower","higher")</f>
        <v>0.5% higher</v>
      </c>
      <c r="G460" t="s">
        <v>1123</v>
      </c>
    </row>
    <row r="461" spans="1:7" x14ac:dyDescent="0.3">
      <c r="A461" t="s">
        <v>1124</v>
      </c>
      <c r="B461" t="s">
        <v>1125</v>
      </c>
      <c r="C461" s="300">
        <f>'ASKY Stay Calc'!F6</f>
        <v>2.7443609022556399</v>
      </c>
      <c r="D461" s="300">
        <f>D393</f>
        <v>2.84375</v>
      </c>
      <c r="E461" s="317">
        <f>D461-C461</f>
        <v>9.9389097744360111E-2</v>
      </c>
      <c r="F461" t="str">
        <f>TEXT(ABS(E461/C461),"0.0%")&amp;" "&amp;IF(E461&lt;0,"lower","higher")</f>
        <v>0.4% higher</v>
      </c>
      <c r="G461" t="s">
        <v>1126</v>
      </c>
    </row>
    <row r="463" spans="1:7" x14ac:dyDescent="0.3">
      <c r="A463" s="298" t="s">
        <v>1127</v>
      </c>
      <c r="B463" s="298" t="s">
        <v>1128</v>
      </c>
      <c r="C463" s="298"/>
      <c r="D463" s="298"/>
      <c r="E463" s="310">
        <v>0.26</v>
      </c>
      <c r="F463" s="298" t="s">
        <v>1129</v>
      </c>
      <c r="G463" s="298" t="s">
        <v>1130</v>
      </c>
    </row>
    <row r="464" spans="1:7" x14ac:dyDescent="0.3">
      <c r="A464" s="298" t="s">
        <v>1127</v>
      </c>
      <c r="B464" s="298" t="s">
        <v>1131</v>
      </c>
      <c r="C464" s="298"/>
      <c r="D464" s="298"/>
      <c r="E464" s="310">
        <v>0.12</v>
      </c>
      <c r="F464" s="298" t="s">
        <v>1132</v>
      </c>
      <c r="G464" s="298" t="s">
        <v>1133</v>
      </c>
    </row>
    <row r="467" spans="1:7" ht="15.6" customHeight="1" x14ac:dyDescent="0.3">
      <c r="A467" s="420" t="s">
        <v>1134</v>
      </c>
      <c r="B467" s="392"/>
      <c r="C467" s="392"/>
      <c r="D467" s="392"/>
      <c r="E467" s="392"/>
      <c r="F467" s="392"/>
      <c r="G467" s="392"/>
    </row>
    <row r="468" spans="1:7" x14ac:dyDescent="0.3">
      <c r="A468" s="307" t="s">
        <v>1135</v>
      </c>
      <c r="B468" s="307" t="s">
        <v>1136</v>
      </c>
      <c r="C468" s="307" t="s">
        <v>1137</v>
      </c>
      <c r="D468" s="307" t="s">
        <v>1136</v>
      </c>
      <c r="E468" s="307" t="s">
        <v>1138</v>
      </c>
    </row>
    <row r="469" spans="1:7" x14ac:dyDescent="0.3">
      <c r="A469" t="s">
        <v>1139</v>
      </c>
      <c r="B469" t="s">
        <v>1136</v>
      </c>
      <c r="C469" t="s">
        <v>1140</v>
      </c>
      <c r="D469" t="s">
        <v>1136</v>
      </c>
      <c r="E469" t="s">
        <v>1141</v>
      </c>
    </row>
    <row r="470" spans="1:7" x14ac:dyDescent="0.3">
      <c r="A470" t="s">
        <v>1142</v>
      </c>
      <c r="B470" t="s">
        <v>1136</v>
      </c>
      <c r="C470" t="s">
        <v>1143</v>
      </c>
      <c r="D470" t="s">
        <v>1136</v>
      </c>
      <c r="E470" t="s">
        <v>1144</v>
      </c>
    </row>
    <row r="471" spans="1:7" x14ac:dyDescent="0.3">
      <c r="A471" t="s">
        <v>1145</v>
      </c>
      <c r="B471" t="s">
        <v>1136</v>
      </c>
      <c r="C471" t="s">
        <v>1146</v>
      </c>
      <c r="D471" t="s">
        <v>1136</v>
      </c>
      <c r="E471" t="s">
        <v>1147</v>
      </c>
    </row>
    <row r="472" spans="1:7" x14ac:dyDescent="0.3">
      <c r="A472" t="s">
        <v>1148</v>
      </c>
      <c r="B472" t="s">
        <v>1136</v>
      </c>
      <c r="C472" t="s">
        <v>1149</v>
      </c>
      <c r="D472" t="s">
        <v>1136</v>
      </c>
      <c r="E472" t="s">
        <v>1144</v>
      </c>
    </row>
    <row r="473" spans="1:7" x14ac:dyDescent="0.3">
      <c r="A473" t="s">
        <v>1150</v>
      </c>
      <c r="B473" t="s">
        <v>1136</v>
      </c>
      <c r="C473" t="s">
        <v>1151</v>
      </c>
      <c r="D473" t="s">
        <v>1136</v>
      </c>
      <c r="E473" t="s">
        <v>1152</v>
      </c>
    </row>
    <row r="474" spans="1:7" x14ac:dyDescent="0.3">
      <c r="A474" t="s">
        <v>1153</v>
      </c>
      <c r="B474" t="s">
        <v>1136</v>
      </c>
      <c r="C474" t="s">
        <v>1154</v>
      </c>
      <c r="D474" t="s">
        <v>1136</v>
      </c>
      <c r="E474" t="s">
        <v>1155</v>
      </c>
    </row>
    <row r="476" spans="1:7" x14ac:dyDescent="0.3">
      <c r="A476" s="419" t="s">
        <v>1156</v>
      </c>
      <c r="B476" s="392"/>
      <c r="C476" s="392"/>
      <c r="D476" s="392"/>
      <c r="E476" s="392"/>
      <c r="F476" s="392"/>
      <c r="G476" s="392"/>
    </row>
    <row r="477" spans="1:7" x14ac:dyDescent="0.3">
      <c r="A477" s="392" t="s">
        <v>1157</v>
      </c>
      <c r="B477" s="392"/>
      <c r="C477" s="392"/>
      <c r="D477" s="392"/>
      <c r="E477" s="392"/>
      <c r="F477" s="392"/>
      <c r="G477" s="392"/>
    </row>
    <row r="478" spans="1:7" x14ac:dyDescent="0.3">
      <c r="A478" s="392" t="s">
        <v>1158</v>
      </c>
      <c r="B478" s="392"/>
      <c r="C478" s="392"/>
      <c r="D478" s="392"/>
      <c r="E478" s="392"/>
      <c r="F478" s="392"/>
      <c r="G478" s="392"/>
    </row>
    <row r="481" spans="1:7" ht="15.6" customHeight="1" x14ac:dyDescent="0.3">
      <c r="A481" s="422" t="s">
        <v>1159</v>
      </c>
      <c r="B481" s="392"/>
      <c r="C481" s="392"/>
      <c r="D481" s="392"/>
      <c r="E481" s="392"/>
      <c r="F481" s="392"/>
      <c r="G481" s="392"/>
    </row>
    <row r="482" spans="1:7" x14ac:dyDescent="0.3">
      <c r="A482" s="307" t="s">
        <v>1160</v>
      </c>
      <c r="B482" s="307" t="s">
        <v>1161</v>
      </c>
      <c r="C482" s="307" t="s">
        <v>1162</v>
      </c>
      <c r="D482" s="307" t="s">
        <v>1163</v>
      </c>
      <c r="E482" s="307" t="s">
        <v>1164</v>
      </c>
      <c r="F482" s="307" t="s">
        <v>1165</v>
      </c>
      <c r="G482" s="307"/>
    </row>
    <row r="483" spans="1:7" x14ac:dyDescent="0.3">
      <c r="A483" s="312" t="s">
        <v>1166</v>
      </c>
      <c r="B483" s="312" t="s">
        <v>1167</v>
      </c>
      <c r="C483" s="313">
        <v>0.75</v>
      </c>
      <c r="D483" s="314">
        <v>0.94799999999999995</v>
      </c>
      <c r="E483" s="312" t="s">
        <v>1168</v>
      </c>
      <c r="F483" s="312" t="s">
        <v>1169</v>
      </c>
      <c r="G483" s="312"/>
    </row>
    <row r="484" spans="1:7" x14ac:dyDescent="0.3">
      <c r="A484" s="315" t="s">
        <v>1170</v>
      </c>
      <c r="B484" s="315" t="s">
        <v>1171</v>
      </c>
      <c r="C484" s="315">
        <v>2.4</v>
      </c>
      <c r="D484" s="315">
        <v>2.69</v>
      </c>
      <c r="E484" s="315" t="s">
        <v>1172</v>
      </c>
      <c r="F484" s="315" t="s">
        <v>1173</v>
      </c>
      <c r="G484" s="315"/>
    </row>
    <row r="485" spans="1:7" x14ac:dyDescent="0.3">
      <c r="A485" t="s">
        <v>1174</v>
      </c>
      <c r="B485" t="s">
        <v>1175</v>
      </c>
      <c r="C485" s="308">
        <v>0.7</v>
      </c>
      <c r="D485" s="311">
        <v>0.68200000000000005</v>
      </c>
      <c r="E485" t="s">
        <v>1176</v>
      </c>
      <c r="F485" t="s">
        <v>1177</v>
      </c>
    </row>
    <row r="486" spans="1:7" x14ac:dyDescent="0.3">
      <c r="A486" t="s">
        <v>1174</v>
      </c>
      <c r="B486" t="s">
        <v>1178</v>
      </c>
      <c r="C486" s="308">
        <v>0.61</v>
      </c>
      <c r="D486" s="311">
        <v>0.623</v>
      </c>
      <c r="E486" t="s">
        <v>1179</v>
      </c>
      <c r="F486" t="s">
        <v>1177</v>
      </c>
    </row>
    <row r="487" spans="1:7" x14ac:dyDescent="0.3">
      <c r="A487" t="s">
        <v>1174</v>
      </c>
      <c r="B487" t="s">
        <v>1180</v>
      </c>
      <c r="C487">
        <v>2.8</v>
      </c>
      <c r="D487">
        <v>2.75</v>
      </c>
      <c r="E487" t="s">
        <v>1181</v>
      </c>
      <c r="F487" t="s">
        <v>1177</v>
      </c>
    </row>
    <row r="488" spans="1:7" x14ac:dyDescent="0.3">
      <c r="A488" t="s">
        <v>1182</v>
      </c>
      <c r="B488" t="s">
        <v>1183</v>
      </c>
      <c r="C488" t="s">
        <v>1184</v>
      </c>
      <c r="D488" t="s">
        <v>1185</v>
      </c>
      <c r="E488" t="s">
        <v>1186</v>
      </c>
      <c r="F488" t="s">
        <v>1187</v>
      </c>
    </row>
    <row r="489" spans="1:7" x14ac:dyDescent="0.3">
      <c r="A489" t="s">
        <v>1182</v>
      </c>
      <c r="B489" t="s">
        <v>1188</v>
      </c>
      <c r="C489" s="308">
        <v>0.2</v>
      </c>
      <c r="D489" t="s">
        <v>1189</v>
      </c>
      <c r="E489" t="s">
        <v>1190</v>
      </c>
      <c r="F489" t="s">
        <v>1191</v>
      </c>
    </row>
  </sheetData>
  <autoFilter ref="A2:I366" xr:uid="{00000000-0009-0000-0000-00000F000000}"/>
  <mergeCells count="9">
    <mergeCell ref="A476:G476"/>
    <mergeCell ref="A467:G467"/>
    <mergeCell ref="A372:I372"/>
    <mergeCell ref="A1:I1"/>
    <mergeCell ref="A481:G481"/>
    <mergeCell ref="A478:G478"/>
    <mergeCell ref="A477:G477"/>
    <mergeCell ref="A373:I373"/>
    <mergeCell ref="A450:G45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9"/>
  <sheetViews>
    <sheetView zoomScale="85" zoomScaleNormal="85" workbookViewId="0">
      <selection activeCell="G5" sqref="G5"/>
    </sheetView>
  </sheetViews>
  <sheetFormatPr defaultRowHeight="14.4" x14ac:dyDescent="0.3"/>
  <cols>
    <col min="1" max="1" width="24.33203125" style="19" customWidth="1"/>
    <col min="2" max="2" width="17.6640625" style="19" customWidth="1"/>
    <col min="3" max="3" width="12.21875" style="19" customWidth="1"/>
    <col min="4" max="4" width="13.44140625" style="19" customWidth="1"/>
    <col min="5" max="5" width="11.6640625" style="19" bestFit="1" customWidth="1"/>
    <col min="6" max="6" width="13" style="19" customWidth="1"/>
    <col min="7" max="7" width="14.44140625" style="19" customWidth="1"/>
    <col min="8" max="8" width="16.109375" style="19" customWidth="1"/>
    <col min="9" max="9" width="8.21875" style="19" bestFit="1" customWidth="1"/>
    <col min="10" max="10" width="28" style="19" customWidth="1"/>
    <col min="11" max="12" width="11.6640625" style="19" customWidth="1"/>
    <col min="13" max="13" width="9.109375" style="19" customWidth="1"/>
    <col min="14" max="14" width="8.5546875" style="19" bestFit="1" customWidth="1"/>
    <col min="15" max="16" width="13.21875" style="19" customWidth="1"/>
    <col min="17" max="17" width="12.44140625" style="19" customWidth="1"/>
    <col min="18" max="18" width="82" style="19" customWidth="1"/>
    <col min="19" max="23" width="8.88671875" style="19" customWidth="1"/>
    <col min="24" max="16384" width="8.88671875" style="19"/>
  </cols>
  <sheetData>
    <row r="1" spans="1:18" ht="21" customHeight="1" x14ac:dyDescent="0.3">
      <c r="A1" s="432" t="s">
        <v>1192</v>
      </c>
      <c r="B1" s="402"/>
      <c r="C1" s="402"/>
      <c r="D1" s="402"/>
      <c r="E1" s="402"/>
      <c r="F1" s="402"/>
      <c r="G1" s="402"/>
      <c r="H1" s="402"/>
      <c r="J1" s="62" t="s">
        <v>1193</v>
      </c>
      <c r="K1" s="63"/>
      <c r="L1" s="63"/>
      <c r="M1" s="63"/>
      <c r="N1" s="63"/>
      <c r="O1" s="63"/>
      <c r="P1" s="63"/>
      <c r="Q1" s="63"/>
      <c r="R1" s="64"/>
    </row>
    <row r="2" spans="1:18" x14ac:dyDescent="0.3">
      <c r="A2" s="428" t="s">
        <v>1194</v>
      </c>
      <c r="B2" s="402"/>
      <c r="C2" s="402"/>
      <c r="D2" s="402"/>
      <c r="E2" s="402"/>
      <c r="F2" s="402"/>
      <c r="G2" s="402"/>
      <c r="H2" s="402"/>
      <c r="J2" s="430" t="s">
        <v>1195</v>
      </c>
      <c r="K2" s="402"/>
      <c r="L2" s="402"/>
      <c r="M2" s="402"/>
      <c r="N2" s="402"/>
      <c r="O2" s="402"/>
      <c r="P2" s="402"/>
      <c r="Q2" s="402"/>
      <c r="R2" s="64"/>
    </row>
    <row r="3" spans="1:18" x14ac:dyDescent="0.3">
      <c r="A3" s="3"/>
      <c r="B3" s="3"/>
      <c r="C3" s="3"/>
      <c r="D3" s="3"/>
      <c r="E3" s="3"/>
      <c r="F3" s="3"/>
      <c r="H3" s="3"/>
      <c r="J3" s="65"/>
      <c r="K3" s="65"/>
      <c r="L3" s="65"/>
      <c r="M3" s="65"/>
      <c r="N3" s="64"/>
      <c r="O3" s="65"/>
      <c r="P3" s="65"/>
      <c r="Q3" s="64"/>
      <c r="R3" s="64"/>
    </row>
    <row r="4" spans="1:18" ht="28.8" customHeight="1" x14ac:dyDescent="0.3">
      <c r="A4" s="50" t="s">
        <v>3</v>
      </c>
      <c r="B4" s="55" t="s">
        <v>1196</v>
      </c>
      <c r="C4" s="51" t="s">
        <v>4</v>
      </c>
      <c r="D4" s="51" t="s">
        <v>5</v>
      </c>
      <c r="E4" s="51" t="s">
        <v>4</v>
      </c>
      <c r="F4" s="51" t="s">
        <v>1015</v>
      </c>
      <c r="G4" s="51" t="s">
        <v>1197</v>
      </c>
      <c r="H4" s="51" t="s">
        <v>1005</v>
      </c>
      <c r="I4" s="58"/>
      <c r="J4" s="68" t="s">
        <v>3</v>
      </c>
      <c r="K4" s="69" t="s">
        <v>1198</v>
      </c>
      <c r="L4" s="69" t="s">
        <v>1199</v>
      </c>
      <c r="M4" s="69" t="s">
        <v>1200</v>
      </c>
      <c r="N4" s="70" t="s">
        <v>1201</v>
      </c>
      <c r="O4" s="71"/>
      <c r="P4" s="68"/>
      <c r="Q4" s="72"/>
      <c r="R4" s="72"/>
    </row>
    <row r="5" spans="1:18" ht="28.8" customHeight="1" x14ac:dyDescent="0.3">
      <c r="A5" s="3" t="s">
        <v>1202</v>
      </c>
      <c r="B5" s="56" t="s">
        <v>1203</v>
      </c>
      <c r="C5" s="53">
        <v>167</v>
      </c>
      <c r="D5" s="53">
        <v>387</v>
      </c>
      <c r="E5" s="52">
        <f>Control!$B$20*Control!$B$30</f>
        <v>248.84087791495202</v>
      </c>
      <c r="F5" s="52">
        <v>2.3173652694610798</v>
      </c>
      <c r="G5" s="54">
        <v>2</v>
      </c>
      <c r="H5" s="52">
        <f>E5/F5</f>
        <v>107.38094731730479</v>
      </c>
      <c r="J5" s="65" t="s">
        <v>1204</v>
      </c>
      <c r="K5" s="66">
        <v>103</v>
      </c>
      <c r="L5" s="66">
        <v>54</v>
      </c>
      <c r="M5" s="66">
        <v>10</v>
      </c>
      <c r="N5" s="429" t="s">
        <v>1205</v>
      </c>
      <c r="O5" s="402"/>
      <c r="P5" s="402"/>
      <c r="Q5" s="402"/>
      <c r="R5" s="402"/>
    </row>
    <row r="6" spans="1:18" ht="28.8" customHeight="1" x14ac:dyDescent="0.3">
      <c r="A6" s="3" t="s">
        <v>8</v>
      </c>
      <c r="B6" s="60" t="s">
        <v>1203</v>
      </c>
      <c r="C6" s="59">
        <v>133</v>
      </c>
      <c r="D6" s="59">
        <v>365</v>
      </c>
      <c r="E6" s="57">
        <f>Control!$B$20*Control!$B$34</f>
        <v>227.50000000000003</v>
      </c>
      <c r="F6" s="57">
        <v>2.7443609022556399</v>
      </c>
      <c r="G6" s="61">
        <v>2</v>
      </c>
      <c r="H6" s="57">
        <f>E6/F6</f>
        <v>82.897260273972591</v>
      </c>
      <c r="J6" s="65" t="s">
        <v>8</v>
      </c>
      <c r="K6" s="66">
        <v>75</v>
      </c>
      <c r="L6" s="66">
        <v>43</v>
      </c>
      <c r="M6" s="66">
        <v>15</v>
      </c>
      <c r="N6" s="429" t="s">
        <v>1206</v>
      </c>
      <c r="O6" s="402"/>
      <c r="P6" s="402"/>
      <c r="Q6" s="402"/>
      <c r="R6" s="402"/>
    </row>
    <row r="7" spans="1:18" x14ac:dyDescent="0.3">
      <c r="A7" s="3"/>
      <c r="B7" s="3"/>
      <c r="C7" s="3"/>
      <c r="D7" s="3"/>
      <c r="E7" s="3"/>
      <c r="F7" s="3"/>
      <c r="H7" s="3"/>
      <c r="J7" s="67" t="s">
        <v>1207</v>
      </c>
      <c r="K7" s="65"/>
      <c r="L7" s="65"/>
      <c r="M7" s="65"/>
      <c r="N7" s="64"/>
      <c r="O7" s="65"/>
      <c r="P7" s="65"/>
      <c r="Q7" s="64"/>
      <c r="R7" s="64"/>
    </row>
    <row r="8" spans="1:18" x14ac:dyDescent="0.3">
      <c r="A8" s="3"/>
      <c r="B8" s="3"/>
      <c r="C8" s="3"/>
      <c r="D8" s="3"/>
      <c r="E8" s="3"/>
      <c r="F8" s="3"/>
      <c r="H8" s="3"/>
      <c r="J8" s="431" t="s">
        <v>1208</v>
      </c>
      <c r="K8" s="402"/>
      <c r="L8" s="402"/>
      <c r="M8" s="402"/>
      <c r="N8" s="402"/>
      <c r="O8" s="402"/>
      <c r="P8" s="402"/>
      <c r="Q8" s="402"/>
      <c r="R8" s="402"/>
    </row>
    <row r="9" spans="1:18" x14ac:dyDescent="0.3">
      <c r="A9" s="424" t="s">
        <v>1209</v>
      </c>
      <c r="B9" s="402"/>
      <c r="C9" s="402"/>
      <c r="D9" s="402"/>
      <c r="E9" s="402"/>
      <c r="F9" s="402"/>
      <c r="G9" s="402"/>
      <c r="H9" s="3"/>
      <c r="J9" s="64" t="s">
        <v>1210</v>
      </c>
      <c r="K9" s="65"/>
      <c r="L9" s="65"/>
      <c r="M9" s="65"/>
      <c r="N9" s="64"/>
      <c r="O9" s="65"/>
      <c r="P9" s="65"/>
      <c r="Q9" s="64"/>
      <c r="R9" s="64"/>
    </row>
    <row r="10" spans="1:18" s="77" customFormat="1" ht="28.8" customHeight="1" x14ac:dyDescent="0.3">
      <c r="A10" s="50" t="s">
        <v>3</v>
      </c>
      <c r="B10" s="50" t="s">
        <v>6</v>
      </c>
      <c r="C10" s="51" t="s">
        <v>4</v>
      </c>
      <c r="D10" s="51" t="s">
        <v>5</v>
      </c>
      <c r="E10" s="51"/>
      <c r="F10" s="51" t="s">
        <v>1211</v>
      </c>
      <c r="G10" s="51" t="s">
        <v>1197</v>
      </c>
      <c r="H10" s="51" t="str">
        <f>H4</f>
        <v>Bookings / year</v>
      </c>
      <c r="I10" s="76"/>
      <c r="J10" s="425" t="s">
        <v>1212</v>
      </c>
      <c r="K10" s="426"/>
      <c r="L10" s="426"/>
      <c r="M10" s="426"/>
      <c r="N10" s="426"/>
      <c r="O10" s="426"/>
      <c r="P10" s="426"/>
      <c r="Q10" s="426"/>
      <c r="R10" s="426"/>
    </row>
    <row r="11" spans="1:18" x14ac:dyDescent="0.3">
      <c r="A11" s="3" t="s">
        <v>1213</v>
      </c>
      <c r="B11" s="19" t="s">
        <v>1214</v>
      </c>
      <c r="C11" s="57">
        <v>204</v>
      </c>
      <c r="D11" s="57">
        <v>497</v>
      </c>
      <c r="E11" s="57"/>
      <c r="F11" s="57">
        <v>2.43627450980392</v>
      </c>
      <c r="G11" s="57">
        <v>2</v>
      </c>
      <c r="H11" s="61">
        <f>Control!$B$20*Control!$B$30/F11</f>
        <v>102.13991769547333</v>
      </c>
      <c r="J11" s="65" t="s">
        <v>1215</v>
      </c>
      <c r="K11" s="64" t="s">
        <v>1216</v>
      </c>
      <c r="L11" s="64"/>
      <c r="M11" s="65"/>
      <c r="N11" s="65"/>
      <c r="O11" s="65"/>
      <c r="P11" s="64"/>
      <c r="Q11" s="65"/>
      <c r="R11" s="64"/>
    </row>
    <row r="12" spans="1:18" x14ac:dyDescent="0.3">
      <c r="A12" s="3" t="s">
        <v>1213</v>
      </c>
      <c r="B12" s="19" t="s">
        <v>1217</v>
      </c>
      <c r="C12" s="57">
        <v>167</v>
      </c>
      <c r="D12" s="57">
        <v>387</v>
      </c>
      <c r="E12" s="57"/>
      <c r="F12" s="57">
        <v>2.3173652694610798</v>
      </c>
      <c r="G12" s="57">
        <v>2</v>
      </c>
      <c r="H12" s="61">
        <f>Control!$B$20*Control!$B$30/F12</f>
        <v>107.38094731730479</v>
      </c>
      <c r="J12" s="65" t="s">
        <v>1218</v>
      </c>
      <c r="K12" s="64" t="s">
        <v>1219</v>
      </c>
      <c r="L12" s="64"/>
      <c r="M12" s="65"/>
      <c r="N12" s="65"/>
      <c r="O12" s="65"/>
      <c r="P12" s="64"/>
      <c r="Q12" s="65"/>
      <c r="R12" s="64"/>
    </row>
    <row r="13" spans="1:18" x14ac:dyDescent="0.3">
      <c r="A13" s="3" t="s">
        <v>8</v>
      </c>
      <c r="B13" s="19" t="s">
        <v>1214</v>
      </c>
      <c r="C13" s="57">
        <v>160</v>
      </c>
      <c r="D13" s="57">
        <v>455</v>
      </c>
      <c r="E13" s="57"/>
      <c r="F13" s="57">
        <v>2.84375</v>
      </c>
      <c r="G13" s="57">
        <v>2</v>
      </c>
      <c r="H13" s="61">
        <f>Control!$B$20*Control!$B$34/F13</f>
        <v>80.000000000000014</v>
      </c>
      <c r="J13" s="65" t="s">
        <v>1220</v>
      </c>
      <c r="K13" s="64" t="s">
        <v>1221</v>
      </c>
      <c r="L13" s="64"/>
      <c r="M13" s="65"/>
      <c r="N13" s="65"/>
      <c r="O13" s="65"/>
      <c r="P13" s="64"/>
      <c r="Q13" s="65"/>
      <c r="R13" s="64"/>
    </row>
    <row r="14" spans="1:18" x14ac:dyDescent="0.3">
      <c r="A14" s="3" t="s">
        <v>8</v>
      </c>
      <c r="B14" s="19" t="s">
        <v>1217</v>
      </c>
      <c r="C14" s="57">
        <v>133</v>
      </c>
      <c r="D14" s="57">
        <v>365</v>
      </c>
      <c r="E14" s="57"/>
      <c r="F14" s="57">
        <v>2.7443609022556399</v>
      </c>
      <c r="G14" s="57">
        <v>2</v>
      </c>
      <c r="H14" s="61">
        <f>Control!$B$20*Control!$B$34/F14</f>
        <v>82.897260273972591</v>
      </c>
      <c r="J14" s="65" t="s">
        <v>1164</v>
      </c>
      <c r="K14" s="64" t="s">
        <v>1222</v>
      </c>
      <c r="L14" s="64"/>
      <c r="M14" s="65"/>
      <c r="N14" s="65"/>
      <c r="O14" s="65"/>
      <c r="P14" s="64"/>
      <c r="Q14" s="65"/>
      <c r="R14" s="64"/>
    </row>
    <row r="15" spans="1:18" x14ac:dyDescent="0.3">
      <c r="A15" s="3"/>
      <c r="C15" s="57"/>
      <c r="D15" s="57"/>
      <c r="E15" s="57"/>
      <c r="F15" s="57"/>
      <c r="G15" s="57"/>
      <c r="H15" s="49"/>
      <c r="N15" s="3"/>
      <c r="O15" s="3"/>
      <c r="Q15" s="3"/>
    </row>
    <row r="16" spans="1:18" ht="14.4" customHeight="1" x14ac:dyDescent="0.3">
      <c r="A16" s="427" t="s">
        <v>1223</v>
      </c>
      <c r="B16" s="402"/>
      <c r="C16" s="402"/>
      <c r="D16" s="402"/>
      <c r="E16" s="402"/>
      <c r="F16" s="402"/>
      <c r="G16" s="402"/>
      <c r="H16" s="402"/>
    </row>
    <row r="17" spans="1:8" x14ac:dyDescent="0.3">
      <c r="A17" s="74" t="s">
        <v>1224</v>
      </c>
      <c r="C17" s="47">
        <f>Control!$B$31</f>
        <v>2.7505030181086521</v>
      </c>
      <c r="D17" s="75" t="s">
        <v>1225</v>
      </c>
      <c r="E17" s="3"/>
      <c r="F17" s="3"/>
      <c r="H17" s="3"/>
    </row>
    <row r="18" spans="1:8" x14ac:dyDescent="0.3">
      <c r="A18" s="74" t="s">
        <v>89</v>
      </c>
      <c r="C18" s="73">
        <f>Control!$B$28</f>
        <v>4500</v>
      </c>
      <c r="D18" s="75" t="s">
        <v>1226</v>
      </c>
    </row>
    <row r="19" spans="1:8" x14ac:dyDescent="0.3">
      <c r="A19" s="74" t="s">
        <v>91</v>
      </c>
      <c r="C19" s="73">
        <f>Control!$B$29</f>
        <v>1000</v>
      </c>
      <c r="D19" s="75" t="s">
        <v>1227</v>
      </c>
    </row>
    <row r="20" spans="1:8" x14ac:dyDescent="0.3">
      <c r="A20" s="74" t="s">
        <v>93</v>
      </c>
      <c r="C20" s="73">
        <f>Control!$B$32</f>
        <v>3700</v>
      </c>
      <c r="D20" s="75" t="s">
        <v>1226</v>
      </c>
    </row>
    <row r="21" spans="1:8" x14ac:dyDescent="0.3">
      <c r="A21" s="74" t="s">
        <v>95</v>
      </c>
      <c r="C21" s="73">
        <f>Control!$B$33</f>
        <v>750</v>
      </c>
      <c r="D21" s="75" t="s">
        <v>1227</v>
      </c>
    </row>
    <row r="23" spans="1:8" x14ac:dyDescent="0.3">
      <c r="A23" s="74" t="s">
        <v>1228</v>
      </c>
      <c r="D23" s="75" t="s">
        <v>1229</v>
      </c>
    </row>
    <row r="28" spans="1:8" ht="31.8" customHeight="1" x14ac:dyDescent="0.3"/>
    <row r="29" spans="1:8" ht="30" customHeight="1" x14ac:dyDescent="0.3"/>
  </sheetData>
  <mergeCells count="9">
    <mergeCell ref="A1:H1"/>
    <mergeCell ref="N5:R5"/>
    <mergeCell ref="A9:G9"/>
    <mergeCell ref="J10:R10"/>
    <mergeCell ref="A16:H16"/>
    <mergeCell ref="A2:H2"/>
    <mergeCell ref="N6:R6"/>
    <mergeCell ref="J2:Q2"/>
    <mergeCell ref="J8:R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27"/>
  <sheetViews>
    <sheetView showGridLines="0" zoomScaleNormal="100" workbookViewId="0">
      <pane ySplit="4" topLeftCell="A5" activePane="bottomLeft" state="frozen"/>
      <selection pane="bottomLeft" activeCell="H6" sqref="H6"/>
    </sheetView>
  </sheetViews>
  <sheetFormatPr defaultColWidth="8.6640625" defaultRowHeight="14.4" x14ac:dyDescent="0.3"/>
  <cols>
    <col min="1" max="1" width="14.44140625" style="22" customWidth="1"/>
    <col min="2" max="2" width="28.109375" style="22" bestFit="1" customWidth="1"/>
    <col min="3" max="3" width="5.88671875" style="22" bestFit="1" customWidth="1"/>
    <col min="4" max="4" width="9" style="22" bestFit="1" customWidth="1"/>
    <col min="5" max="5" width="9.6640625" style="22" bestFit="1" customWidth="1"/>
    <col min="6" max="6" width="6.88671875" style="22" bestFit="1" customWidth="1"/>
    <col min="7" max="7" width="6.33203125" style="22" bestFit="1" customWidth="1"/>
    <col min="8" max="8" width="9.44140625" style="22" bestFit="1" customWidth="1"/>
    <col min="9" max="9" width="6.33203125" style="22" bestFit="1" customWidth="1"/>
    <col min="10" max="10" width="10.109375" style="22" bestFit="1" customWidth="1"/>
    <col min="11" max="11" width="7.33203125" style="22" bestFit="1" customWidth="1"/>
    <col min="12" max="12" width="9.6640625" style="22" bestFit="1" customWidth="1"/>
    <col min="13" max="13" width="6.6640625" style="22" bestFit="1" customWidth="1"/>
    <col min="14" max="14" width="6.44140625" style="22" bestFit="1" customWidth="1"/>
    <col min="15" max="15" width="9.109375" style="22" bestFit="1" customWidth="1"/>
    <col min="16" max="16" width="12.5546875" style="22" bestFit="1" customWidth="1"/>
    <col min="17" max="17" width="11.5546875" style="22" bestFit="1" customWidth="1"/>
    <col min="18" max="23" width="8.6640625" style="22" customWidth="1"/>
    <col min="24" max="16384" width="8.6640625" style="22"/>
  </cols>
  <sheetData>
    <row r="1" spans="1:21" ht="17.399999999999999" customHeight="1" x14ac:dyDescent="0.3">
      <c r="A1" s="21" t="s">
        <v>1230</v>
      </c>
    </row>
    <row r="2" spans="1:21" x14ac:dyDescent="0.3">
      <c r="A2" s="23" t="s">
        <v>1231</v>
      </c>
    </row>
    <row r="4" spans="1:21" s="26" customFormat="1" ht="39.6" customHeight="1" x14ac:dyDescent="0.3">
      <c r="A4" s="24" t="s">
        <v>1232</v>
      </c>
      <c r="B4" s="24" t="s">
        <v>1233</v>
      </c>
      <c r="C4" s="25" t="s">
        <v>1234</v>
      </c>
      <c r="D4" s="25" t="s">
        <v>1235</v>
      </c>
      <c r="E4" s="25" t="s">
        <v>1236</v>
      </c>
      <c r="F4" s="25" t="s">
        <v>1237</v>
      </c>
      <c r="G4" s="261" t="s">
        <v>1238</v>
      </c>
      <c r="H4" s="261" t="s">
        <v>1239</v>
      </c>
      <c r="I4" s="261" t="s">
        <v>1240</v>
      </c>
      <c r="J4" s="261" t="s">
        <v>1241</v>
      </c>
      <c r="K4" s="261" t="s">
        <v>1242</v>
      </c>
      <c r="L4" s="261" t="s">
        <v>1243</v>
      </c>
      <c r="M4" s="261" t="s">
        <v>1244</v>
      </c>
      <c r="N4" s="261" t="s">
        <v>1245</v>
      </c>
      <c r="O4" s="25" t="s">
        <v>1046</v>
      </c>
      <c r="P4" s="25" t="s">
        <v>1246</v>
      </c>
      <c r="Q4" s="25" t="s">
        <v>1247</v>
      </c>
    </row>
    <row r="5" spans="1:21" x14ac:dyDescent="0.3">
      <c r="A5" s="27" t="s">
        <v>1248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21" x14ac:dyDescent="0.3">
      <c r="A6" s="29">
        <v>1</v>
      </c>
      <c r="B6" s="30" t="s">
        <v>1249</v>
      </c>
      <c r="C6" s="31">
        <v>1500</v>
      </c>
      <c r="D6" s="32">
        <v>950</v>
      </c>
      <c r="E6" s="31">
        <f>C6-D6</f>
        <v>550</v>
      </c>
      <c r="F6" s="33">
        <f>IF(C6=0,0,E6/C6)</f>
        <v>0.36666666666666664</v>
      </c>
      <c r="G6" s="34">
        <f>2+IF(AND(Control!$B$5&gt;0,Control!$B$6="Y",1&gt;=Control!$B$39),1,0)</f>
        <v>2</v>
      </c>
      <c r="H6" s="34">
        <f>Control!$B$20*(Control!$B$30*Control!$B$31+Control!$B$34*Control!$B$35+IF(AND(Control!$B$5&gt;0,Control!$B$6="Y",1&gt;=Control!$B$39),Control!$B$37*Control!$B$38,0))/(Control!$B$20*G6*I6)</f>
        <v>2.7206096428391442</v>
      </c>
      <c r="I6" s="249">
        <f>(Control!$B$30+Control!$B$34+IF(AND(Control!$B$5&gt;0,Control!$B$6="Y",1&gt;=Control!$B$39),Control!$B$37,0))/(2+IF(AND(Control!$B$5&gt;0,Control!$B$6="Y",1&gt;=Control!$B$39),1,0))</f>
        <v>0.65252175056842743</v>
      </c>
      <c r="J6" s="251">
        <f>Control!$B$20*(Control!$B$30*Control!$B$31+Control!$B$34*Control!$B$35+IF(AND(Control!$B$5&gt;0,Control!$B$6="Y",1&gt;=Control!$B$39),Control!$B$37*Control!$B$38,0))</f>
        <v>1295.9375857338821</v>
      </c>
      <c r="K6" s="249">
        <v>0.75</v>
      </c>
      <c r="L6" s="249">
        <v>0.15</v>
      </c>
      <c r="M6" s="256">
        <v>1</v>
      </c>
      <c r="N6" s="259">
        <f>J6*K6*L6*M6</f>
        <v>145.79297839506174</v>
      </c>
      <c r="O6" s="31">
        <f>C6*N6</f>
        <v>218689.46759259261</v>
      </c>
      <c r="P6" s="31">
        <f>D6*N6</f>
        <v>138503.32947530865</v>
      </c>
      <c r="Q6" s="35">
        <f>E6*N6</f>
        <v>80186.138117283961</v>
      </c>
    </row>
    <row r="7" spans="1:21" x14ac:dyDescent="0.3">
      <c r="A7" s="29">
        <v>2</v>
      </c>
      <c r="B7" s="30" t="s">
        <v>1250</v>
      </c>
      <c r="C7" s="31">
        <v>1300</v>
      </c>
      <c r="D7" s="32">
        <v>850</v>
      </c>
      <c r="E7" s="31">
        <f>C7-D7</f>
        <v>450</v>
      </c>
      <c r="F7" s="33">
        <f>IF(C7=0,0,E7/C7)</f>
        <v>0.34615384615384615</v>
      </c>
      <c r="G7" s="34">
        <f>2+IF(AND(Control!$B$5&gt;0,Control!$B$6="Y",1&gt;=Control!$B$39),1,0)</f>
        <v>2</v>
      </c>
      <c r="H7" s="34">
        <f>Control!$B$20*(Control!$B$30*Control!$B$31+Control!$B$34*Control!$B$35+IF(AND(Control!$B$5&gt;0,Control!$B$6="Y",1&gt;=Control!$B$39),Control!$B$37*Control!$B$38,0))/(Control!$B$20*G6*I6)</f>
        <v>2.7206096428391442</v>
      </c>
      <c r="I7" s="249">
        <f>(Control!$B$30+Control!$B$34+IF(AND(Control!$B$5&gt;0,Control!$B$6="Y",1&gt;=Control!$B$39),Control!$B$37,0))/(2+IF(AND(Control!$B$5&gt;0,Control!$B$6="Y",1&gt;=Control!$B$39),1,0))</f>
        <v>0.65252175056842743</v>
      </c>
      <c r="J7" s="251">
        <f>Control!$B$20*(Control!$B$30*Control!$B$31+Control!$B$34*Control!$B$35+IF(AND(Control!$B$5&gt;0,Control!$B$6="Y",1&gt;=Control!$B$39),Control!$B$37*Control!$B$38,0))</f>
        <v>1295.9375857338821</v>
      </c>
      <c r="K7" s="249">
        <f>K6</f>
        <v>0.75</v>
      </c>
      <c r="L7" s="249">
        <v>0.1</v>
      </c>
      <c r="M7" s="256">
        <v>1</v>
      </c>
      <c r="N7" s="259">
        <f>J7*K7*L7*M7</f>
        <v>97.195318930041168</v>
      </c>
      <c r="O7" s="31">
        <f>C7*N7</f>
        <v>126353.91460905352</v>
      </c>
      <c r="P7" s="31">
        <f>D7*N7</f>
        <v>82616.021090534996</v>
      </c>
      <c r="Q7" s="35">
        <f>E7*N7</f>
        <v>43737.893518518526</v>
      </c>
      <c r="U7" s="36"/>
    </row>
    <row r="8" spans="1:21" x14ac:dyDescent="0.3">
      <c r="A8" s="29">
        <v>3</v>
      </c>
      <c r="B8" s="30" t="s">
        <v>1251</v>
      </c>
      <c r="C8" s="31">
        <v>2795</v>
      </c>
      <c r="D8" s="32">
        <v>2129</v>
      </c>
      <c r="E8" s="31">
        <f>C8-D8</f>
        <v>666</v>
      </c>
      <c r="F8" s="33">
        <f>IF(C8=0,0,E8/C8)</f>
        <v>0.23828264758497317</v>
      </c>
      <c r="G8" s="34">
        <f>2+IF(AND(Control!$B$5&gt;0,Control!$B$6="Y",1&gt;=Control!$B$39),1,0)</f>
        <v>2</v>
      </c>
      <c r="H8" s="34">
        <f>Control!$B$20*(Control!$B$30*Control!$B$31+Control!$B$34*Control!$B$35+IF(AND(Control!$B$5&gt;0,Control!$B$6="Y",1&gt;=Control!$B$39),Control!$B$37*Control!$B$38,0))/(Control!$B$20*G6*I6)</f>
        <v>2.7206096428391442</v>
      </c>
      <c r="I8" s="249">
        <f>(Control!$B$30+Control!$B$34+IF(AND(Control!$B$5&gt;0,Control!$B$6="Y",1&gt;=Control!$B$39),Control!$B$37,0))/(2+IF(AND(Control!$B$5&gt;0,Control!$B$6="Y",1&gt;=Control!$B$39),1,0))</f>
        <v>0.65252175056842743</v>
      </c>
      <c r="J8" s="251">
        <f>Control!$B$20*(Control!$B$30*Control!$B$31+Control!$B$34*Control!$B$35+IF(AND(Control!$B$5&gt;0,Control!$B$6="Y",1&gt;=Control!$B$39),Control!$B$37*Control!$B$38,0))</f>
        <v>1295.9375857338821</v>
      </c>
      <c r="K8" s="249">
        <f>K7</f>
        <v>0.75</v>
      </c>
      <c r="L8" s="249">
        <v>0.15</v>
      </c>
      <c r="M8" s="256">
        <v>1</v>
      </c>
      <c r="N8" s="259">
        <f>J8*K8*L8*M8</f>
        <v>145.79297839506174</v>
      </c>
      <c r="O8" s="31">
        <f>C8*N8</f>
        <v>407491.37461419753</v>
      </c>
      <c r="P8" s="31">
        <f>D8*N8</f>
        <v>310393.25100308645</v>
      </c>
      <c r="Q8" s="35">
        <f>E8*N8</f>
        <v>97098.123611111121</v>
      </c>
    </row>
    <row r="9" spans="1:21" x14ac:dyDescent="0.3">
      <c r="A9" s="29">
        <v>4</v>
      </c>
      <c r="B9" s="30" t="s">
        <v>1252</v>
      </c>
      <c r="C9" s="31">
        <v>500</v>
      </c>
      <c r="D9" s="32">
        <f>225+((C9-225)*60%)</f>
        <v>390</v>
      </c>
      <c r="E9" s="31">
        <f>C9-D9</f>
        <v>110</v>
      </c>
      <c r="F9" s="33">
        <f>IF(C9=0,0,E9/C9)</f>
        <v>0.22</v>
      </c>
      <c r="G9" s="34">
        <f>2+IF(AND(Control!$B$5&gt;0,Control!$B$6="Y",1&gt;=Control!$B$39),1,0)</f>
        <v>2</v>
      </c>
      <c r="H9" s="34">
        <f>Control!$B$20*(Control!$B$30*Control!$B$31+Control!$B$34*Control!$B$35+IF(AND(Control!$B$5&gt;0,Control!$B$6="Y",1&gt;=Control!$B$39),Control!$B$37*Control!$B$38,0))/(Control!$B$20*G6*I6)</f>
        <v>2.7206096428391442</v>
      </c>
      <c r="I9" s="249">
        <f>(Control!$B$30+Control!$B$34+IF(AND(Control!$B$5&gt;0,Control!$B$6="Y",1&gt;=Control!$B$39),Control!$B$37,0))/(2+IF(AND(Control!$B$5&gt;0,Control!$B$6="Y",1&gt;=Control!$B$39),1,0))</f>
        <v>0.65252175056842743</v>
      </c>
      <c r="J9" s="251">
        <f>Control!$B$20*(Control!$B$30*Control!$B$31+Control!$B$34*Control!$B$35+IF(AND(Control!$B$5&gt;0,Control!$B$6="Y",1&gt;=Control!$B$39),Control!$B$37*Control!$B$38,0))</f>
        <v>1295.9375857338821</v>
      </c>
      <c r="K9" s="249">
        <f>K8</f>
        <v>0.75</v>
      </c>
      <c r="L9" s="254">
        <v>0.3</v>
      </c>
      <c r="M9" s="256">
        <v>1</v>
      </c>
      <c r="N9" s="259">
        <f>J9*K9*L9*M9</f>
        <v>291.58595679012348</v>
      </c>
      <c r="O9" s="31">
        <f>C9*N9</f>
        <v>145792.97839506174</v>
      </c>
      <c r="P9" s="31">
        <f>D9*N9</f>
        <v>113718.52314814816</v>
      </c>
      <c r="Q9" s="35">
        <f>E9*N9</f>
        <v>32074.455246913582</v>
      </c>
      <c r="T9" s="36"/>
    </row>
    <row r="10" spans="1:21" x14ac:dyDescent="0.3">
      <c r="A10" s="29">
        <v>5</v>
      </c>
      <c r="B10" s="30" t="s">
        <v>1253</v>
      </c>
      <c r="C10" s="31">
        <v>750</v>
      </c>
      <c r="D10" s="32">
        <v>400</v>
      </c>
      <c r="E10" s="31">
        <f>C10-D10</f>
        <v>350</v>
      </c>
      <c r="F10" s="33">
        <f>IF(C10=0,0,E10/C10)</f>
        <v>0.46666666666666667</v>
      </c>
      <c r="G10" s="34">
        <f>2+IF(AND(Control!$B$5&gt;0,Control!$B$6="Y",1&gt;=Control!$B$39),1,0)</f>
        <v>2</v>
      </c>
      <c r="H10" s="34">
        <f>Control!$B$20*(Control!$B$30*Control!$B$31+Control!$B$34*Control!$B$35+IF(AND(Control!$B$5&gt;0,Control!$B$6="Y",1&gt;=Control!$B$39),Control!$B$37*Control!$B$38,0))/(Control!$B$20*G6*I6)</f>
        <v>2.7206096428391442</v>
      </c>
      <c r="I10" s="249">
        <f>(Control!$B$30+Control!$B$34+IF(AND(Control!$B$5&gt;0,Control!$B$6="Y",1&gt;=Control!$B$39),Control!$B$37,0))/(2+IF(AND(Control!$B$5&gt;0,Control!$B$6="Y",1&gt;=Control!$B$39),1,0))</f>
        <v>0.65252175056842743</v>
      </c>
      <c r="J10" s="251">
        <f>Control!$B$20*(Control!$B$30*Control!$B$31+Control!$B$34*Control!$B$35+IF(AND(Control!$B$5&gt;0,Control!$B$6="Y",1&gt;=Control!$B$39),Control!$B$37*Control!$B$38,0))</f>
        <v>1295.9375857338821</v>
      </c>
      <c r="K10" s="249">
        <f>K9</f>
        <v>0.75</v>
      </c>
      <c r="L10" s="254">
        <v>0.05</v>
      </c>
      <c r="M10" s="256">
        <v>1</v>
      </c>
      <c r="N10" s="259">
        <f>J10*K10*L10*M10</f>
        <v>48.597659465020584</v>
      </c>
      <c r="O10" s="31">
        <f>C10*N10</f>
        <v>36448.244598765436</v>
      </c>
      <c r="P10" s="31">
        <f>D10*N10</f>
        <v>19439.063786008235</v>
      </c>
      <c r="Q10" s="35">
        <f>E10*N10</f>
        <v>17009.180812757204</v>
      </c>
    </row>
    <row r="11" spans="1:21" x14ac:dyDescent="0.3">
      <c r="A11" s="37"/>
      <c r="B11" s="38" t="s">
        <v>1254</v>
      </c>
      <c r="C11" s="37"/>
      <c r="D11" s="37"/>
      <c r="E11" s="37"/>
      <c r="F11" s="39">
        <f>IF(O11=0,0,Q11/O11)</f>
        <v>0.28895243046529773</v>
      </c>
      <c r="G11" s="39"/>
      <c r="H11" s="39"/>
      <c r="I11" s="39"/>
      <c r="J11" s="252"/>
      <c r="K11" s="39"/>
      <c r="L11" s="40"/>
      <c r="M11" s="257"/>
      <c r="N11" s="260"/>
      <c r="O11" s="41">
        <f>SUM(O6:O10)</f>
        <v>934775.97980967071</v>
      </c>
      <c r="P11" s="41">
        <f>SUM(P6:P10)</f>
        <v>664670.18850308657</v>
      </c>
      <c r="Q11" s="41">
        <f>SUM(Q6:Q10)</f>
        <v>270105.79130658443</v>
      </c>
    </row>
    <row r="12" spans="1:21" x14ac:dyDescent="0.3">
      <c r="A12" s="27" t="s">
        <v>1255</v>
      </c>
      <c r="B12" s="28"/>
      <c r="C12" s="28"/>
      <c r="D12" s="28"/>
      <c r="E12" s="28"/>
      <c r="F12" s="28"/>
      <c r="G12" s="28"/>
      <c r="H12" s="28"/>
      <c r="I12" s="250"/>
      <c r="J12" s="253"/>
      <c r="K12" s="250"/>
      <c r="L12" s="255"/>
      <c r="M12" s="258"/>
      <c r="N12" s="253"/>
      <c r="O12" s="28"/>
      <c r="P12" s="28"/>
      <c r="Q12" s="28"/>
    </row>
    <row r="13" spans="1:21" x14ac:dyDescent="0.3">
      <c r="A13" s="29">
        <v>6</v>
      </c>
      <c r="B13" s="30" t="s">
        <v>1256</v>
      </c>
      <c r="C13" s="31">
        <v>3000</v>
      </c>
      <c r="D13" s="32">
        <v>2300</v>
      </c>
      <c r="E13" s="31">
        <f>C13-D13</f>
        <v>700</v>
      </c>
      <c r="F13" s="33">
        <f>IF(C13=0,0,E13/C13)</f>
        <v>0.23333333333333334</v>
      </c>
      <c r="G13" s="34">
        <f>2+IF(AND(Control!$B$5&gt;0,Control!$B$6="Y",1&gt;=Control!$B$39),1,0)</f>
        <v>2</v>
      </c>
      <c r="H13" s="34">
        <f>Control!$B$20*(Control!$B$30*Control!$B$31+Control!$B$34*Control!$B$35+IF(AND(Control!$B$5&gt;0,Control!$B$6="Y",1&gt;=Control!$B$39),Control!$B$37*Control!$B$38,0))/(Control!$B$20*G6*I6)</f>
        <v>2.7206096428391442</v>
      </c>
      <c r="I13" s="249">
        <f>(Control!$B$30+Control!$B$34+IF(AND(Control!$B$5&gt;0,Control!$B$6="Y",1&gt;=Control!$B$39),Control!$B$37,0))/(2+IF(AND(Control!$B$5&gt;0,Control!$B$6="Y",1&gt;=Control!$B$39),1,0))</f>
        <v>0.65252175056842743</v>
      </c>
      <c r="J13" s="251">
        <f>Control!$B$20*(Control!$B$30*Control!$B$31+Control!$B$34*Control!$B$35+IF(AND(Control!$B$5&gt;0,Control!$B$6="Y",1&gt;=Control!$B$39),Control!$B$37*Control!$B$38,0))</f>
        <v>1295.9375857338821</v>
      </c>
      <c r="K13" s="249">
        <f>$K$6</f>
        <v>0.75</v>
      </c>
      <c r="L13" s="254">
        <v>0.1</v>
      </c>
      <c r="M13" s="256">
        <v>1</v>
      </c>
      <c r="N13" s="259">
        <f>J13*K13*L13*M13</f>
        <v>97.195318930041168</v>
      </c>
      <c r="O13" s="31">
        <f>C13*N13</f>
        <v>291585.95679012348</v>
      </c>
      <c r="P13" s="31">
        <f>D13*N13</f>
        <v>223549.23353909468</v>
      </c>
      <c r="Q13" s="35">
        <f>E13*N13</f>
        <v>68036.723251028816</v>
      </c>
    </row>
    <row r="14" spans="1:21" x14ac:dyDescent="0.3">
      <c r="A14" s="29">
        <v>7</v>
      </c>
      <c r="B14" s="30" t="s">
        <v>1257</v>
      </c>
      <c r="C14" s="31">
        <v>3000</v>
      </c>
      <c r="D14" s="32">
        <v>2300</v>
      </c>
      <c r="E14" s="31">
        <f>C14-D14</f>
        <v>700</v>
      </c>
      <c r="F14" s="33">
        <f>IF(C14=0,0,E14/C14)</f>
        <v>0.23333333333333334</v>
      </c>
      <c r="G14" s="34">
        <f>2+IF(AND(Control!$B$5&gt;0,Control!$B$6="Y",1&gt;=Control!$B$39),1,0)</f>
        <v>2</v>
      </c>
      <c r="H14" s="34">
        <f>Control!$B$20*(Control!$B$30*Control!$B$31+Control!$B$34*Control!$B$35+IF(AND(Control!$B$5&gt;0,Control!$B$6="Y",1&gt;=Control!$B$39),Control!$B$37*Control!$B$38,0))/(Control!$B$20*G6*I6)</f>
        <v>2.7206096428391442</v>
      </c>
      <c r="I14" s="249">
        <f>(Control!$B$30+Control!$B$34+IF(AND(Control!$B$5&gt;0,Control!$B$6="Y",1&gt;=Control!$B$39),Control!$B$37,0))/(2+IF(AND(Control!$B$5&gt;0,Control!$B$6="Y",1&gt;=Control!$B$39),1,0))</f>
        <v>0.65252175056842743</v>
      </c>
      <c r="J14" s="251">
        <f>Control!$B$20*(Control!$B$30*Control!$B$31+Control!$B$34*Control!$B$35+IF(AND(Control!$B$5&gt;0,Control!$B$6="Y",1&gt;=Control!$B$39),Control!$B$37*Control!$B$38,0))</f>
        <v>1295.9375857338821</v>
      </c>
      <c r="K14" s="249">
        <f>$K$6</f>
        <v>0.75</v>
      </c>
      <c r="L14" s="254">
        <v>0</v>
      </c>
      <c r="M14" s="256">
        <v>1</v>
      </c>
      <c r="N14" s="259">
        <f>J14*K14*L14*M14</f>
        <v>0</v>
      </c>
      <c r="O14" s="31">
        <f>C14*N14</f>
        <v>0</v>
      </c>
      <c r="P14" s="31">
        <f>D14*N14</f>
        <v>0</v>
      </c>
      <c r="Q14" s="35">
        <f>E14*N14</f>
        <v>0</v>
      </c>
    </row>
    <row r="15" spans="1:21" x14ac:dyDescent="0.3">
      <c r="A15" s="29">
        <v>8</v>
      </c>
      <c r="B15" s="30" t="s">
        <v>1258</v>
      </c>
      <c r="C15" s="31">
        <v>3000</v>
      </c>
      <c r="D15" s="32">
        <v>2300</v>
      </c>
      <c r="E15" s="31">
        <f>C15-D15</f>
        <v>700</v>
      </c>
      <c r="F15" s="33">
        <f>IF(C15=0,0,E15/C15)</f>
        <v>0.23333333333333334</v>
      </c>
      <c r="G15" s="34">
        <f>2+IF(AND(Control!$B$5&gt;0,Control!$B$6="Y",1&gt;=Control!$B$39),1,0)</f>
        <v>2</v>
      </c>
      <c r="H15" s="34">
        <f>Control!$B$20*(Control!$B$30*Control!$B$31+Control!$B$34*Control!$B$35+IF(AND(Control!$B$5&gt;0,Control!$B$6="Y",1&gt;=Control!$B$39),Control!$B$37*Control!$B$38,0))/(Control!$B$20*G6*I6)</f>
        <v>2.7206096428391442</v>
      </c>
      <c r="I15" s="249">
        <f>(Control!$B$30+Control!$B$34+IF(AND(Control!$B$5&gt;0,Control!$B$6="Y",1&gt;=Control!$B$39),Control!$B$37,0))/(2+IF(AND(Control!$B$5&gt;0,Control!$B$6="Y",1&gt;=Control!$B$39),1,0))</f>
        <v>0.65252175056842743</v>
      </c>
      <c r="J15" s="251">
        <f>Control!$B$20*(Control!$B$30*Control!$B$31+Control!$B$34*Control!$B$35+IF(AND(Control!$B$5&gt;0,Control!$B$6="Y",1&gt;=Control!$B$39),Control!$B$37*Control!$B$38,0))</f>
        <v>1295.9375857338821</v>
      </c>
      <c r="K15" s="249">
        <f>$K$6</f>
        <v>0.75</v>
      </c>
      <c r="L15" s="254">
        <v>0.05</v>
      </c>
      <c r="M15" s="256">
        <v>1</v>
      </c>
      <c r="N15" s="259">
        <f>J15*K15*L15*M15</f>
        <v>48.597659465020584</v>
      </c>
      <c r="O15" s="31">
        <f>C15*N15</f>
        <v>145792.97839506174</v>
      </c>
      <c r="P15" s="31">
        <f>D15*N15</f>
        <v>111774.61676954734</v>
      </c>
      <c r="Q15" s="35">
        <f>E15*N15</f>
        <v>34018.361625514408</v>
      </c>
    </row>
    <row r="16" spans="1:21" x14ac:dyDescent="0.3">
      <c r="A16" s="29">
        <v>9</v>
      </c>
      <c r="B16" s="30" t="s">
        <v>1259</v>
      </c>
      <c r="C16" s="31">
        <v>3000</v>
      </c>
      <c r="D16" s="32">
        <v>2300</v>
      </c>
      <c r="E16" s="31">
        <f>C16-D16</f>
        <v>700</v>
      </c>
      <c r="F16" s="33">
        <f>IF(C16=0,0,E16/C16)</f>
        <v>0.23333333333333334</v>
      </c>
      <c r="G16" s="34">
        <f>2+IF(AND(Control!$B$5&gt;0,Control!$B$6="Y",1&gt;=Control!$B$39),1,0)</f>
        <v>2</v>
      </c>
      <c r="H16" s="34">
        <f>Control!$B$20*(Control!$B$30*Control!$B$31+Control!$B$34*Control!$B$35+IF(AND(Control!$B$5&gt;0,Control!$B$6="Y",1&gt;=Control!$B$39),Control!$B$37*Control!$B$38,0))/(Control!$B$20*G6*I6)</f>
        <v>2.7206096428391442</v>
      </c>
      <c r="I16" s="249">
        <f>(Control!$B$30+Control!$B$34+IF(AND(Control!$B$5&gt;0,Control!$B$6="Y",1&gt;=Control!$B$39),Control!$B$37,0))/(2+IF(AND(Control!$B$5&gt;0,Control!$B$6="Y",1&gt;=Control!$B$39),1,0))</f>
        <v>0.65252175056842743</v>
      </c>
      <c r="J16" s="251">
        <f>Control!$B$20*(Control!$B$30*Control!$B$31+Control!$B$34*Control!$B$35+IF(AND(Control!$B$5&gt;0,Control!$B$6="Y",1&gt;=Control!$B$39),Control!$B$37*Control!$B$38,0))</f>
        <v>1295.9375857338821</v>
      </c>
      <c r="K16" s="249">
        <f>$K$6</f>
        <v>0.75</v>
      </c>
      <c r="L16" s="254">
        <v>0.1</v>
      </c>
      <c r="M16" s="256">
        <v>1</v>
      </c>
      <c r="N16" s="259">
        <f>J16*K16*L16*M16</f>
        <v>97.195318930041168</v>
      </c>
      <c r="O16" s="31">
        <f>C16*N16</f>
        <v>291585.95679012348</v>
      </c>
      <c r="P16" s="31">
        <f>D16*N16</f>
        <v>223549.23353909468</v>
      </c>
      <c r="Q16" s="35">
        <f>E16*N16</f>
        <v>68036.723251028816</v>
      </c>
    </row>
    <row r="17" spans="1:17" x14ac:dyDescent="0.3">
      <c r="A17" s="29">
        <v>10</v>
      </c>
      <c r="B17" s="30" t="s">
        <v>1260</v>
      </c>
      <c r="C17" s="31">
        <v>2500</v>
      </c>
      <c r="D17" s="32">
        <v>1900</v>
      </c>
      <c r="E17" s="31">
        <f>C17-D17</f>
        <v>600</v>
      </c>
      <c r="F17" s="33">
        <f>IF(C17=0,0,E17/C17)</f>
        <v>0.24</v>
      </c>
      <c r="G17" s="34">
        <f>2+IF(AND(Control!$B$5&gt;0,Control!$B$6="Y",1&gt;=Control!$B$39),1,0)</f>
        <v>2</v>
      </c>
      <c r="H17" s="34">
        <f>Control!$B$20*(Control!$B$30*Control!$B$31+Control!$B$34*Control!$B$35+IF(AND(Control!$B$5&gt;0,Control!$B$6="Y",1&gt;=Control!$B$39),Control!$B$37*Control!$B$38,0))/(Control!$B$20*G6*I6)</f>
        <v>2.7206096428391442</v>
      </c>
      <c r="I17" s="249">
        <f>(Control!$B$30+Control!$B$34+IF(AND(Control!$B$5&gt;0,Control!$B$6="Y",1&gt;=Control!$B$39),Control!$B$37,0))/(2+IF(AND(Control!$B$5&gt;0,Control!$B$6="Y",1&gt;=Control!$B$39),1,0))</f>
        <v>0.65252175056842743</v>
      </c>
      <c r="J17" s="251">
        <f>Control!$B$20*(Control!$B$30*Control!$B$31+Control!$B$34*Control!$B$35+IF(AND(Control!$B$5&gt;0,Control!$B$6="Y",1&gt;=Control!$B$39),Control!$B$37*Control!$B$38,0))</f>
        <v>1295.9375857338821</v>
      </c>
      <c r="K17" s="249">
        <f>$K$6</f>
        <v>0.75</v>
      </c>
      <c r="L17" s="254">
        <v>0.02</v>
      </c>
      <c r="M17" s="256">
        <v>1</v>
      </c>
      <c r="N17" s="259">
        <f>J17*K17*L17*M17</f>
        <v>19.439063786008234</v>
      </c>
      <c r="O17" s="31">
        <f>C17*N17</f>
        <v>48597.659465020581</v>
      </c>
      <c r="P17" s="31">
        <f>D17*N17</f>
        <v>36934.221193415644</v>
      </c>
      <c r="Q17" s="35">
        <f>E17*N17</f>
        <v>11663.43827160494</v>
      </c>
    </row>
    <row r="18" spans="1:17" x14ac:dyDescent="0.3">
      <c r="A18" s="37"/>
      <c r="B18" s="38" t="s">
        <v>1261</v>
      </c>
      <c r="C18" s="37"/>
      <c r="D18" s="37"/>
      <c r="E18" s="37"/>
      <c r="F18" s="39">
        <f>IF(O18=0,0,Q18/O18)</f>
        <v>0.23375000000000004</v>
      </c>
      <c r="G18" s="39"/>
      <c r="H18" s="39"/>
      <c r="I18" s="39"/>
      <c r="J18" s="252"/>
      <c r="K18" s="39"/>
      <c r="L18" s="40"/>
      <c r="M18" s="257"/>
      <c r="N18" s="260"/>
      <c r="O18" s="41">
        <f>SUM(O13:O17)</f>
        <v>777562.55144032929</v>
      </c>
      <c r="P18" s="41">
        <f>SUM(P13:P17)</f>
        <v>595807.3050411524</v>
      </c>
      <c r="Q18" s="41">
        <f>SUM(Q13:Q17)</f>
        <v>181755.24639917701</v>
      </c>
    </row>
    <row r="19" spans="1:17" x14ac:dyDescent="0.3">
      <c r="A19" s="27" t="s">
        <v>1262</v>
      </c>
      <c r="B19" s="28"/>
      <c r="C19" s="28"/>
      <c r="D19" s="28"/>
      <c r="E19" s="28"/>
      <c r="F19" s="28"/>
      <c r="G19" s="28"/>
      <c r="H19" s="28"/>
      <c r="I19" s="250"/>
      <c r="J19" s="253"/>
      <c r="K19" s="250"/>
      <c r="L19" s="255"/>
      <c r="M19" s="258"/>
      <c r="N19" s="253"/>
      <c r="O19" s="28"/>
      <c r="P19" s="28"/>
      <c r="Q19" s="28"/>
    </row>
    <row r="20" spans="1:17" x14ac:dyDescent="0.3">
      <c r="A20" s="29">
        <v>11</v>
      </c>
      <c r="B20" s="30" t="s">
        <v>1263</v>
      </c>
      <c r="C20" s="31">
        <v>1150</v>
      </c>
      <c r="D20" s="32">
        <v>800</v>
      </c>
      <c r="E20" s="31">
        <f>C20-D20</f>
        <v>350</v>
      </c>
      <c r="F20" s="33">
        <f>IF(C20=0,0,E20/C20)</f>
        <v>0.30434782608695654</v>
      </c>
      <c r="G20" s="34">
        <f>2+IF(AND(Control!$B$5&gt;0,Control!$B$6="Y",1&gt;=Control!$B$39),1,0)</f>
        <v>2</v>
      </c>
      <c r="H20" s="34">
        <f>Control!$B$20*(Control!$B$30*Control!$B$31+Control!$B$34*Control!$B$35+IF(AND(Control!$B$5&gt;0,Control!$B$6="Y",1&gt;=Control!$B$39),Control!$B$37*Control!$B$38,0))/(Control!$B$20*G6*I6)</f>
        <v>2.7206096428391442</v>
      </c>
      <c r="I20" s="249">
        <f>(Control!$B$30+Control!$B$34+IF(AND(Control!$B$5&gt;0,Control!$B$6="Y",1&gt;=Control!$B$39),Control!$B$37,0))/(2+IF(AND(Control!$B$5&gt;0,Control!$B$6="Y",1&gt;=Control!$B$39),1,0))</f>
        <v>0.65252175056842743</v>
      </c>
      <c r="J20" s="251">
        <f>Control!$B$20*(Control!$B$30*Control!$B$31+Control!$B$34*Control!$B$35+IF(AND(Control!$B$5&gt;0,Control!$B$6="Y",1&gt;=Control!$B$39),Control!$B$37*Control!$B$38,0))</f>
        <v>1295.9375857338821</v>
      </c>
      <c r="K20" s="249">
        <f>$K$6</f>
        <v>0.75</v>
      </c>
      <c r="L20" s="254">
        <v>0.05</v>
      </c>
      <c r="M20" s="256">
        <v>1</v>
      </c>
      <c r="N20" s="259">
        <f>J20*K20*L20*M20</f>
        <v>48.597659465020584</v>
      </c>
      <c r="O20" s="31">
        <f>C20*N20</f>
        <v>55887.308384773671</v>
      </c>
      <c r="P20" s="31">
        <f>D20*N20</f>
        <v>38878.12757201647</v>
      </c>
      <c r="Q20" s="35">
        <f>E20*N20</f>
        <v>17009.180812757204</v>
      </c>
    </row>
    <row r="21" spans="1:17" x14ac:dyDescent="0.3">
      <c r="A21" s="29">
        <v>12</v>
      </c>
      <c r="B21" s="30" t="s">
        <v>1264</v>
      </c>
      <c r="C21" s="31">
        <v>1450</v>
      </c>
      <c r="D21" s="32">
        <v>1000</v>
      </c>
      <c r="E21" s="31">
        <f>C21-D21</f>
        <v>450</v>
      </c>
      <c r="F21" s="33">
        <f>IF(C21=0,0,E21/C21)</f>
        <v>0.31034482758620691</v>
      </c>
      <c r="G21" s="34">
        <f>2+IF(AND(Control!$B$5&gt;0,Control!$B$6="Y",1&gt;=Control!$B$39),1,0)</f>
        <v>2</v>
      </c>
      <c r="H21" s="34">
        <f>Control!$B$20*(Control!$B$30*Control!$B$31+Control!$B$34*Control!$B$35+IF(AND(Control!$B$5&gt;0,Control!$B$6="Y",1&gt;=Control!$B$39),Control!$B$37*Control!$B$38,0))/(Control!$B$20*G6*I6)</f>
        <v>2.7206096428391442</v>
      </c>
      <c r="I21" s="249">
        <f>(Control!$B$30+Control!$B$34+IF(AND(Control!$B$5&gt;0,Control!$B$6="Y",1&gt;=Control!$B$39),Control!$B$37,0))/(2+IF(AND(Control!$B$5&gt;0,Control!$B$6="Y",1&gt;=Control!$B$39),1,0))</f>
        <v>0.65252175056842743</v>
      </c>
      <c r="J21" s="251">
        <f>Control!$B$20*(Control!$B$30*Control!$B$31+Control!$B$34*Control!$B$35+IF(AND(Control!$B$5&gt;0,Control!$B$6="Y",1&gt;=Control!$B$39),Control!$B$37*Control!$B$38,0))</f>
        <v>1295.9375857338821</v>
      </c>
      <c r="K21" s="249">
        <f>$K$6</f>
        <v>0.75</v>
      </c>
      <c r="L21" s="254">
        <v>0.05</v>
      </c>
      <c r="M21" s="256">
        <v>1</v>
      </c>
      <c r="N21" s="259">
        <f>J21*K21*L21*M21</f>
        <v>48.597659465020584</v>
      </c>
      <c r="O21" s="31">
        <f>C21*N21</f>
        <v>70466.606224279851</v>
      </c>
      <c r="P21" s="31">
        <f>D21*N21</f>
        <v>48597.659465020581</v>
      </c>
      <c r="Q21" s="35">
        <f>E21*N21</f>
        <v>21868.946759259263</v>
      </c>
    </row>
    <row r="22" spans="1:17" x14ac:dyDescent="0.3">
      <c r="A22" s="29">
        <v>13</v>
      </c>
      <c r="B22" s="30" t="s">
        <v>1265</v>
      </c>
      <c r="C22" s="31">
        <v>995</v>
      </c>
      <c r="D22" s="32">
        <v>600</v>
      </c>
      <c r="E22" s="31">
        <f>C22-D22</f>
        <v>395</v>
      </c>
      <c r="F22" s="33">
        <f>IF(C22=0,0,E22/C22)</f>
        <v>0.39698492462311558</v>
      </c>
      <c r="G22" s="34">
        <f>2+IF(AND(Control!$B$5&gt;0,Control!$B$6="Y",1&gt;=Control!$B$39),1,0)</f>
        <v>2</v>
      </c>
      <c r="H22" s="34">
        <f>Control!$B$20*(Control!$B$30*Control!$B$31+Control!$B$34*Control!$B$35+IF(AND(Control!$B$5&gt;0,Control!$B$6="Y",1&gt;=Control!$B$39),Control!$B$37*Control!$B$38,0))/(Control!$B$20*G6*I6)</f>
        <v>2.7206096428391442</v>
      </c>
      <c r="I22" s="249">
        <f>(Control!$B$30+Control!$B$34+IF(AND(Control!$B$5&gt;0,Control!$B$6="Y",1&gt;=Control!$B$39),Control!$B$37,0))/(2+IF(AND(Control!$B$5&gt;0,Control!$B$6="Y",1&gt;=Control!$B$39),1,0))</f>
        <v>0.65252175056842743</v>
      </c>
      <c r="J22" s="251">
        <f>Control!$B$20*(Control!$B$30*Control!$B$31+Control!$B$34*Control!$B$35+IF(AND(Control!$B$5&gt;0,Control!$B$6="Y",1&gt;=Control!$B$39),Control!$B$37*Control!$B$38,0))</f>
        <v>1295.9375857338821</v>
      </c>
      <c r="K22" s="249">
        <f>$K$6</f>
        <v>0.75</v>
      </c>
      <c r="L22" s="254">
        <v>0.1</v>
      </c>
      <c r="M22" s="256">
        <v>1</v>
      </c>
      <c r="N22" s="259">
        <f>J22*K22*L22*M22</f>
        <v>97.195318930041168</v>
      </c>
      <c r="O22" s="31">
        <f>C22*N22</f>
        <v>96709.34233539096</v>
      </c>
      <c r="P22" s="31">
        <f>D22*N22</f>
        <v>58317.191358024698</v>
      </c>
      <c r="Q22" s="35">
        <f>E22*N22</f>
        <v>38392.150977366262</v>
      </c>
    </row>
    <row r="23" spans="1:17" x14ac:dyDescent="0.3">
      <c r="A23" s="37"/>
      <c r="B23" s="38" t="s">
        <v>1266</v>
      </c>
      <c r="C23" s="37"/>
      <c r="D23" s="37"/>
      <c r="E23" s="37"/>
      <c r="F23" s="39">
        <f>IF(O23=0,0,Q23/O23)</f>
        <v>0.34640522875816987</v>
      </c>
      <c r="G23" s="39"/>
      <c r="H23" s="39"/>
      <c r="I23" s="39"/>
      <c r="J23" s="252"/>
      <c r="K23" s="39"/>
      <c r="L23" s="40"/>
      <c r="M23" s="257"/>
      <c r="N23" s="260"/>
      <c r="O23" s="41">
        <f>SUM(O20:O22)</f>
        <v>223063.2569444445</v>
      </c>
      <c r="P23" s="41">
        <f>SUM(P20:P22)</f>
        <v>145792.97839506174</v>
      </c>
      <c r="Q23" s="41">
        <f>SUM(Q20:Q22)</f>
        <v>77270.278549382725</v>
      </c>
    </row>
    <row r="24" spans="1:17" x14ac:dyDescent="0.3">
      <c r="A24" s="27" t="s">
        <v>1267</v>
      </c>
      <c r="B24" s="28"/>
      <c r="C24" s="28"/>
      <c r="D24" s="28"/>
      <c r="E24" s="28"/>
      <c r="F24" s="28"/>
      <c r="G24" s="28"/>
      <c r="H24" s="28"/>
      <c r="I24" s="250"/>
      <c r="J24" s="253"/>
      <c r="K24" s="250"/>
      <c r="L24" s="255"/>
      <c r="M24" s="258"/>
      <c r="N24" s="253"/>
      <c r="O24" s="28"/>
      <c r="P24" s="28"/>
      <c r="Q24" s="28"/>
    </row>
    <row r="25" spans="1:17" x14ac:dyDescent="0.3">
      <c r="A25" s="29">
        <v>14</v>
      </c>
      <c r="B25" s="30" t="s">
        <v>1268</v>
      </c>
      <c r="C25" s="31">
        <v>1700</v>
      </c>
      <c r="D25" s="32">
        <v>1350</v>
      </c>
      <c r="E25" s="31">
        <f>C25-D25</f>
        <v>350</v>
      </c>
      <c r="F25" s="33">
        <f>IF(C25=0,0,E25/C25)</f>
        <v>0.20588235294117646</v>
      </c>
      <c r="G25" s="34">
        <f>2+IF(AND(Control!$B$5&gt;0,Control!$B$6="Y",1&gt;=Control!$B$39),1,0)</f>
        <v>2</v>
      </c>
      <c r="H25" s="34">
        <f>Control!$B$20*(Control!$B$30*Control!$B$31+Control!$B$34*Control!$B$35+IF(AND(Control!$B$5&gt;0,Control!$B$6="Y",1&gt;=Control!$B$39),Control!$B$37*Control!$B$38,0))/(Control!$B$20*G6*I6)</f>
        <v>2.7206096428391442</v>
      </c>
      <c r="I25" s="249">
        <f>(Control!$B$30+Control!$B$34+IF(AND(Control!$B$5&gt;0,Control!$B$6="Y",1&gt;=Control!$B$39),Control!$B$37,0))/(2+IF(AND(Control!$B$5&gt;0,Control!$B$6="Y",1&gt;=Control!$B$39),1,0))</f>
        <v>0.65252175056842743</v>
      </c>
      <c r="J25" s="251">
        <f>Control!$B$20*(Control!$B$30*Control!$B$31+Control!$B$34*Control!$B$35+IF(AND(Control!$B$5&gt;0,Control!$B$6="Y",1&gt;=Control!$B$39),Control!$B$37*Control!$B$38,0))</f>
        <v>1295.9375857338821</v>
      </c>
      <c r="K25" s="249">
        <v>1</v>
      </c>
      <c r="L25" s="254">
        <v>0.05</v>
      </c>
      <c r="M25" s="256">
        <v>1</v>
      </c>
      <c r="N25" s="259">
        <f>J25*K25*L25*M25</f>
        <v>64.796879286694107</v>
      </c>
      <c r="O25" s="31">
        <f>C25*N25</f>
        <v>110154.69478737998</v>
      </c>
      <c r="P25" s="31">
        <f>D25*N25</f>
        <v>87475.787037037051</v>
      </c>
      <c r="Q25" s="35">
        <f>E25*N25</f>
        <v>22678.907750342936</v>
      </c>
    </row>
    <row r="26" spans="1:17" x14ac:dyDescent="0.3">
      <c r="A26" s="37"/>
      <c r="B26" s="38" t="s">
        <v>1269</v>
      </c>
      <c r="C26" s="37"/>
      <c r="D26" s="37"/>
      <c r="E26" s="37"/>
      <c r="F26" s="39">
        <f>IF(O26=0,0,Q26/O26)</f>
        <v>0.20588235294117646</v>
      </c>
      <c r="G26" s="39"/>
      <c r="H26" s="39"/>
      <c r="I26" s="39"/>
      <c r="J26" s="39"/>
      <c r="K26" s="39"/>
      <c r="L26" s="39"/>
      <c r="M26" s="39"/>
      <c r="N26" s="37"/>
      <c r="O26" s="41">
        <f>SUM(O25:O25)</f>
        <v>110154.69478737998</v>
      </c>
      <c r="P26" s="41">
        <f>SUM(P25:P25)</f>
        <v>87475.787037037051</v>
      </c>
      <c r="Q26" s="41">
        <f>SUM(Q25:Q25)</f>
        <v>22678.907750342936</v>
      </c>
    </row>
    <row r="27" spans="1:17" x14ac:dyDescent="0.3">
      <c r="A27" s="42"/>
      <c r="B27" s="43" t="s">
        <v>1270</v>
      </c>
      <c r="C27" s="42"/>
      <c r="D27" s="42"/>
      <c r="E27" s="42"/>
      <c r="F27" s="44">
        <f>IF(O27=0,0,Q27/O27)</f>
        <v>0.26976044347653938</v>
      </c>
      <c r="G27" s="44"/>
      <c r="H27" s="44"/>
      <c r="I27" s="44"/>
      <c r="J27" s="44"/>
      <c r="K27" s="44"/>
      <c r="L27" s="44"/>
      <c r="M27" s="44"/>
      <c r="N27" s="42"/>
      <c r="O27" s="45">
        <f>O11+O18+O23+O26</f>
        <v>2045556.4829818245</v>
      </c>
      <c r="P27" s="45">
        <f>P11+P18+P23+P26</f>
        <v>1493746.258976338</v>
      </c>
      <c r="Q27" s="45">
        <f>Q11+Q18+Q23+Q26</f>
        <v>551810.22400548717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AD47"/>
  </sheetPr>
  <dimension ref="A1:C18"/>
  <sheetViews>
    <sheetView workbookViewId="0">
      <selection activeCell="B8" sqref="B8"/>
    </sheetView>
  </sheetViews>
  <sheetFormatPr defaultRowHeight="14.4" x14ac:dyDescent="0.3"/>
  <cols>
    <col min="1" max="1" width="8" style="19" customWidth="1"/>
    <col min="2" max="2" width="54.109375" style="19" customWidth="1"/>
    <col min="3" max="3" width="127.6640625" style="19" customWidth="1"/>
    <col min="4" max="7" width="8.88671875" style="19" customWidth="1"/>
    <col min="8" max="16384" width="8.88671875" style="19"/>
  </cols>
  <sheetData>
    <row r="1" spans="1:3" ht="18" customHeight="1" x14ac:dyDescent="0.3">
      <c r="A1" s="18" t="s">
        <v>1271</v>
      </c>
    </row>
    <row r="3" spans="1:3" x14ac:dyDescent="0.3">
      <c r="A3" s="92" t="s">
        <v>1272</v>
      </c>
      <c r="B3" s="92" t="s">
        <v>1273</v>
      </c>
      <c r="C3" s="92" t="s">
        <v>1274</v>
      </c>
    </row>
    <row r="4" spans="1:3" ht="28.8" customHeight="1" x14ac:dyDescent="0.3">
      <c r="A4" s="20" t="s">
        <v>1275</v>
      </c>
      <c r="B4" s="3" t="s">
        <v>1276</v>
      </c>
      <c r="C4" s="3" t="s">
        <v>1277</v>
      </c>
    </row>
    <row r="5" spans="1:3" ht="28.8" customHeight="1" x14ac:dyDescent="0.3">
      <c r="A5" s="20" t="s">
        <v>1278</v>
      </c>
      <c r="B5" s="78" t="s">
        <v>1279</v>
      </c>
      <c r="C5" s="3" t="s">
        <v>1280</v>
      </c>
    </row>
    <row r="6" spans="1:3" ht="28.8" customHeight="1" x14ac:dyDescent="0.3">
      <c r="A6" s="20" t="s">
        <v>1281</v>
      </c>
      <c r="B6" s="3" t="s">
        <v>1282</v>
      </c>
      <c r="C6" s="3" t="s">
        <v>1283</v>
      </c>
    </row>
    <row r="7" spans="1:3" ht="28.8" customHeight="1" x14ac:dyDescent="0.3">
      <c r="A7" s="20" t="s">
        <v>1284</v>
      </c>
      <c r="B7" s="3" t="s">
        <v>1285</v>
      </c>
      <c r="C7" s="3" t="s">
        <v>1286</v>
      </c>
    </row>
    <row r="8" spans="1:3" x14ac:dyDescent="0.3">
      <c r="A8" s="20" t="s">
        <v>1287</v>
      </c>
      <c r="B8" s="78" t="s">
        <v>1288</v>
      </c>
      <c r="C8" s="3" t="s">
        <v>1289</v>
      </c>
    </row>
    <row r="9" spans="1:3" ht="28.8" customHeight="1" x14ac:dyDescent="0.3">
      <c r="A9" s="20" t="s">
        <v>1290</v>
      </c>
      <c r="B9" s="3" t="s">
        <v>1291</v>
      </c>
      <c r="C9" s="3" t="s">
        <v>1292</v>
      </c>
    </row>
    <row r="10" spans="1:3" ht="28.8" customHeight="1" x14ac:dyDescent="0.3">
      <c r="A10" s="20" t="s">
        <v>1290</v>
      </c>
      <c r="B10" s="3" t="s">
        <v>1293</v>
      </c>
      <c r="C10" s="3" t="s">
        <v>1294</v>
      </c>
    </row>
    <row r="11" spans="1:3" ht="28.8" customHeight="1" x14ac:dyDescent="0.3">
      <c r="A11" s="93" t="s">
        <v>1290</v>
      </c>
      <c r="B11" s="3" t="s">
        <v>1295</v>
      </c>
      <c r="C11" s="3" t="s">
        <v>1296</v>
      </c>
    </row>
    <row r="12" spans="1:3" x14ac:dyDescent="0.3">
      <c r="A12" t="s">
        <v>1297</v>
      </c>
      <c r="B12" t="s">
        <v>1298</v>
      </c>
      <c r="C12" t="s">
        <v>1299</v>
      </c>
    </row>
    <row r="14" spans="1:3" x14ac:dyDescent="0.3">
      <c r="A14" t="s">
        <v>1300</v>
      </c>
      <c r="B14" t="s">
        <v>1301</v>
      </c>
      <c r="C14" t="s">
        <v>1302</v>
      </c>
    </row>
    <row r="15" spans="1:3" x14ac:dyDescent="0.3">
      <c r="A15" t="s">
        <v>1303</v>
      </c>
      <c r="B15" t="s">
        <v>1304</v>
      </c>
      <c r="C15" t="s">
        <v>1305</v>
      </c>
    </row>
    <row r="16" spans="1:3" x14ac:dyDescent="0.3">
      <c r="A16" t="s">
        <v>1306</v>
      </c>
      <c r="B16" t="s">
        <v>1307</v>
      </c>
      <c r="C16" t="s">
        <v>1308</v>
      </c>
    </row>
    <row r="17" spans="1:3" x14ac:dyDescent="0.3">
      <c r="A17" t="s">
        <v>1309</v>
      </c>
      <c r="B17" t="s">
        <v>1310</v>
      </c>
      <c r="C17" t="s">
        <v>1311</v>
      </c>
    </row>
    <row r="18" spans="1:3" x14ac:dyDescent="0.3">
      <c r="A18" t="s">
        <v>1312</v>
      </c>
      <c r="B18" t="s">
        <v>1313</v>
      </c>
      <c r="C18" t="s">
        <v>1314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5"/>
  <sheetViews>
    <sheetView workbookViewId="0">
      <selection activeCell="B14" sqref="B14"/>
    </sheetView>
  </sheetViews>
  <sheetFormatPr defaultRowHeight="14.4" x14ac:dyDescent="0.3"/>
  <cols>
    <col min="1" max="1" width="46" customWidth="1"/>
    <col min="2" max="2" width="16" customWidth="1"/>
    <col min="3" max="3" width="62" customWidth="1"/>
  </cols>
  <sheetData>
    <row r="1" spans="1:3" ht="17.399999999999999" customHeight="1" x14ac:dyDescent="0.35">
      <c r="A1" s="270" t="s">
        <v>1315</v>
      </c>
    </row>
    <row r="2" spans="1:3" x14ac:dyDescent="0.3">
      <c r="A2" s="271" t="s">
        <v>1316</v>
      </c>
    </row>
    <row r="4" spans="1:3" x14ac:dyDescent="0.3">
      <c r="A4" s="272" t="s">
        <v>1317</v>
      </c>
    </row>
    <row r="5" spans="1:3" x14ac:dyDescent="0.3">
      <c r="A5" s="273" t="s">
        <v>1318</v>
      </c>
      <c r="B5" s="276">
        <v>0</v>
      </c>
      <c r="C5" s="275" t="s">
        <v>1319</v>
      </c>
    </row>
    <row r="6" spans="1:3" x14ac:dyDescent="0.3">
      <c r="A6" s="273" t="s">
        <v>1320</v>
      </c>
      <c r="B6" s="276">
        <v>2200000</v>
      </c>
      <c r="C6" s="275" t="s">
        <v>1321</v>
      </c>
    </row>
    <row r="7" spans="1:3" x14ac:dyDescent="0.3">
      <c r="A7" s="273" t="s">
        <v>1322</v>
      </c>
      <c r="B7" s="276">
        <v>2000000</v>
      </c>
      <c r="C7" s="275" t="s">
        <v>1321</v>
      </c>
    </row>
    <row r="8" spans="1:3" x14ac:dyDescent="0.3">
      <c r="A8" s="273" t="s">
        <v>1323</v>
      </c>
      <c r="B8" s="278">
        <f>IF(Control!$B$5&gt;0,B5,0)+IF(Control!$B$7&gt;0,B6,0)+IF(Control!$B$8&gt;0,B7,0)</f>
        <v>4200000</v>
      </c>
    </row>
    <row r="10" spans="1:3" x14ac:dyDescent="0.3">
      <c r="A10" s="272" t="s">
        <v>1324</v>
      </c>
    </row>
    <row r="11" spans="1:3" x14ac:dyDescent="0.3">
      <c r="A11" s="273" t="s">
        <v>1325</v>
      </c>
      <c r="B11" s="278">
        <f>Valuation!F9</f>
        <v>12900000</v>
      </c>
      <c r="C11" s="275" t="s">
        <v>1326</v>
      </c>
    </row>
    <row r="12" spans="1:3" x14ac:dyDescent="0.3">
      <c r="A12" s="273" t="s">
        <v>1327</v>
      </c>
      <c r="B12" s="278">
        <f>Valuation!F10</f>
        <v>6450000</v>
      </c>
      <c r="C12" s="275" t="s">
        <v>1328</v>
      </c>
    </row>
    <row r="13" spans="1:3" x14ac:dyDescent="0.3">
      <c r="A13" s="273" t="s">
        <v>1329</v>
      </c>
      <c r="B13" s="276">
        <v>1000000</v>
      </c>
      <c r="C13" s="275" t="s">
        <v>1330</v>
      </c>
    </row>
    <row r="14" spans="1:3" x14ac:dyDescent="0.3">
      <c r="A14" s="273" t="s">
        <v>1331</v>
      </c>
      <c r="B14" s="278">
        <f>B12-B13</f>
        <v>5450000</v>
      </c>
      <c r="C14" s="275" t="s">
        <v>1332</v>
      </c>
    </row>
    <row r="15" spans="1:3" x14ac:dyDescent="0.3">
      <c r="A15" s="273" t="s">
        <v>1333</v>
      </c>
      <c r="B15" s="279">
        <f>B8</f>
        <v>4200000</v>
      </c>
    </row>
    <row r="16" spans="1:3" x14ac:dyDescent="0.3">
      <c r="A16" s="273" t="s">
        <v>1334</v>
      </c>
      <c r="B16" s="286">
        <f>B14-B15</f>
        <v>1250000</v>
      </c>
      <c r="C16" s="275" t="s">
        <v>1335</v>
      </c>
    </row>
    <row r="17" spans="1:3" x14ac:dyDescent="0.3">
      <c r="A17" s="273" t="s">
        <v>1336</v>
      </c>
      <c r="B17" s="279">
        <f>B16+B13</f>
        <v>2250000</v>
      </c>
      <c r="C17" s="275" t="s">
        <v>1337</v>
      </c>
    </row>
    <row r="18" spans="1:3" x14ac:dyDescent="0.3">
      <c r="A18" s="273" t="s">
        <v>1338</v>
      </c>
      <c r="B18" s="286">
        <f>B8-B15</f>
        <v>0</v>
      </c>
      <c r="C18" s="275" t="s">
        <v>1339</v>
      </c>
    </row>
    <row r="19" spans="1:3" x14ac:dyDescent="0.3">
      <c r="A19" s="273" t="s">
        <v>1340</v>
      </c>
      <c r="B19" s="13">
        <f>IFERROR(Valuation!F10/Valuation!F9,0)</f>
        <v>0.5</v>
      </c>
      <c r="C19" s="275" t="s">
        <v>1341</v>
      </c>
    </row>
    <row r="20" spans="1:3" x14ac:dyDescent="0.3">
      <c r="A20" s="273" t="s">
        <v>1342</v>
      </c>
      <c r="B20" s="284">
        <f>B12/Valuation!F10-1</f>
        <v>0</v>
      </c>
      <c r="C20" s="275" t="s">
        <v>1343</v>
      </c>
    </row>
    <row r="22" spans="1:3" x14ac:dyDescent="0.3">
      <c r="A22" s="272" t="s">
        <v>1344</v>
      </c>
    </row>
    <row r="23" spans="1:3" x14ac:dyDescent="0.3">
      <c r="A23" s="273" t="s">
        <v>1345</v>
      </c>
      <c r="B23" s="274">
        <v>0</v>
      </c>
      <c r="C23" s="275" t="s">
        <v>1346</v>
      </c>
    </row>
    <row r="24" spans="1:3" x14ac:dyDescent="0.3">
      <c r="A24" s="273" t="s">
        <v>1347</v>
      </c>
      <c r="B24" s="279">
        <f>IF(Control!$B$5&gt;0,0.03*MAX(0,MIN(Valuation!C9,1663800)-1210000)+0.06*MAX(0,MIN(Valuation!C9,2329300)-1663800)+0.08*MAX(0,MIN(Valuation!C9,2994800)-2329300)+0.11*MAX(0,MIN(Valuation!C9,13310000)-2994800)+0.13*MAX(0,Valuation!C9-13310000),0)</f>
        <v>437356</v>
      </c>
    </row>
    <row r="25" spans="1:3" x14ac:dyDescent="0.3">
      <c r="A25" s="273" t="s">
        <v>1348</v>
      </c>
      <c r="B25" s="279">
        <f>IF(Control!$B$7&gt;0,0.03*MAX(0,MIN(Valuation!D9,1663800)-1210000)+0.06*MAX(0,MIN(Valuation!D9,2329300)-1663800)+0.08*MAX(0,MIN(Valuation!D9,2994800)-2329300)+0.11*MAX(0,MIN(Valuation!D9,13310000)-2994800)+0.13*MAX(0,Valuation!D9-13310000),0)</f>
        <v>217356</v>
      </c>
    </row>
    <row r="26" spans="1:3" x14ac:dyDescent="0.3">
      <c r="A26" s="273" t="s">
        <v>1349</v>
      </c>
      <c r="B26" s="279">
        <f>IF(Control!$B$8&gt;0,0.03*MAX(0,MIN(Valuation!E9,1663800)-1210000)+0.06*MAX(0,MIN(Valuation!E9,2329300)-1663800)+0.08*MAX(0,MIN(Valuation!E9,2994800)-2329300)+0.11*MAX(0,MIN(Valuation!E9,13310000)-2994800)+0.13*MAX(0,Valuation!E9-13310000),0)</f>
        <v>99200</v>
      </c>
    </row>
    <row r="27" spans="1:3" x14ac:dyDescent="0.3">
      <c r="A27" s="273" t="s">
        <v>1350</v>
      </c>
      <c r="B27" s="287">
        <f>(B24+B25+B26)*(1-B23)</f>
        <v>753912</v>
      </c>
    </row>
    <row r="28" spans="1:3" x14ac:dyDescent="0.3">
      <c r="A28" s="273" t="s">
        <v>1351</v>
      </c>
      <c r="B28" s="279">
        <f>0.0025*B12</f>
        <v>16125</v>
      </c>
    </row>
    <row r="29" spans="1:3" x14ac:dyDescent="0.3">
      <c r="A29" s="273" t="s">
        <v>1352</v>
      </c>
      <c r="B29" s="278">
        <f>B27+B28</f>
        <v>770037</v>
      </c>
    </row>
    <row r="30" spans="1:3" x14ac:dyDescent="0.3">
      <c r="A30" s="273" t="s">
        <v>1353</v>
      </c>
      <c r="B30" s="279">
        <f>B29*(1-B19)</f>
        <v>385018.5</v>
      </c>
    </row>
    <row r="31" spans="1:3" x14ac:dyDescent="0.3">
      <c r="A31" s="273" t="s">
        <v>1354</v>
      </c>
      <c r="B31" s="279">
        <f>B29*B19</f>
        <v>385018.5</v>
      </c>
    </row>
    <row r="32" spans="1:3" x14ac:dyDescent="0.3">
      <c r="A32" s="273" t="s">
        <v>1355</v>
      </c>
      <c r="B32" s="286">
        <f>B16-B30</f>
        <v>864981.5</v>
      </c>
      <c r="C32" s="275" t="s">
        <v>1356</v>
      </c>
    </row>
    <row r="33" spans="1:3" x14ac:dyDescent="0.3">
      <c r="A33" s="273" t="s">
        <v>1357</v>
      </c>
      <c r="C33" s="275" t="s">
        <v>1358</v>
      </c>
    </row>
    <row r="35" spans="1:3" x14ac:dyDescent="0.3">
      <c r="A35" s="272" t="s">
        <v>1359</v>
      </c>
    </row>
    <row r="36" spans="1:3" x14ac:dyDescent="0.3">
      <c r="A36" s="273" t="s">
        <v>1360</v>
      </c>
      <c r="B36" s="279">
        <f>'Portfolio NewCo'!B9</f>
        <v>2609644.9247942385</v>
      </c>
    </row>
    <row r="37" spans="1:3" x14ac:dyDescent="0.3">
      <c r="A37" s="273" t="s">
        <v>1361</v>
      </c>
      <c r="B37" s="13">
        <f>Control!B23</f>
        <v>0.27</v>
      </c>
    </row>
    <row r="38" spans="1:3" x14ac:dyDescent="0.3">
      <c r="A38" s="273" t="s">
        <v>1362</v>
      </c>
      <c r="B38" s="279">
        <f>B36*(1-B37)</f>
        <v>1905040.7950997942</v>
      </c>
    </row>
    <row r="39" spans="1:3" x14ac:dyDescent="0.3">
      <c r="A39" s="273" t="s">
        <v>1363</v>
      </c>
      <c r="B39" s="278">
        <f>B38*B19</f>
        <v>952520.39754989708</v>
      </c>
    </row>
    <row r="40" spans="1:3" x14ac:dyDescent="0.3">
      <c r="A40" s="273" t="s">
        <v>1364</v>
      </c>
      <c r="B40" s="284">
        <f>IFERROR(B39/B12,0)</f>
        <v>0.14767758101548792</v>
      </c>
    </row>
    <row r="42" spans="1:3" x14ac:dyDescent="0.3">
      <c r="A42" s="272" t="s">
        <v>1365</v>
      </c>
    </row>
    <row r="43" spans="1:3" x14ac:dyDescent="0.3">
      <c r="A43" s="273" t="s">
        <v>1366</v>
      </c>
      <c r="B43" s="276">
        <v>1800000</v>
      </c>
    </row>
    <row r="44" spans="1:3" x14ac:dyDescent="0.3">
      <c r="A44" s="273" t="s">
        <v>1367</v>
      </c>
      <c r="B44" s="277">
        <v>0.5</v>
      </c>
    </row>
    <row r="45" spans="1:3" x14ac:dyDescent="0.3">
      <c r="A45" s="273" t="s">
        <v>1368</v>
      </c>
      <c r="B45" s="279">
        <f>IF(Control!$B$5&gt;0,Valuation!C9*B44,0)</f>
        <v>3000000</v>
      </c>
    </row>
    <row r="46" spans="1:3" x14ac:dyDescent="0.3">
      <c r="A46" s="273" t="s">
        <v>1369</v>
      </c>
      <c r="B46" s="277">
        <v>0.02</v>
      </c>
    </row>
    <row r="47" spans="1:3" x14ac:dyDescent="0.3">
      <c r="A47" s="273" t="s">
        <v>1370</v>
      </c>
      <c r="B47" s="277">
        <v>2.5000000000000001E-2</v>
      </c>
    </row>
    <row r="48" spans="1:3" x14ac:dyDescent="0.3">
      <c r="A48" s="273" t="s">
        <v>1371</v>
      </c>
      <c r="B48" s="274">
        <v>3</v>
      </c>
    </row>
    <row r="49" spans="1:2" x14ac:dyDescent="0.3">
      <c r="A49" s="273" t="s">
        <v>1372</v>
      </c>
      <c r="B49" s="279">
        <f>MIN(B43/(1-B46),B45)</f>
        <v>1836734.693877551</v>
      </c>
    </row>
    <row r="50" spans="1:2" x14ac:dyDescent="0.3">
      <c r="A50" s="273" t="s">
        <v>1373</v>
      </c>
      <c r="B50" s="278">
        <f>B49*(1-B46)</f>
        <v>1800000</v>
      </c>
    </row>
    <row r="51" spans="1:2" x14ac:dyDescent="0.3">
      <c r="A51" s="273" t="s">
        <v>1374</v>
      </c>
      <c r="B51" s="279">
        <f>B49*B47*B48+B49*B46</f>
        <v>174489.79591836734</v>
      </c>
    </row>
    <row r="53" spans="1:2" x14ac:dyDescent="0.3">
      <c r="A53" s="272" t="s">
        <v>1375</v>
      </c>
    </row>
    <row r="54" spans="1:2" x14ac:dyDescent="0.3">
      <c r="A54" s="273" t="s">
        <v>1376</v>
      </c>
      <c r="B54" s="279">
        <f>Valuation!C9</f>
        <v>6000000</v>
      </c>
    </row>
    <row r="55" spans="1:2" x14ac:dyDescent="0.3">
      <c r="A55" s="273" t="s">
        <v>1377</v>
      </c>
      <c r="B55" s="276">
        <v>4800000</v>
      </c>
    </row>
    <row r="56" spans="1:2" x14ac:dyDescent="0.3">
      <c r="A56" s="273" t="s">
        <v>1378</v>
      </c>
      <c r="B56" s="279">
        <f>B12-Control!$B$5*(B54-B55)</f>
        <v>5850000</v>
      </c>
    </row>
    <row r="57" spans="1:2" x14ac:dyDescent="0.3">
      <c r="A57" s="273" t="s">
        <v>1379</v>
      </c>
      <c r="B57" s="13">
        <f>IFERROR(B39/B56,0)</f>
        <v>0.16282399958117899</v>
      </c>
    </row>
    <row r="59" spans="1:2" x14ac:dyDescent="0.3">
      <c r="A59" s="272" t="s">
        <v>1380</v>
      </c>
    </row>
    <row r="60" spans="1:2" x14ac:dyDescent="0.3">
      <c r="A60" s="273" t="s">
        <v>1381</v>
      </c>
      <c r="B60" s="13">
        <f>Control!B17</f>
        <v>0.05</v>
      </c>
    </row>
    <row r="61" spans="1:2" x14ac:dyDescent="0.3">
      <c r="A61" s="273" t="s">
        <v>1382</v>
      </c>
      <c r="B61" s="13">
        <f>Control!B84</f>
        <v>0.05</v>
      </c>
    </row>
    <row r="62" spans="1:2" x14ac:dyDescent="0.3">
      <c r="A62" s="273" t="s">
        <v>1383</v>
      </c>
      <c r="B62" s="277">
        <v>0.06</v>
      </c>
    </row>
    <row r="63" spans="1:2" x14ac:dyDescent="0.3">
      <c r="A63" s="273" t="s">
        <v>1384</v>
      </c>
      <c r="B63" s="277">
        <v>0.2</v>
      </c>
    </row>
    <row r="65" spans="1:2" x14ac:dyDescent="0.3">
      <c r="A65" s="273" t="s">
        <v>1385</v>
      </c>
      <c r="B65" s="288">
        <f>B18</f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44"/>
  <sheetViews>
    <sheetView topLeftCell="A16" workbookViewId="0">
      <selection activeCell="I33" sqref="I33"/>
    </sheetView>
  </sheetViews>
  <sheetFormatPr defaultRowHeight="14.4" x14ac:dyDescent="0.3"/>
  <cols>
    <col min="1" max="1" width="42" customWidth="1"/>
    <col min="2" max="2" width="13" customWidth="1"/>
    <col min="3" max="3" width="9.5546875" customWidth="1"/>
    <col min="4" max="11" width="8.88671875" bestFit="1" customWidth="1"/>
    <col min="13" max="21" width="9.88671875" bestFit="1" customWidth="1"/>
  </cols>
  <sheetData>
    <row r="1" spans="1:4" ht="17.399999999999999" customHeight="1" x14ac:dyDescent="0.35">
      <c r="A1" s="270" t="s">
        <v>1386</v>
      </c>
    </row>
    <row r="2" spans="1:4" x14ac:dyDescent="0.3">
      <c r="A2" s="271" t="s">
        <v>1387</v>
      </c>
    </row>
    <row r="4" spans="1:4" x14ac:dyDescent="0.3">
      <c r="A4" s="372" t="s">
        <v>1388</v>
      </c>
      <c r="D4" s="272"/>
    </row>
    <row r="5" spans="1:4" x14ac:dyDescent="0.3">
      <c r="A5" s="272"/>
      <c r="D5" s="272"/>
    </row>
    <row r="6" spans="1:4" x14ac:dyDescent="0.3">
      <c r="A6" s="373" t="s">
        <v>1389</v>
      </c>
      <c r="B6" s="374">
        <f>'STRAT — Control'!B12</f>
        <v>6450000</v>
      </c>
      <c r="C6" s="275"/>
    </row>
    <row r="7" spans="1:4" x14ac:dyDescent="0.3">
      <c r="A7" s="373" t="s">
        <v>1390</v>
      </c>
      <c r="B7" s="375">
        <f>'STRAT — Control'!B31</f>
        <v>385018.5</v>
      </c>
      <c r="C7" s="376" t="s">
        <v>1391</v>
      </c>
    </row>
    <row r="8" spans="1:4" x14ac:dyDescent="0.3">
      <c r="A8" s="377" t="s">
        <v>1392</v>
      </c>
      <c r="B8" s="374">
        <f>B6+B7</f>
        <v>6835018.5</v>
      </c>
      <c r="C8" s="275"/>
    </row>
    <row r="9" spans="1:4" x14ac:dyDescent="0.3">
      <c r="A9" s="373" t="s">
        <v>1393</v>
      </c>
      <c r="B9" s="378">
        <f>-'STRAT — Control'!B13</f>
        <v>-1000000</v>
      </c>
      <c r="C9" s="376" t="s">
        <v>1394</v>
      </c>
    </row>
    <row r="10" spans="1:4" x14ac:dyDescent="0.3">
      <c r="A10" s="377" t="s">
        <v>1395</v>
      </c>
      <c r="B10" s="379">
        <f>B8+B9</f>
        <v>5835018.5</v>
      </c>
      <c r="C10" s="275"/>
    </row>
    <row r="11" spans="1:4" x14ac:dyDescent="0.3">
      <c r="A11" s="373" t="s">
        <v>1396</v>
      </c>
      <c r="B11" s="380">
        <v>0.5</v>
      </c>
      <c r="C11" s="376" t="s">
        <v>1397</v>
      </c>
    </row>
    <row r="12" spans="1:4" x14ac:dyDescent="0.3">
      <c r="A12" s="381" t="s">
        <v>1398</v>
      </c>
      <c r="B12" s="382">
        <f>B10*(1-B11)</f>
        <v>2917509.25</v>
      </c>
      <c r="C12" s="275"/>
    </row>
    <row r="13" spans="1:4" x14ac:dyDescent="0.3">
      <c r="A13" s="381" t="s">
        <v>1399</v>
      </c>
      <c r="B13" s="383">
        <f>B10*B11</f>
        <v>2917509.25</v>
      </c>
      <c r="C13" s="74"/>
      <c r="D13" s="273"/>
    </row>
    <row r="14" spans="1:4" x14ac:dyDescent="0.3">
      <c r="A14" s="377" t="s">
        <v>1400</v>
      </c>
      <c r="B14" s="374">
        <f>-B9+B12</f>
        <v>3917509.25</v>
      </c>
      <c r="C14" s="376" t="s">
        <v>1401</v>
      </c>
      <c r="D14" s="273"/>
    </row>
    <row r="16" spans="1:4" x14ac:dyDescent="0.3">
      <c r="A16" s="372" t="s">
        <v>1402</v>
      </c>
    </row>
    <row r="17" spans="1:22" x14ac:dyDescent="0.3">
      <c r="A17" s="373" t="s">
        <v>1403</v>
      </c>
      <c r="B17" s="283">
        <f>'STRAT 3 — Partner full-bond'!B13</f>
        <v>0.115</v>
      </c>
    </row>
    <row r="18" spans="1:22" x14ac:dyDescent="0.3">
      <c r="A18" s="373" t="s">
        <v>1404</v>
      </c>
      <c r="B18" s="288">
        <f>'STRAT 3 — Partner full-bond'!B14</f>
        <v>20</v>
      </c>
      <c r="C18" s="275"/>
    </row>
    <row r="19" spans="1:22" x14ac:dyDescent="0.3">
      <c r="A19" s="373" t="s">
        <v>1405</v>
      </c>
      <c r="B19" s="286">
        <f>IFERROR(PMT(B17,B18,-B13),0)</f>
        <v>378414.90682328207</v>
      </c>
    </row>
    <row r="21" spans="1:22" x14ac:dyDescent="0.3">
      <c r="A21" s="372" t="s">
        <v>1406</v>
      </c>
    </row>
    <row r="22" spans="1:22" x14ac:dyDescent="0.3">
      <c r="A22" s="373" t="s">
        <v>1407</v>
      </c>
      <c r="B22" s="384">
        <f>'STRAT — Control'!B19</f>
        <v>0.5</v>
      </c>
      <c r="C22" s="285"/>
      <c r="D22" s="285"/>
      <c r="E22" s="285"/>
      <c r="F22" s="285"/>
      <c r="G22" s="285"/>
      <c r="H22" s="285"/>
      <c r="I22" s="285"/>
      <c r="J22" s="285"/>
      <c r="K22" s="285"/>
    </row>
    <row r="23" spans="1:22" x14ac:dyDescent="0.3">
      <c r="A23" s="373" t="s">
        <v>1408</v>
      </c>
      <c r="B23" s="13">
        <f>'STRAT — Control'!B20</f>
        <v>0</v>
      </c>
      <c r="C23" s="385" t="s">
        <v>1409</v>
      </c>
      <c r="D23" s="279"/>
      <c r="E23" s="279"/>
      <c r="F23" s="279"/>
      <c r="G23" s="279"/>
      <c r="H23" s="279"/>
      <c r="I23" s="279"/>
      <c r="J23" s="279"/>
      <c r="K23" s="279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2" x14ac:dyDescent="0.3">
      <c r="A24" s="373" t="s">
        <v>1410</v>
      </c>
      <c r="B24" s="386">
        <f>IFERROR(B30/B14,0)</f>
        <v>0.1465485986348635</v>
      </c>
      <c r="C24" s="279"/>
      <c r="D24" s="279"/>
      <c r="E24" s="279"/>
      <c r="F24" s="279"/>
      <c r="G24" s="279"/>
      <c r="H24" s="279"/>
      <c r="I24" s="279"/>
      <c r="J24" s="279"/>
      <c r="K24" s="279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2" x14ac:dyDescent="0.3">
      <c r="A25" s="273"/>
      <c r="B25" s="279"/>
      <c r="C25" s="279"/>
      <c r="D25" s="279"/>
      <c r="E25" s="279"/>
      <c r="F25" s="279"/>
      <c r="G25" s="279"/>
      <c r="H25" s="279"/>
      <c r="I25" s="279"/>
      <c r="J25" s="279"/>
      <c r="K25" s="279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2" x14ac:dyDescent="0.3">
      <c r="A26" s="372" t="s">
        <v>1411</v>
      </c>
      <c r="B26" s="279"/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79"/>
      <c r="P26" s="279"/>
      <c r="Q26" s="279"/>
      <c r="R26" s="279"/>
      <c r="S26" s="279"/>
      <c r="T26" s="279"/>
      <c r="U26" s="279"/>
    </row>
    <row r="27" spans="1:22" x14ac:dyDescent="0.3">
      <c r="A27" s="373" t="s">
        <v>247</v>
      </c>
      <c r="B27" s="387">
        <v>1</v>
      </c>
      <c r="C27" s="387">
        <v>2</v>
      </c>
      <c r="D27" s="387">
        <v>3</v>
      </c>
      <c r="E27" s="387">
        <v>4</v>
      </c>
      <c r="F27" s="387">
        <v>5</v>
      </c>
      <c r="G27" s="387">
        <v>6</v>
      </c>
      <c r="H27" s="387">
        <v>7</v>
      </c>
      <c r="I27" s="387">
        <v>8</v>
      </c>
      <c r="J27" s="387">
        <v>9</v>
      </c>
      <c r="K27" s="387">
        <v>10</v>
      </c>
      <c r="L27" s="387">
        <v>11</v>
      </c>
      <c r="M27" s="387">
        <v>12</v>
      </c>
      <c r="N27" s="387">
        <v>13</v>
      </c>
      <c r="O27" s="387">
        <v>14</v>
      </c>
      <c r="P27" s="387">
        <v>15</v>
      </c>
      <c r="Q27" s="387">
        <v>16</v>
      </c>
      <c r="R27" s="387">
        <v>17</v>
      </c>
      <c r="S27" s="387">
        <v>18</v>
      </c>
      <c r="T27" s="387">
        <v>19</v>
      </c>
      <c r="U27" s="387">
        <v>20</v>
      </c>
    </row>
    <row r="28" spans="1:22" s="74" customFormat="1" x14ac:dyDescent="0.3">
      <c r="A28" s="285" t="s">
        <v>1412</v>
      </c>
      <c r="B28" s="435">
        <f>'Portfolio NewCo'!B16</f>
        <v>952520.39754989708</v>
      </c>
      <c r="C28" s="435">
        <f>'Portfolio NewCo'!C16</f>
        <v>1000146.417427392</v>
      </c>
      <c r="D28" s="435">
        <f>'Portfolio NewCo'!D16</f>
        <v>1050153.7382987614</v>
      </c>
      <c r="E28" s="435">
        <f>'Portfolio NewCo'!E16</f>
        <v>1102661.4252136997</v>
      </c>
      <c r="F28" s="435">
        <f>'Portfolio NewCo'!F16</f>
        <v>1157794.4964743843</v>
      </c>
      <c r="G28" s="435">
        <f>'Portfolio NewCo'!G16</f>
        <v>1215684.2212981044</v>
      </c>
      <c r="H28" s="435">
        <f>'Portfolio NewCo'!H16</f>
        <v>1276468.4323630093</v>
      </c>
      <c r="I28" s="435">
        <f>'Portfolio NewCo'!I16</f>
        <v>1340291.8539811599</v>
      </c>
      <c r="J28" s="435">
        <f>'Portfolio NewCo'!J16</f>
        <v>1407306.4466802171</v>
      </c>
      <c r="K28" s="435">
        <f>'Portfolio NewCo'!K16</f>
        <v>1477671.7690142279</v>
      </c>
      <c r="L28" s="435">
        <f>'Portfolio NewCo'!L16</f>
        <v>1551555.3574649398</v>
      </c>
      <c r="M28" s="435">
        <f>'Portfolio NewCo'!M16</f>
        <v>1629133.125338187</v>
      </c>
      <c r="N28" s="435">
        <f>'Portfolio NewCo'!N16</f>
        <v>1710589.7816050963</v>
      </c>
      <c r="O28" s="435">
        <f>'Portfolio NewCo'!O16</f>
        <v>1796119.270685351</v>
      </c>
      <c r="P28" s="435">
        <f>'Portfolio NewCo'!P16</f>
        <v>1885925.2342196181</v>
      </c>
      <c r="Q28" s="435">
        <f>'Portfolio NewCo'!Q16</f>
        <v>1980221.4959305997</v>
      </c>
      <c r="R28" s="435">
        <f>'Portfolio NewCo'!R16</f>
        <v>2079232.5707271295</v>
      </c>
      <c r="S28" s="435">
        <f>'Portfolio NewCo'!S16</f>
        <v>2183194.1992634865</v>
      </c>
      <c r="T28" s="435">
        <f>'Portfolio NewCo'!T16</f>
        <v>2292353.9092266611</v>
      </c>
      <c r="U28" s="435">
        <f>'Portfolio NewCo'!U16</f>
        <v>2406971.6046879934</v>
      </c>
      <c r="V28" s="337"/>
    </row>
    <row r="29" spans="1:22" s="74" customFormat="1" x14ac:dyDescent="0.3">
      <c r="A29" s="285" t="s">
        <v>1413</v>
      </c>
      <c r="B29" s="435">
        <f t="shared" ref="B29:U29" si="0">-$B$19</f>
        <v>-378414.90682328207</v>
      </c>
      <c r="C29" s="435">
        <f t="shared" si="0"/>
        <v>-378414.90682328207</v>
      </c>
      <c r="D29" s="435">
        <f t="shared" si="0"/>
        <v>-378414.90682328207</v>
      </c>
      <c r="E29" s="435">
        <f t="shared" si="0"/>
        <v>-378414.90682328207</v>
      </c>
      <c r="F29" s="435">
        <f t="shared" si="0"/>
        <v>-378414.90682328207</v>
      </c>
      <c r="G29" s="435">
        <f t="shared" si="0"/>
        <v>-378414.90682328207</v>
      </c>
      <c r="H29" s="435">
        <f t="shared" si="0"/>
        <v>-378414.90682328207</v>
      </c>
      <c r="I29" s="435">
        <f t="shared" si="0"/>
        <v>-378414.90682328207</v>
      </c>
      <c r="J29" s="435">
        <f t="shared" si="0"/>
        <v>-378414.90682328207</v>
      </c>
      <c r="K29" s="435">
        <f t="shared" si="0"/>
        <v>-378414.90682328207</v>
      </c>
      <c r="L29" s="435">
        <f t="shared" si="0"/>
        <v>-378414.90682328207</v>
      </c>
      <c r="M29" s="435">
        <f t="shared" si="0"/>
        <v>-378414.90682328207</v>
      </c>
      <c r="N29" s="435">
        <f t="shared" si="0"/>
        <v>-378414.90682328207</v>
      </c>
      <c r="O29" s="435">
        <f t="shared" si="0"/>
        <v>-378414.90682328207</v>
      </c>
      <c r="P29" s="435">
        <f t="shared" si="0"/>
        <v>-378414.90682328207</v>
      </c>
      <c r="Q29" s="435">
        <f t="shared" si="0"/>
        <v>-378414.90682328207</v>
      </c>
      <c r="R29" s="435">
        <f t="shared" si="0"/>
        <v>-378414.90682328207</v>
      </c>
      <c r="S29" s="435">
        <f t="shared" si="0"/>
        <v>-378414.90682328207</v>
      </c>
      <c r="T29" s="435">
        <f t="shared" si="0"/>
        <v>-378414.90682328207</v>
      </c>
      <c r="U29" s="435">
        <f t="shared" si="0"/>
        <v>-378414.90682328207</v>
      </c>
      <c r="V29" s="337"/>
    </row>
    <row r="30" spans="1:22" x14ac:dyDescent="0.3">
      <c r="A30" s="438" t="s">
        <v>1414</v>
      </c>
      <c r="B30" s="439">
        <f t="shared" ref="B30:U30" si="1">B28+B29</f>
        <v>574105.49072661507</v>
      </c>
      <c r="C30" s="439">
        <f t="shared" si="1"/>
        <v>621731.51060410985</v>
      </c>
      <c r="D30" s="439">
        <f t="shared" si="1"/>
        <v>671738.8314754793</v>
      </c>
      <c r="E30" s="439">
        <f t="shared" si="1"/>
        <v>724246.51839041756</v>
      </c>
      <c r="F30" s="439">
        <f t="shared" si="1"/>
        <v>779379.5896511022</v>
      </c>
      <c r="G30" s="439">
        <f t="shared" si="1"/>
        <v>837269.31447482225</v>
      </c>
      <c r="H30" s="439">
        <f t="shared" si="1"/>
        <v>898053.52553972718</v>
      </c>
      <c r="I30" s="439">
        <f t="shared" si="1"/>
        <v>961876.94715787773</v>
      </c>
      <c r="J30" s="439">
        <f t="shared" si="1"/>
        <v>1028891.5398569349</v>
      </c>
      <c r="K30" s="439">
        <f t="shared" si="1"/>
        <v>1099256.8621909458</v>
      </c>
      <c r="L30" s="439">
        <f t="shared" si="1"/>
        <v>1173140.4506416577</v>
      </c>
      <c r="M30" s="439">
        <f t="shared" si="1"/>
        <v>1250718.2185149048</v>
      </c>
      <c r="N30" s="439">
        <f t="shared" si="1"/>
        <v>1332174.8747818142</v>
      </c>
      <c r="O30" s="439">
        <f t="shared" si="1"/>
        <v>1417704.3638620689</v>
      </c>
      <c r="P30" s="439">
        <f t="shared" si="1"/>
        <v>1507510.327396336</v>
      </c>
      <c r="Q30" s="439">
        <f t="shared" si="1"/>
        <v>1601806.5891073176</v>
      </c>
      <c r="R30" s="439">
        <f t="shared" si="1"/>
        <v>1700817.6639038473</v>
      </c>
      <c r="S30" s="439">
        <f t="shared" si="1"/>
        <v>1804779.2924402044</v>
      </c>
      <c r="T30" s="439">
        <f t="shared" si="1"/>
        <v>1913939.002403379</v>
      </c>
      <c r="U30" s="439">
        <f t="shared" si="1"/>
        <v>2028556.6978647113</v>
      </c>
      <c r="V30" s="8"/>
    </row>
    <row r="31" spans="1:22" x14ac:dyDescent="0.3">
      <c r="A31" s="373" t="s">
        <v>1415</v>
      </c>
      <c r="B31" s="388">
        <f>B30</f>
        <v>574105.49072661507</v>
      </c>
      <c r="C31" s="279">
        <f t="shared" ref="C31:U31" si="2">B31+C30</f>
        <v>1195837.0013307249</v>
      </c>
      <c r="D31" s="279">
        <f t="shared" si="2"/>
        <v>1867575.8328062042</v>
      </c>
      <c r="E31" s="279">
        <f t="shared" si="2"/>
        <v>2591822.3511966215</v>
      </c>
      <c r="F31" s="279">
        <f t="shared" si="2"/>
        <v>3371201.9408477237</v>
      </c>
      <c r="G31" s="279">
        <f t="shared" si="2"/>
        <v>4208471.2553225458</v>
      </c>
      <c r="H31" s="279">
        <f t="shared" si="2"/>
        <v>5106524.7808622727</v>
      </c>
      <c r="I31" s="279">
        <f t="shared" si="2"/>
        <v>6068401.7280201502</v>
      </c>
      <c r="J31" s="279">
        <f t="shared" si="2"/>
        <v>7097293.2678770851</v>
      </c>
      <c r="K31" s="279">
        <f t="shared" si="2"/>
        <v>8196550.1300680311</v>
      </c>
      <c r="L31" s="279">
        <f t="shared" si="2"/>
        <v>9369690.5807096884</v>
      </c>
      <c r="M31" s="279">
        <f t="shared" si="2"/>
        <v>10620408.799224593</v>
      </c>
      <c r="N31" s="279">
        <f t="shared" si="2"/>
        <v>11952583.674006406</v>
      </c>
      <c r="O31" s="279">
        <f t="shared" si="2"/>
        <v>13370288.037868476</v>
      </c>
      <c r="P31" s="279">
        <f t="shared" si="2"/>
        <v>14877798.365264811</v>
      </c>
      <c r="Q31" s="279">
        <f t="shared" si="2"/>
        <v>16479604.954372128</v>
      </c>
      <c r="R31" s="279">
        <f t="shared" si="2"/>
        <v>18180422.618275978</v>
      </c>
      <c r="S31" s="279">
        <f t="shared" si="2"/>
        <v>19985201.910716183</v>
      </c>
      <c r="T31" s="279">
        <f t="shared" si="2"/>
        <v>21899140.913119562</v>
      </c>
      <c r="U31" s="279">
        <f t="shared" si="2"/>
        <v>23927697.610984273</v>
      </c>
    </row>
    <row r="32" spans="1:22" x14ac:dyDescent="0.3">
      <c r="A32" s="273"/>
      <c r="B32" s="13"/>
    </row>
    <row r="33" spans="1:22" x14ac:dyDescent="0.3">
      <c r="A33" s="373" t="s">
        <v>1416</v>
      </c>
      <c r="B33" s="286">
        <f>MAX(0,B13*(1+B17)^20-B19*((1+B17)^20-1)/B17)</f>
        <v>0</v>
      </c>
    </row>
    <row r="34" spans="1:22" x14ac:dyDescent="0.3">
      <c r="A34" s="373" t="s">
        <v>1417</v>
      </c>
      <c r="B34" s="286">
        <f>'STRAT — Control'!B11*'STRAT — Control'!B19*(1+'STRAT — Control'!B61)^20*(1-'STRAT — Control'!B62-'STRAT — Control'!B63)</f>
        <v>12664189.94665432</v>
      </c>
    </row>
    <row r="35" spans="1:22" x14ac:dyDescent="0.3">
      <c r="A35" s="377" t="s">
        <v>1418</v>
      </c>
      <c r="B35" s="374">
        <f>B34-B33</f>
        <v>12664189.94665432</v>
      </c>
      <c r="C35" s="275"/>
    </row>
    <row r="36" spans="1:22" x14ac:dyDescent="0.3">
      <c r="A36" s="273"/>
      <c r="B36" s="282"/>
    </row>
    <row r="37" spans="1:22" x14ac:dyDescent="0.3">
      <c r="A37" s="372" t="s">
        <v>1419</v>
      </c>
    </row>
    <row r="38" spans="1:22" x14ac:dyDescent="0.3">
      <c r="A38" s="373" t="s">
        <v>1420</v>
      </c>
      <c r="B38" s="435">
        <f>-B14</f>
        <v>-3917509.25</v>
      </c>
      <c r="C38" s="279">
        <f>B30</f>
        <v>574105.49072661507</v>
      </c>
      <c r="D38" s="279">
        <f t="shared" ref="C38:U38" si="3">C30</f>
        <v>621731.51060410985</v>
      </c>
      <c r="E38" s="279">
        <f t="shared" si="3"/>
        <v>671738.8314754793</v>
      </c>
      <c r="F38" s="279">
        <f t="shared" si="3"/>
        <v>724246.51839041756</v>
      </c>
      <c r="G38" s="279">
        <f t="shared" si="3"/>
        <v>779379.5896511022</v>
      </c>
      <c r="H38" s="279">
        <f t="shared" si="3"/>
        <v>837269.31447482225</v>
      </c>
      <c r="I38" s="279">
        <f t="shared" si="3"/>
        <v>898053.52553972718</v>
      </c>
      <c r="J38" s="279">
        <f t="shared" si="3"/>
        <v>961876.94715787773</v>
      </c>
      <c r="K38" s="279">
        <f t="shared" si="3"/>
        <v>1028891.5398569349</v>
      </c>
      <c r="L38" s="279">
        <f t="shared" si="3"/>
        <v>1099256.8621909458</v>
      </c>
      <c r="M38" s="279">
        <f t="shared" si="3"/>
        <v>1173140.4506416577</v>
      </c>
      <c r="N38" s="279">
        <f t="shared" si="3"/>
        <v>1250718.2185149048</v>
      </c>
      <c r="O38" s="279">
        <f t="shared" si="3"/>
        <v>1332174.8747818142</v>
      </c>
      <c r="P38" s="279">
        <f t="shared" si="3"/>
        <v>1417704.3638620689</v>
      </c>
      <c r="Q38" s="279">
        <f t="shared" si="3"/>
        <v>1507510.327396336</v>
      </c>
      <c r="R38" s="279">
        <f t="shared" si="3"/>
        <v>1601806.5891073176</v>
      </c>
      <c r="S38" s="279">
        <f t="shared" si="3"/>
        <v>1700817.6639038473</v>
      </c>
      <c r="T38" s="279">
        <f t="shared" si="3"/>
        <v>1804779.2924402044</v>
      </c>
      <c r="U38" s="279">
        <f t="shared" si="3"/>
        <v>1913939.002403379</v>
      </c>
      <c r="V38" s="279">
        <f>U30+$B$35</f>
        <v>14692746.644519031</v>
      </c>
    </row>
    <row r="39" spans="1:22" x14ac:dyDescent="0.3">
      <c r="A39" s="389" t="s">
        <v>1421</v>
      </c>
      <c r="B39" s="386">
        <f>IRR(B38:V38)</f>
        <v>0.21816445567222775</v>
      </c>
    </row>
    <row r="40" spans="1:22" x14ac:dyDescent="0.3">
      <c r="A40" s="377" t="s">
        <v>1422</v>
      </c>
      <c r="B40" s="390">
        <f>SUM(C38:V38)/ABS(B38)</f>
        <v>9.3406001677312176</v>
      </c>
    </row>
    <row r="41" spans="1:22" x14ac:dyDescent="0.3">
      <c r="A41" s="373" t="s">
        <v>1423</v>
      </c>
      <c r="B41" s="282">
        <f>IFERROR(SUM(C38:L38)/ABS(B38),0)</f>
        <v>2.0922860948108881</v>
      </c>
    </row>
    <row r="43" spans="1:22" x14ac:dyDescent="0.3">
      <c r="A43" s="372" t="s">
        <v>1424</v>
      </c>
    </row>
    <row r="44" spans="1:22" ht="94.95" customHeight="1" x14ac:dyDescent="0.3">
      <c r="A44" s="433" t="s">
        <v>1425</v>
      </c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P44" s="392"/>
      <c r="Q44" s="392"/>
      <c r="R44" s="392"/>
      <c r="S44" s="392"/>
      <c r="T44" s="392"/>
      <c r="U44" s="392"/>
    </row>
  </sheetData>
  <mergeCells count="1">
    <mergeCell ref="A44:U4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30"/>
  <sheetViews>
    <sheetView workbookViewId="0">
      <selection activeCell="A19" sqref="A19:XFD19"/>
    </sheetView>
  </sheetViews>
  <sheetFormatPr defaultRowHeight="14.4" x14ac:dyDescent="0.3"/>
  <cols>
    <col min="1" max="1" width="40" customWidth="1"/>
    <col min="2" max="11" width="13" customWidth="1"/>
  </cols>
  <sheetData>
    <row r="1" spans="1:12" ht="17.399999999999999" customHeight="1" x14ac:dyDescent="0.35">
      <c r="A1" s="270" t="s">
        <v>1426</v>
      </c>
    </row>
    <row r="2" spans="1:12" x14ac:dyDescent="0.3">
      <c r="A2" s="271" t="s">
        <v>1427</v>
      </c>
    </row>
    <row r="4" spans="1:12" x14ac:dyDescent="0.3">
      <c r="A4" s="272" t="s">
        <v>1428</v>
      </c>
    </row>
    <row r="5" spans="1:12" x14ac:dyDescent="0.3">
      <c r="A5" s="273"/>
      <c r="B5" s="335"/>
      <c r="C5" s="275"/>
    </row>
    <row r="6" spans="1:12" x14ac:dyDescent="0.3">
      <c r="A6" s="285" t="s">
        <v>1429</v>
      </c>
      <c r="B6" s="337">
        <f>'STRAT — Control'!B12</f>
        <v>6450000</v>
      </c>
      <c r="C6" s="275" t="s">
        <v>1430</v>
      </c>
    </row>
    <row r="7" spans="1:12" x14ac:dyDescent="0.3">
      <c r="A7" s="273" t="s">
        <v>1431</v>
      </c>
      <c r="B7" s="348">
        <f>'STRAT — Control'!B31</f>
        <v>385018.5</v>
      </c>
      <c r="C7" s="275" t="s">
        <v>1432</v>
      </c>
    </row>
    <row r="8" spans="1:12" x14ac:dyDescent="0.3">
      <c r="A8" s="285" t="s">
        <v>1433</v>
      </c>
      <c r="B8" s="339">
        <f>B6+B7</f>
        <v>6835018.5</v>
      </c>
      <c r="C8" s="74"/>
    </row>
    <row r="9" spans="1:12" x14ac:dyDescent="0.3">
      <c r="A9" t="s">
        <v>1434</v>
      </c>
      <c r="B9" s="349">
        <v>-1000000</v>
      </c>
      <c r="C9" s="275" t="s">
        <v>1435</v>
      </c>
    </row>
    <row r="10" spans="1:12" x14ac:dyDescent="0.3">
      <c r="A10" s="340" t="s">
        <v>1436</v>
      </c>
      <c r="B10" s="350">
        <f>SUM(B8:B9)</f>
        <v>5835018.5</v>
      </c>
      <c r="C10" s="74"/>
    </row>
    <row r="11" spans="1:12" x14ac:dyDescent="0.3">
      <c r="B11" s="335"/>
      <c r="C11" s="285"/>
      <c r="D11" s="285"/>
      <c r="E11" s="285"/>
      <c r="F11" s="285"/>
      <c r="G11" s="285"/>
      <c r="H11" s="285"/>
      <c r="I11" s="285"/>
      <c r="J11" s="285"/>
      <c r="K11" s="285"/>
    </row>
    <row r="12" spans="1:12" x14ac:dyDescent="0.3">
      <c r="A12" s="273" t="s">
        <v>1437</v>
      </c>
      <c r="B12" s="8">
        <f>B10</f>
        <v>5835018.5</v>
      </c>
      <c r="C12" s="279" t="s">
        <v>1438</v>
      </c>
      <c r="D12" s="279"/>
      <c r="E12" s="279"/>
      <c r="F12" s="279"/>
      <c r="G12" s="279"/>
      <c r="H12" s="279"/>
      <c r="I12" s="279"/>
      <c r="J12" s="279"/>
      <c r="K12" s="279"/>
    </row>
    <row r="13" spans="1:12" x14ac:dyDescent="0.3">
      <c r="A13" s="273" t="s">
        <v>1439</v>
      </c>
      <c r="B13" s="8">
        <v>0</v>
      </c>
      <c r="C13" s="279" t="s">
        <v>1440</v>
      </c>
      <c r="D13" s="279"/>
      <c r="E13" s="279"/>
      <c r="F13" s="279"/>
      <c r="G13" s="279"/>
      <c r="H13" s="279"/>
      <c r="I13" s="279"/>
      <c r="J13" s="279"/>
      <c r="K13" s="279"/>
    </row>
    <row r="14" spans="1:12" x14ac:dyDescent="0.3">
      <c r="A14" t="s">
        <v>1407</v>
      </c>
      <c r="B14" s="13">
        <v>0.5</v>
      </c>
    </row>
    <row r="15" spans="1:12" x14ac:dyDescent="0.3">
      <c r="A15" s="272" t="s">
        <v>1441</v>
      </c>
      <c r="B15" s="13">
        <f>'Portfolio NewCo'!B16/B10</f>
        <v>0.16324205271155473</v>
      </c>
      <c r="C15" t="s">
        <v>1442</v>
      </c>
    </row>
    <row r="16" spans="1:12" x14ac:dyDescent="0.3">
      <c r="A16" s="273"/>
      <c r="B16" s="279"/>
      <c r="C16" s="279"/>
      <c r="D16" s="279"/>
      <c r="E16" s="279"/>
      <c r="F16" s="279"/>
      <c r="G16" s="279"/>
      <c r="H16" s="279"/>
      <c r="I16" s="279"/>
      <c r="J16" s="279"/>
      <c r="K16" s="279"/>
      <c r="L16" s="279"/>
    </row>
    <row r="17" spans="1:22" x14ac:dyDescent="0.3">
      <c r="A17" s="285" t="s">
        <v>1443</v>
      </c>
      <c r="B17" s="279"/>
      <c r="C17" s="275"/>
    </row>
    <row r="18" spans="1:22" x14ac:dyDescent="0.3">
      <c r="A18" s="273" t="s">
        <v>247</v>
      </c>
      <c r="B18" s="279">
        <v>1</v>
      </c>
      <c r="C18" s="279">
        <v>2</v>
      </c>
      <c r="D18" s="279">
        <v>3</v>
      </c>
      <c r="E18" s="279">
        <v>4</v>
      </c>
      <c r="F18" s="279">
        <v>5</v>
      </c>
      <c r="G18" s="279">
        <v>6</v>
      </c>
      <c r="H18" s="279">
        <v>7</v>
      </c>
      <c r="I18" s="279">
        <v>8</v>
      </c>
      <c r="J18" s="279">
        <v>9</v>
      </c>
      <c r="K18" s="279">
        <v>10</v>
      </c>
      <c r="L18" s="279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</row>
    <row r="19" spans="1:22" s="74" customFormat="1" x14ac:dyDescent="0.3">
      <c r="A19" s="74" t="s">
        <v>1444</v>
      </c>
      <c r="B19" s="337">
        <f>'Portfolio NewCo'!B16</f>
        <v>952520.39754989708</v>
      </c>
      <c r="C19" s="337">
        <f>'Portfolio NewCo'!C16</f>
        <v>1000146.417427392</v>
      </c>
      <c r="D19" s="337">
        <f>'Portfolio NewCo'!D16</f>
        <v>1050153.7382987614</v>
      </c>
      <c r="E19" s="337">
        <f>'Portfolio NewCo'!E16</f>
        <v>1102661.4252136997</v>
      </c>
      <c r="F19" s="337">
        <f>'Portfolio NewCo'!F16</f>
        <v>1157794.4964743843</v>
      </c>
      <c r="G19" s="337">
        <f>'Portfolio NewCo'!G16</f>
        <v>1215684.2212981044</v>
      </c>
      <c r="H19" s="337">
        <f>'Portfolio NewCo'!H16</f>
        <v>1276468.4323630093</v>
      </c>
      <c r="I19" s="337">
        <f>'Portfolio NewCo'!I16</f>
        <v>1340291.8539811599</v>
      </c>
      <c r="J19" s="337">
        <f>'Portfolio NewCo'!J16</f>
        <v>1407306.4466802171</v>
      </c>
      <c r="K19" s="337">
        <f>'Portfolio NewCo'!K16</f>
        <v>1477671.7690142279</v>
      </c>
      <c r="L19" s="337">
        <f>'Portfolio NewCo'!L16</f>
        <v>1551555.3574649398</v>
      </c>
      <c r="M19" s="337">
        <f>'Portfolio NewCo'!M16</f>
        <v>1629133.125338187</v>
      </c>
      <c r="N19" s="337">
        <f>'Portfolio NewCo'!N16</f>
        <v>1710589.7816050963</v>
      </c>
      <c r="O19" s="337">
        <f>'Portfolio NewCo'!O16</f>
        <v>1796119.270685351</v>
      </c>
      <c r="P19" s="337">
        <f>'Portfolio NewCo'!P16</f>
        <v>1885925.2342196181</v>
      </c>
      <c r="Q19" s="337">
        <f>'Portfolio NewCo'!Q16</f>
        <v>1980221.4959305997</v>
      </c>
      <c r="R19" s="337">
        <f>'Portfolio NewCo'!R16</f>
        <v>2079232.5707271295</v>
      </c>
      <c r="S19" s="337">
        <f>'Portfolio NewCo'!S16</f>
        <v>2183194.1992634865</v>
      </c>
      <c r="T19" s="337">
        <f>'Portfolio NewCo'!T16</f>
        <v>2292353.9092266611</v>
      </c>
      <c r="U19" s="337">
        <f>'Portfolio NewCo'!U16</f>
        <v>2406971.6046879934</v>
      </c>
    </row>
    <row r="20" spans="1:22" x14ac:dyDescent="0.3">
      <c r="A20" s="273" t="s">
        <v>1445</v>
      </c>
      <c r="B20" s="336">
        <f>B19</f>
        <v>952520.39754989708</v>
      </c>
      <c r="C20" s="8">
        <f t="shared" ref="C20:U20" si="0">B20+C19</f>
        <v>1952666.8149772892</v>
      </c>
      <c r="D20" s="8">
        <f t="shared" si="0"/>
        <v>3002820.5532760508</v>
      </c>
      <c r="E20" s="8">
        <f t="shared" si="0"/>
        <v>4105481.9784897505</v>
      </c>
      <c r="F20" s="8">
        <f t="shared" si="0"/>
        <v>5263276.4749641344</v>
      </c>
      <c r="G20" s="8">
        <f t="shared" si="0"/>
        <v>6478960.6962622385</v>
      </c>
      <c r="H20" s="8">
        <f t="shared" si="0"/>
        <v>7755429.1286252476</v>
      </c>
      <c r="I20" s="8">
        <f t="shared" si="0"/>
        <v>9095720.9826064073</v>
      </c>
      <c r="J20" s="8">
        <f t="shared" si="0"/>
        <v>10503027.429286625</v>
      </c>
      <c r="K20" s="8">
        <f t="shared" si="0"/>
        <v>11980699.198300853</v>
      </c>
      <c r="L20" s="8">
        <f t="shared" si="0"/>
        <v>13532254.555765793</v>
      </c>
      <c r="M20" s="8">
        <f t="shared" si="0"/>
        <v>15161387.68110398</v>
      </c>
      <c r="N20" s="8">
        <f t="shared" si="0"/>
        <v>16871977.462709077</v>
      </c>
      <c r="O20" s="8">
        <f t="shared" si="0"/>
        <v>18668096.733394429</v>
      </c>
      <c r="P20" s="8">
        <f t="shared" si="0"/>
        <v>20554021.967614047</v>
      </c>
      <c r="Q20" s="8">
        <f t="shared" si="0"/>
        <v>22534243.463544648</v>
      </c>
      <c r="R20" s="8">
        <f t="shared" si="0"/>
        <v>24613476.034271777</v>
      </c>
      <c r="S20" s="8">
        <f t="shared" si="0"/>
        <v>26796670.233535264</v>
      </c>
      <c r="T20" s="8">
        <f t="shared" si="0"/>
        <v>29089024.142761923</v>
      </c>
      <c r="U20" s="8">
        <f t="shared" si="0"/>
        <v>31495995.747449916</v>
      </c>
    </row>
    <row r="21" spans="1:22" x14ac:dyDescent="0.3">
      <c r="A21" s="273"/>
      <c r="B21" s="281"/>
    </row>
    <row r="22" spans="1:22" x14ac:dyDescent="0.3">
      <c r="A22" s="285" t="s">
        <v>1419</v>
      </c>
      <c r="B22" s="283"/>
    </row>
    <row r="23" spans="1:22" x14ac:dyDescent="0.3">
      <c r="A23" s="273" t="s">
        <v>1420</v>
      </c>
      <c r="B23" s="8">
        <f>-B8</f>
        <v>-6835018.5</v>
      </c>
      <c r="C23" s="8">
        <f t="shared" ref="C23:V23" si="1">B19</f>
        <v>952520.39754989708</v>
      </c>
      <c r="D23" s="8">
        <f t="shared" si="1"/>
        <v>1000146.417427392</v>
      </c>
      <c r="E23" s="8">
        <f t="shared" si="1"/>
        <v>1050153.7382987614</v>
      </c>
      <c r="F23" s="8">
        <f t="shared" si="1"/>
        <v>1102661.4252136997</v>
      </c>
      <c r="G23" s="8">
        <f t="shared" si="1"/>
        <v>1157794.4964743843</v>
      </c>
      <c r="H23" s="8">
        <f t="shared" si="1"/>
        <v>1215684.2212981044</v>
      </c>
      <c r="I23" s="8">
        <f t="shared" si="1"/>
        <v>1276468.4323630093</v>
      </c>
      <c r="J23" s="8">
        <f t="shared" si="1"/>
        <v>1340291.8539811599</v>
      </c>
      <c r="K23" s="8">
        <f t="shared" si="1"/>
        <v>1407306.4466802171</v>
      </c>
      <c r="L23" s="8">
        <f t="shared" si="1"/>
        <v>1477671.7690142279</v>
      </c>
      <c r="M23" s="8">
        <f t="shared" si="1"/>
        <v>1551555.3574649398</v>
      </c>
      <c r="N23" s="8">
        <f t="shared" si="1"/>
        <v>1629133.125338187</v>
      </c>
      <c r="O23" s="8">
        <f t="shared" si="1"/>
        <v>1710589.7816050963</v>
      </c>
      <c r="P23" s="8">
        <f t="shared" si="1"/>
        <v>1796119.270685351</v>
      </c>
      <c r="Q23" s="8">
        <f t="shared" si="1"/>
        <v>1885925.2342196181</v>
      </c>
      <c r="R23" s="8">
        <f t="shared" si="1"/>
        <v>1980221.4959305997</v>
      </c>
      <c r="S23" s="8">
        <f t="shared" si="1"/>
        <v>2079232.5707271295</v>
      </c>
      <c r="T23" s="8">
        <f t="shared" si="1"/>
        <v>2183194.1992634865</v>
      </c>
      <c r="U23" s="8">
        <f t="shared" si="1"/>
        <v>2292353.9092266611</v>
      </c>
      <c r="V23" s="8">
        <f t="shared" si="1"/>
        <v>2406971.6046879934</v>
      </c>
    </row>
    <row r="24" spans="1:22" x14ac:dyDescent="0.3">
      <c r="A24" t="s">
        <v>1446</v>
      </c>
      <c r="B24" s="8">
        <f>'STRAT — Control'!B11*'STRAT — Control'!B19*(1+'STRAT — Control'!B61)^20*(1-'STRAT — Control'!B62-'STRAT — Control'!B63)</f>
        <v>12664189.94665432</v>
      </c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22" x14ac:dyDescent="0.3">
      <c r="A25" s="272" t="s">
        <v>1447</v>
      </c>
      <c r="B25" s="8">
        <f t="shared" ref="B25:U25" si="2">B23</f>
        <v>-6835018.5</v>
      </c>
      <c r="C25" s="8">
        <f t="shared" si="2"/>
        <v>952520.39754989708</v>
      </c>
      <c r="D25" s="8">
        <f t="shared" si="2"/>
        <v>1000146.417427392</v>
      </c>
      <c r="E25" s="8">
        <f t="shared" si="2"/>
        <v>1050153.7382987614</v>
      </c>
      <c r="F25" s="8">
        <f t="shared" si="2"/>
        <v>1102661.4252136997</v>
      </c>
      <c r="G25" s="8">
        <f t="shared" si="2"/>
        <v>1157794.4964743843</v>
      </c>
      <c r="H25" s="8">
        <f t="shared" si="2"/>
        <v>1215684.2212981044</v>
      </c>
      <c r="I25" s="8">
        <f t="shared" si="2"/>
        <v>1276468.4323630093</v>
      </c>
      <c r="J25" s="8">
        <f t="shared" si="2"/>
        <v>1340291.8539811599</v>
      </c>
      <c r="K25" s="8">
        <f t="shared" si="2"/>
        <v>1407306.4466802171</v>
      </c>
      <c r="L25" s="8">
        <f t="shared" si="2"/>
        <v>1477671.7690142279</v>
      </c>
      <c r="M25" s="8">
        <f t="shared" si="2"/>
        <v>1551555.3574649398</v>
      </c>
      <c r="N25" s="8">
        <f t="shared" si="2"/>
        <v>1629133.125338187</v>
      </c>
      <c r="O25" s="8">
        <f t="shared" si="2"/>
        <v>1710589.7816050963</v>
      </c>
      <c r="P25" s="8">
        <f t="shared" si="2"/>
        <v>1796119.270685351</v>
      </c>
      <c r="Q25" s="8">
        <f t="shared" si="2"/>
        <v>1885925.2342196181</v>
      </c>
      <c r="R25" s="8">
        <f t="shared" si="2"/>
        <v>1980221.4959305997</v>
      </c>
      <c r="S25" s="8">
        <f t="shared" si="2"/>
        <v>2079232.5707271295</v>
      </c>
      <c r="T25" s="8">
        <f t="shared" si="2"/>
        <v>2183194.1992634865</v>
      </c>
      <c r="U25" s="8">
        <f t="shared" si="2"/>
        <v>2292353.9092266611</v>
      </c>
      <c r="V25" s="8">
        <f>V23+B24</f>
        <v>15071161.551342312</v>
      </c>
    </row>
    <row r="26" spans="1:22" ht="60" customHeight="1" x14ac:dyDescent="0.3">
      <c r="A26" s="428"/>
      <c r="B26" s="392"/>
      <c r="C26" s="392"/>
      <c r="D26" s="392"/>
      <c r="E26" s="392"/>
      <c r="F26" s="392"/>
      <c r="G26" s="392"/>
      <c r="H26" s="392"/>
      <c r="I26" s="392"/>
      <c r="J26" s="392"/>
      <c r="K26" s="392"/>
    </row>
    <row r="27" spans="1:22" x14ac:dyDescent="0.3">
      <c r="A27" t="s">
        <v>1421</v>
      </c>
      <c r="B27" s="13">
        <f>IRR(B25:V25)</f>
        <v>0.18539725442177235</v>
      </c>
    </row>
    <row r="28" spans="1:22" x14ac:dyDescent="0.3">
      <c r="A28" t="s">
        <v>1422</v>
      </c>
      <c r="B28" s="338">
        <f>SUM(C25:V25)/ABS(B25)</f>
        <v>6.4608728848508949</v>
      </c>
    </row>
    <row r="29" spans="1:22" x14ac:dyDescent="0.3">
      <c r="A29" t="s">
        <v>1448</v>
      </c>
      <c r="B29" s="13">
        <f>IRR(B23:V23)</f>
        <v>0.17455142654673073</v>
      </c>
    </row>
    <row r="30" spans="1:22" x14ac:dyDescent="0.3">
      <c r="A30" t="s">
        <v>1449</v>
      </c>
      <c r="B30" s="338">
        <f>SUM(C23:V23)/ABS(B23)</f>
        <v>4.6080337233103199</v>
      </c>
    </row>
  </sheetData>
  <mergeCells count="1">
    <mergeCell ref="A26:K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43"/>
  <sheetViews>
    <sheetView topLeftCell="A6" workbookViewId="0">
      <selection activeCell="A26" sqref="A26:U26"/>
    </sheetView>
  </sheetViews>
  <sheetFormatPr defaultRowHeight="14.4" x14ac:dyDescent="0.3"/>
  <cols>
    <col min="1" max="1" width="40" customWidth="1"/>
    <col min="2" max="11" width="13" customWidth="1"/>
    <col min="12" max="21" width="12" bestFit="1" customWidth="1"/>
  </cols>
  <sheetData>
    <row r="1" spans="1:4" ht="17.399999999999999" customHeight="1" x14ac:dyDescent="0.35">
      <c r="A1" s="270" t="s">
        <v>1450</v>
      </c>
    </row>
    <row r="2" spans="1:4" x14ac:dyDescent="0.3">
      <c r="A2" s="271" t="s">
        <v>1451</v>
      </c>
    </row>
    <row r="4" spans="1:4" x14ac:dyDescent="0.3">
      <c r="A4" s="272" t="s">
        <v>1428</v>
      </c>
      <c r="D4" s="272"/>
    </row>
    <row r="5" spans="1:4" x14ac:dyDescent="0.3">
      <c r="A5" s="273"/>
      <c r="B5" s="335"/>
      <c r="C5" s="275"/>
      <c r="D5" s="273"/>
    </row>
    <row r="6" spans="1:4" x14ac:dyDescent="0.3">
      <c r="A6" s="273" t="s">
        <v>1429</v>
      </c>
      <c r="B6" s="8">
        <f>'STRAT — Control'!B12</f>
        <v>6450000</v>
      </c>
      <c r="C6" s="275" t="s">
        <v>1430</v>
      </c>
      <c r="D6" s="273"/>
    </row>
    <row r="7" spans="1:4" x14ac:dyDescent="0.3">
      <c r="A7" s="285" t="s">
        <v>1431</v>
      </c>
      <c r="B7" s="351">
        <f>'STRAT — Control'!B31</f>
        <v>385018.5</v>
      </c>
      <c r="C7" s="275" t="s">
        <v>1432</v>
      </c>
      <c r="D7" s="285"/>
    </row>
    <row r="8" spans="1:4" x14ac:dyDescent="0.3">
      <c r="A8" s="285" t="s">
        <v>1433</v>
      </c>
      <c r="B8" s="339">
        <f>B6+B7</f>
        <v>6835018.5</v>
      </c>
      <c r="C8" s="74"/>
      <c r="D8" s="285"/>
    </row>
    <row r="9" spans="1:4" x14ac:dyDescent="0.3">
      <c r="A9" t="s">
        <v>1434</v>
      </c>
      <c r="B9" s="349">
        <v>-1000000</v>
      </c>
      <c r="C9" s="275" t="s">
        <v>1435</v>
      </c>
    </row>
    <row r="10" spans="1:4" x14ac:dyDescent="0.3">
      <c r="A10" s="340" t="s">
        <v>1436</v>
      </c>
      <c r="B10" s="350">
        <f>SUM(B8:B9)</f>
        <v>5835018.5</v>
      </c>
      <c r="C10" s="74"/>
      <c r="D10" s="340"/>
    </row>
    <row r="12" spans="1:4" x14ac:dyDescent="0.3">
      <c r="A12" t="s">
        <v>1452</v>
      </c>
      <c r="B12" s="327">
        <f>B10</f>
        <v>5835018.5</v>
      </c>
      <c r="C12" t="s">
        <v>1453</v>
      </c>
    </row>
    <row r="13" spans="1:4" x14ac:dyDescent="0.3">
      <c r="A13" t="s">
        <v>1403</v>
      </c>
      <c r="B13" s="325">
        <v>0.115</v>
      </c>
      <c r="C13" t="s">
        <v>1454</v>
      </c>
    </row>
    <row r="14" spans="1:4" x14ac:dyDescent="0.3">
      <c r="A14" t="s">
        <v>1404</v>
      </c>
      <c r="B14">
        <v>20</v>
      </c>
    </row>
    <row r="15" spans="1:4" x14ac:dyDescent="0.3">
      <c r="A15" t="s">
        <v>1455</v>
      </c>
      <c r="B15" s="327">
        <f>IFERROR(PMT(B13,B14,-B12),0)</f>
        <v>756829.81364656414</v>
      </c>
    </row>
    <row r="16" spans="1:4" x14ac:dyDescent="0.3">
      <c r="A16" t="s">
        <v>1456</v>
      </c>
      <c r="B16" s="327">
        <f>'STRAT — Control'!B13</f>
        <v>1000000</v>
      </c>
      <c r="C16" t="s">
        <v>1457</v>
      </c>
    </row>
    <row r="17" spans="1:22" x14ac:dyDescent="0.3">
      <c r="A17" t="s">
        <v>1407</v>
      </c>
      <c r="B17" s="13">
        <v>0.5</v>
      </c>
    </row>
    <row r="19" spans="1:22" x14ac:dyDescent="0.3">
      <c r="A19" s="74" t="s">
        <v>1458</v>
      </c>
    </row>
    <row r="20" spans="1:22" x14ac:dyDescent="0.3">
      <c r="A20" t="s">
        <v>247</v>
      </c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  <c r="N20">
        <v>13</v>
      </c>
      <c r="O20">
        <v>14</v>
      </c>
      <c r="P20">
        <v>15</v>
      </c>
      <c r="Q20">
        <v>16</v>
      </c>
      <c r="R20">
        <v>17</v>
      </c>
      <c r="S20">
        <v>18</v>
      </c>
      <c r="T20">
        <v>19</v>
      </c>
      <c r="U20">
        <v>20</v>
      </c>
    </row>
    <row r="21" spans="1:22" s="74" customFormat="1" x14ac:dyDescent="0.3">
      <c r="A21" s="74" t="s">
        <v>1459</v>
      </c>
      <c r="B21" s="337">
        <f>'Portfolio NewCo'!B16</f>
        <v>952520.39754989708</v>
      </c>
      <c r="C21" s="337">
        <f>'Portfolio NewCo'!C16</f>
        <v>1000146.417427392</v>
      </c>
      <c r="D21" s="337">
        <f>'Portfolio NewCo'!D16</f>
        <v>1050153.7382987614</v>
      </c>
      <c r="E21" s="337">
        <f>'Portfolio NewCo'!E16</f>
        <v>1102661.4252136997</v>
      </c>
      <c r="F21" s="337">
        <f>'Portfolio NewCo'!F16</f>
        <v>1157794.4964743843</v>
      </c>
      <c r="G21" s="337">
        <f>'Portfolio NewCo'!G16</f>
        <v>1215684.2212981044</v>
      </c>
      <c r="H21" s="337">
        <f>'Portfolio NewCo'!H16</f>
        <v>1276468.4323630093</v>
      </c>
      <c r="I21" s="337">
        <f>'Portfolio NewCo'!I16</f>
        <v>1340291.8539811599</v>
      </c>
      <c r="J21" s="337">
        <f>'Portfolio NewCo'!J16</f>
        <v>1407306.4466802171</v>
      </c>
      <c r="K21" s="337">
        <f>'Portfolio NewCo'!K16</f>
        <v>1477671.7690142279</v>
      </c>
      <c r="L21" s="337">
        <f>'Portfolio NewCo'!L16</f>
        <v>1551555.3574649398</v>
      </c>
      <c r="M21" s="337">
        <f>'Portfolio NewCo'!M16</f>
        <v>1629133.125338187</v>
      </c>
      <c r="N21" s="337">
        <f>'Portfolio NewCo'!N16</f>
        <v>1710589.7816050963</v>
      </c>
      <c r="O21" s="337">
        <f>'Portfolio NewCo'!O16</f>
        <v>1796119.270685351</v>
      </c>
      <c r="P21" s="337">
        <f>'Portfolio NewCo'!P16</f>
        <v>1885925.2342196181</v>
      </c>
      <c r="Q21" s="337">
        <f>'Portfolio NewCo'!Q16</f>
        <v>1980221.4959305997</v>
      </c>
      <c r="R21" s="337">
        <f>'Portfolio NewCo'!R16</f>
        <v>2079232.5707271295</v>
      </c>
      <c r="S21" s="337">
        <f>'Portfolio NewCo'!S16</f>
        <v>2183194.1992634865</v>
      </c>
      <c r="T21" s="337">
        <f>'Portfolio NewCo'!T16</f>
        <v>2292353.9092266611</v>
      </c>
      <c r="U21" s="337">
        <f>'Portfolio NewCo'!U16</f>
        <v>2406971.6046879934</v>
      </c>
    </row>
    <row r="22" spans="1:22" x14ac:dyDescent="0.3">
      <c r="A22" t="s">
        <v>1460</v>
      </c>
      <c r="B22" s="8">
        <f>$B$12</f>
        <v>5835018.5</v>
      </c>
      <c r="C22" s="8">
        <f t="shared" ref="C22:U22" si="0">B22-B24</f>
        <v>5749215.8138534361</v>
      </c>
      <c r="D22" s="8">
        <f t="shared" si="0"/>
        <v>5653545.8188000172</v>
      </c>
      <c r="E22" s="8">
        <f t="shared" si="0"/>
        <v>5546873.774315455</v>
      </c>
      <c r="F22" s="8">
        <f t="shared" si="0"/>
        <v>5427934.4447151683</v>
      </c>
      <c r="G22" s="8">
        <f t="shared" si="0"/>
        <v>5295317.0922108488</v>
      </c>
      <c r="H22" s="8">
        <f t="shared" si="0"/>
        <v>5147448.7441685321</v>
      </c>
      <c r="I22" s="8">
        <f t="shared" si="0"/>
        <v>4982575.5361013487</v>
      </c>
      <c r="J22" s="8">
        <f t="shared" si="0"/>
        <v>4798741.9091064399</v>
      </c>
      <c r="K22" s="8">
        <f t="shared" si="0"/>
        <v>4593767.4150071163</v>
      </c>
      <c r="L22" s="8">
        <f t="shared" si="0"/>
        <v>4365220.8540863702</v>
      </c>
      <c r="M22" s="8">
        <f t="shared" si="0"/>
        <v>4110391.4386597387</v>
      </c>
      <c r="N22" s="8">
        <f t="shared" si="0"/>
        <v>3826256.6404590448</v>
      </c>
      <c r="O22" s="8">
        <f t="shared" si="0"/>
        <v>3509446.3404652709</v>
      </c>
      <c r="P22" s="8">
        <f t="shared" si="0"/>
        <v>3156202.8559722127</v>
      </c>
      <c r="Q22" s="8">
        <f t="shared" si="0"/>
        <v>2762336.3707624529</v>
      </c>
      <c r="R22" s="8">
        <f t="shared" si="0"/>
        <v>2323175.2397535709</v>
      </c>
      <c r="S22" s="8">
        <f t="shared" si="0"/>
        <v>1833510.5786786673</v>
      </c>
      <c r="T22" s="8">
        <f t="shared" si="0"/>
        <v>1287534.4815801498</v>
      </c>
      <c r="U22" s="8">
        <f t="shared" si="0"/>
        <v>678771.1333153029</v>
      </c>
    </row>
    <row r="23" spans="1:22" x14ac:dyDescent="0.3">
      <c r="A23" t="s">
        <v>1461</v>
      </c>
      <c r="B23" s="8">
        <f t="shared" ref="B23:U23" si="1">B22*$B$13</f>
        <v>671027.12750000006</v>
      </c>
      <c r="C23" s="8">
        <f t="shared" si="1"/>
        <v>661159.81859314523</v>
      </c>
      <c r="D23" s="8">
        <f t="shared" si="1"/>
        <v>650157.76916200202</v>
      </c>
      <c r="E23" s="8">
        <f t="shared" si="1"/>
        <v>637890.48404627736</v>
      </c>
      <c r="F23" s="8">
        <f t="shared" si="1"/>
        <v>624212.4611422444</v>
      </c>
      <c r="G23" s="8">
        <f t="shared" si="1"/>
        <v>608961.46560424764</v>
      </c>
      <c r="H23" s="8">
        <f t="shared" si="1"/>
        <v>591956.60557938123</v>
      </c>
      <c r="I23" s="8">
        <f t="shared" si="1"/>
        <v>572996.18665165512</v>
      </c>
      <c r="J23" s="8">
        <f t="shared" si="1"/>
        <v>551855.31954724062</v>
      </c>
      <c r="K23" s="8">
        <f t="shared" si="1"/>
        <v>528283.25272581843</v>
      </c>
      <c r="L23">
        <f t="shared" si="1"/>
        <v>502000.39821993257</v>
      </c>
      <c r="M23">
        <f t="shared" si="1"/>
        <v>472695.01544587</v>
      </c>
      <c r="N23">
        <f t="shared" si="1"/>
        <v>440019.51365279016</v>
      </c>
      <c r="O23">
        <f t="shared" si="1"/>
        <v>403586.3291535062</v>
      </c>
      <c r="P23">
        <f t="shared" si="1"/>
        <v>362963.32843680447</v>
      </c>
      <c r="Q23">
        <f t="shared" si="1"/>
        <v>317668.68263768213</v>
      </c>
      <c r="R23">
        <f t="shared" si="1"/>
        <v>267165.15257166064</v>
      </c>
      <c r="S23">
        <f t="shared" si="1"/>
        <v>210853.71654804674</v>
      </c>
      <c r="T23">
        <f t="shared" si="1"/>
        <v>148066.46538171725</v>
      </c>
      <c r="U23">
        <f t="shared" si="1"/>
        <v>78058.680331259835</v>
      </c>
    </row>
    <row r="24" spans="1:22" x14ac:dyDescent="0.3">
      <c r="A24" t="s">
        <v>1462</v>
      </c>
      <c r="B24" s="8">
        <f t="shared" ref="B24:U24" si="2">$B$15-B23</f>
        <v>85802.686146564083</v>
      </c>
      <c r="C24" s="8">
        <f t="shared" si="2"/>
        <v>95669.995053418912</v>
      </c>
      <c r="D24" s="8">
        <f t="shared" si="2"/>
        <v>106672.04448456212</v>
      </c>
      <c r="E24" s="8">
        <f t="shared" si="2"/>
        <v>118939.32960028679</v>
      </c>
      <c r="F24" s="8">
        <f t="shared" si="2"/>
        <v>132617.35250431974</v>
      </c>
      <c r="G24" s="8">
        <f t="shared" si="2"/>
        <v>147868.3480423165</v>
      </c>
      <c r="H24" s="8">
        <f t="shared" si="2"/>
        <v>164873.20806718292</v>
      </c>
      <c r="I24" s="8">
        <f t="shared" si="2"/>
        <v>183833.62699490902</v>
      </c>
      <c r="J24" s="8">
        <f t="shared" si="2"/>
        <v>204974.49409932352</v>
      </c>
      <c r="K24" s="8">
        <f t="shared" si="2"/>
        <v>228546.56092074572</v>
      </c>
      <c r="L24">
        <f t="shared" si="2"/>
        <v>254829.41542663157</v>
      </c>
      <c r="M24">
        <f t="shared" si="2"/>
        <v>284134.79820069415</v>
      </c>
      <c r="N24">
        <f t="shared" si="2"/>
        <v>316810.29999377398</v>
      </c>
      <c r="O24">
        <f t="shared" si="2"/>
        <v>353243.48449305794</v>
      </c>
      <c r="P24">
        <f t="shared" si="2"/>
        <v>393866.48520975967</v>
      </c>
      <c r="Q24">
        <f t="shared" si="2"/>
        <v>439161.13100888202</v>
      </c>
      <c r="R24">
        <f t="shared" si="2"/>
        <v>489664.6610749035</v>
      </c>
      <c r="S24">
        <f t="shared" si="2"/>
        <v>545976.09709851746</v>
      </c>
      <c r="T24">
        <f t="shared" si="2"/>
        <v>608763.34826484695</v>
      </c>
      <c r="U24">
        <f t="shared" si="2"/>
        <v>678771.13331530429</v>
      </c>
    </row>
    <row r="25" spans="1:22" s="74" customFormat="1" x14ac:dyDescent="0.3">
      <c r="A25" s="74" t="s">
        <v>1463</v>
      </c>
      <c r="B25" s="435">
        <f>-$B$15</f>
        <v>-756829.81364656414</v>
      </c>
      <c r="C25" s="435">
        <f>-$B$15</f>
        <v>-756829.81364656414</v>
      </c>
      <c r="D25" s="435">
        <f t="shared" ref="D25:U25" si="3">-$B$15</f>
        <v>-756829.81364656414</v>
      </c>
      <c r="E25" s="435">
        <f t="shared" si="3"/>
        <v>-756829.81364656414</v>
      </c>
      <c r="F25" s="435">
        <f t="shared" si="3"/>
        <v>-756829.81364656414</v>
      </c>
      <c r="G25" s="435">
        <f t="shared" si="3"/>
        <v>-756829.81364656414</v>
      </c>
      <c r="H25" s="435">
        <f t="shared" si="3"/>
        <v>-756829.81364656414</v>
      </c>
      <c r="I25" s="435">
        <f t="shared" si="3"/>
        <v>-756829.81364656414</v>
      </c>
      <c r="J25" s="435">
        <f t="shared" si="3"/>
        <v>-756829.81364656414</v>
      </c>
      <c r="K25" s="435">
        <f t="shared" si="3"/>
        <v>-756829.81364656414</v>
      </c>
      <c r="L25" s="435">
        <f t="shared" si="3"/>
        <v>-756829.81364656414</v>
      </c>
      <c r="M25" s="435">
        <f t="shared" si="3"/>
        <v>-756829.81364656414</v>
      </c>
      <c r="N25" s="435">
        <f t="shared" si="3"/>
        <v>-756829.81364656414</v>
      </c>
      <c r="O25" s="435">
        <f t="shared" si="3"/>
        <v>-756829.81364656414</v>
      </c>
      <c r="P25" s="435">
        <f t="shared" si="3"/>
        <v>-756829.81364656414</v>
      </c>
      <c r="Q25" s="435">
        <f t="shared" si="3"/>
        <v>-756829.81364656414</v>
      </c>
      <c r="R25" s="435">
        <f t="shared" si="3"/>
        <v>-756829.81364656414</v>
      </c>
      <c r="S25" s="435">
        <f t="shared" si="3"/>
        <v>-756829.81364656414</v>
      </c>
      <c r="T25" s="435">
        <f t="shared" si="3"/>
        <v>-756829.81364656414</v>
      </c>
      <c r="U25" s="435">
        <f t="shared" si="3"/>
        <v>-756829.81364656414</v>
      </c>
    </row>
    <row r="26" spans="1:22" x14ac:dyDescent="0.3">
      <c r="A26" s="436" t="s">
        <v>1464</v>
      </c>
      <c r="B26" s="437">
        <f>B21+B25</f>
        <v>195690.58390333294</v>
      </c>
      <c r="C26" s="437">
        <f t="shared" ref="C26:U26" si="4">C21+C25</f>
        <v>243316.60378082783</v>
      </c>
      <c r="D26" s="437">
        <f t="shared" si="4"/>
        <v>293323.92465219728</v>
      </c>
      <c r="E26" s="437">
        <f t="shared" si="4"/>
        <v>345831.61156713555</v>
      </c>
      <c r="F26" s="437">
        <f t="shared" si="4"/>
        <v>400964.68282782019</v>
      </c>
      <c r="G26" s="437">
        <f t="shared" si="4"/>
        <v>458854.40765154024</v>
      </c>
      <c r="H26" s="437">
        <f t="shared" si="4"/>
        <v>519638.61871644517</v>
      </c>
      <c r="I26" s="437">
        <f t="shared" si="4"/>
        <v>583462.04033459572</v>
      </c>
      <c r="J26" s="437">
        <f t="shared" si="4"/>
        <v>650476.63303365291</v>
      </c>
      <c r="K26" s="437">
        <f t="shared" si="4"/>
        <v>720841.95536766376</v>
      </c>
      <c r="L26" s="437">
        <f t="shared" si="4"/>
        <v>794725.54381837568</v>
      </c>
      <c r="M26" s="437">
        <f t="shared" si="4"/>
        <v>872303.31169162283</v>
      </c>
      <c r="N26" s="437">
        <f t="shared" si="4"/>
        <v>953759.96795853216</v>
      </c>
      <c r="O26" s="437">
        <f t="shared" si="4"/>
        <v>1039289.4570387868</v>
      </c>
      <c r="P26" s="437">
        <f t="shared" si="4"/>
        <v>1129095.4205730539</v>
      </c>
      <c r="Q26" s="437">
        <f t="shared" si="4"/>
        <v>1223391.6822840357</v>
      </c>
      <c r="R26" s="437">
        <f t="shared" si="4"/>
        <v>1322402.7570805652</v>
      </c>
      <c r="S26" s="437">
        <f t="shared" si="4"/>
        <v>1426364.3856169223</v>
      </c>
      <c r="T26" s="437">
        <f t="shared" si="4"/>
        <v>1535524.0955800968</v>
      </c>
      <c r="U26" s="437">
        <f t="shared" si="4"/>
        <v>1650141.7910414292</v>
      </c>
    </row>
    <row r="27" spans="1:22" x14ac:dyDescent="0.3">
      <c r="A27" t="s">
        <v>1415</v>
      </c>
      <c r="B27" s="8">
        <f>B26</f>
        <v>195690.58390333294</v>
      </c>
      <c r="C27" s="8">
        <f t="shared" ref="C27:U27" si="5">B27+C26</f>
        <v>439007.18768416077</v>
      </c>
      <c r="D27" s="8">
        <f t="shared" si="5"/>
        <v>732331.11233635806</v>
      </c>
      <c r="E27" s="8">
        <f t="shared" si="5"/>
        <v>1078162.7239034935</v>
      </c>
      <c r="F27" s="8">
        <f t="shared" si="5"/>
        <v>1479127.4067313136</v>
      </c>
      <c r="G27" s="8">
        <f t="shared" si="5"/>
        <v>1937981.8143828539</v>
      </c>
      <c r="H27" s="8">
        <f t="shared" si="5"/>
        <v>2457620.4330992992</v>
      </c>
      <c r="I27" s="8">
        <f t="shared" si="5"/>
        <v>3041082.473433895</v>
      </c>
      <c r="J27" s="8">
        <f t="shared" si="5"/>
        <v>3691559.1064675478</v>
      </c>
      <c r="K27" s="8">
        <f t="shared" si="5"/>
        <v>4412401.0618352117</v>
      </c>
      <c r="L27" s="8">
        <f t="shared" si="5"/>
        <v>5207126.6056535877</v>
      </c>
      <c r="M27" s="8">
        <f t="shared" si="5"/>
        <v>6079429.9173452109</v>
      </c>
      <c r="N27" s="8">
        <f t="shared" si="5"/>
        <v>7033189.8853037432</v>
      </c>
      <c r="O27" s="8">
        <f t="shared" si="5"/>
        <v>8072479.3423425304</v>
      </c>
      <c r="P27" s="8">
        <f t="shared" si="5"/>
        <v>9201574.7629155852</v>
      </c>
      <c r="Q27" s="8">
        <f t="shared" si="5"/>
        <v>10424966.44519962</v>
      </c>
      <c r="R27" s="8">
        <f t="shared" si="5"/>
        <v>11747369.202280186</v>
      </c>
      <c r="S27" s="8">
        <f t="shared" si="5"/>
        <v>13173733.587897109</v>
      </c>
      <c r="T27" s="8">
        <f t="shared" si="5"/>
        <v>14709257.683477206</v>
      </c>
      <c r="U27" s="8">
        <f t="shared" si="5"/>
        <v>16359399.474518634</v>
      </c>
    </row>
    <row r="29" spans="1:22" x14ac:dyDescent="0.3">
      <c r="A29" s="74" t="s">
        <v>1465</v>
      </c>
    </row>
    <row r="30" spans="1:22" x14ac:dyDescent="0.3">
      <c r="A30" t="s">
        <v>1466</v>
      </c>
      <c r="B30" s="13">
        <f>B26/B16</f>
        <v>0.19569058390333294</v>
      </c>
    </row>
    <row r="31" spans="1:22" x14ac:dyDescent="0.3">
      <c r="A31" t="s">
        <v>1420</v>
      </c>
      <c r="B31" s="8">
        <f>-'STRAT — Control'!B13</f>
        <v>-1000000</v>
      </c>
      <c r="C31" s="8">
        <f t="shared" ref="C31:V31" si="6">B26</f>
        <v>195690.58390333294</v>
      </c>
      <c r="D31" s="8">
        <f t="shared" si="6"/>
        <v>243316.60378082783</v>
      </c>
      <c r="E31" s="8">
        <f t="shared" si="6"/>
        <v>293323.92465219728</v>
      </c>
      <c r="F31" s="8">
        <f t="shared" si="6"/>
        <v>345831.61156713555</v>
      </c>
      <c r="G31" s="8">
        <f t="shared" si="6"/>
        <v>400964.68282782019</v>
      </c>
      <c r="H31" s="8">
        <f t="shared" si="6"/>
        <v>458854.40765154024</v>
      </c>
      <c r="I31" s="8">
        <f t="shared" si="6"/>
        <v>519638.61871644517</v>
      </c>
      <c r="J31" s="8">
        <f t="shared" si="6"/>
        <v>583462.04033459572</v>
      </c>
      <c r="K31" s="8">
        <f t="shared" si="6"/>
        <v>650476.63303365291</v>
      </c>
      <c r="L31" s="8">
        <f t="shared" si="6"/>
        <v>720841.95536766376</v>
      </c>
      <c r="M31" s="8">
        <f t="shared" si="6"/>
        <v>794725.54381837568</v>
      </c>
      <c r="N31" s="8">
        <f t="shared" si="6"/>
        <v>872303.31169162283</v>
      </c>
      <c r="O31" s="8">
        <f t="shared" si="6"/>
        <v>953759.96795853216</v>
      </c>
      <c r="P31" s="8">
        <f t="shared" si="6"/>
        <v>1039289.4570387868</v>
      </c>
      <c r="Q31" s="8">
        <f t="shared" si="6"/>
        <v>1129095.4205730539</v>
      </c>
      <c r="R31" s="8">
        <f t="shared" si="6"/>
        <v>1223391.6822840357</v>
      </c>
      <c r="S31" s="8">
        <f t="shared" si="6"/>
        <v>1322402.7570805652</v>
      </c>
      <c r="T31" s="8">
        <f t="shared" si="6"/>
        <v>1426364.3856169223</v>
      </c>
      <c r="U31" s="8">
        <f t="shared" si="6"/>
        <v>1535524.0955800968</v>
      </c>
      <c r="V31" s="8">
        <f t="shared" si="6"/>
        <v>1650141.7910414292</v>
      </c>
    </row>
    <row r="32" spans="1:22" x14ac:dyDescent="0.3">
      <c r="A32" t="s">
        <v>1467</v>
      </c>
      <c r="B32" s="8">
        <f>U22-U24</f>
        <v>-1.3969838619232178E-9</v>
      </c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22" x14ac:dyDescent="0.3">
      <c r="A33" t="s">
        <v>1468</v>
      </c>
      <c r="B33" s="8">
        <f>'STRAT — Control'!B11*'STRAT — Control'!B19*(1+'STRAT — Control'!B61)^20*(1-'STRAT — Control'!B62-'STRAT — Control'!B63)-B32</f>
        <v>12664189.946654322</v>
      </c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22" x14ac:dyDescent="0.3">
      <c r="A34" t="s">
        <v>1447</v>
      </c>
      <c r="B34" s="8">
        <f t="shared" ref="B34:U34" si="7">B31</f>
        <v>-1000000</v>
      </c>
      <c r="C34" s="8">
        <f t="shared" si="7"/>
        <v>195690.58390333294</v>
      </c>
      <c r="D34" s="8">
        <f t="shared" si="7"/>
        <v>243316.60378082783</v>
      </c>
      <c r="E34" s="8">
        <f t="shared" si="7"/>
        <v>293323.92465219728</v>
      </c>
      <c r="F34" s="8">
        <f t="shared" si="7"/>
        <v>345831.61156713555</v>
      </c>
      <c r="G34" s="8">
        <f t="shared" si="7"/>
        <v>400964.68282782019</v>
      </c>
      <c r="H34" s="8">
        <f t="shared" si="7"/>
        <v>458854.40765154024</v>
      </c>
      <c r="I34" s="8">
        <f t="shared" si="7"/>
        <v>519638.61871644517</v>
      </c>
      <c r="J34" s="8">
        <f t="shared" si="7"/>
        <v>583462.04033459572</v>
      </c>
      <c r="K34" s="8">
        <f t="shared" si="7"/>
        <v>650476.63303365291</v>
      </c>
      <c r="L34" s="8">
        <f t="shared" si="7"/>
        <v>720841.95536766376</v>
      </c>
      <c r="M34" s="8">
        <f t="shared" si="7"/>
        <v>794725.54381837568</v>
      </c>
      <c r="N34" s="8">
        <f t="shared" si="7"/>
        <v>872303.31169162283</v>
      </c>
      <c r="O34" s="8">
        <f t="shared" si="7"/>
        <v>953759.96795853216</v>
      </c>
      <c r="P34" s="8">
        <f t="shared" si="7"/>
        <v>1039289.4570387868</v>
      </c>
      <c r="Q34" s="8">
        <f t="shared" si="7"/>
        <v>1129095.4205730539</v>
      </c>
      <c r="R34" s="8">
        <f t="shared" si="7"/>
        <v>1223391.6822840357</v>
      </c>
      <c r="S34" s="8">
        <f t="shared" si="7"/>
        <v>1322402.7570805652</v>
      </c>
      <c r="T34" s="8">
        <f t="shared" si="7"/>
        <v>1426364.3856169223</v>
      </c>
      <c r="U34" s="8">
        <f t="shared" si="7"/>
        <v>1535524.0955800968</v>
      </c>
      <c r="V34" s="8">
        <f>V31+B33</f>
        <v>14314331.73769575</v>
      </c>
    </row>
    <row r="36" spans="1:22" ht="79.95" customHeight="1" x14ac:dyDescent="0.3">
      <c r="A36" t="s">
        <v>1421</v>
      </c>
      <c r="B36" s="13">
        <f>IRR(B34:V34)</f>
        <v>0.35638235463491275</v>
      </c>
    </row>
    <row r="37" spans="1:22" x14ac:dyDescent="0.3">
      <c r="A37" t="s">
        <v>1422</v>
      </c>
      <c r="B37" s="338">
        <f>SUM(C34:V34)/ABS(B34)</f>
        <v>29.023589421172954</v>
      </c>
    </row>
    <row r="38" spans="1:22" x14ac:dyDescent="0.3">
      <c r="A38" t="s">
        <v>1469</v>
      </c>
      <c r="B38" s="13">
        <f>IRR(B31:V31)</f>
        <v>0.34932414110078236</v>
      </c>
    </row>
    <row r="39" spans="1:22" x14ac:dyDescent="0.3">
      <c r="A39" t="s">
        <v>1470</v>
      </c>
      <c r="B39" s="338">
        <f>SUM(C31:V31)/ABS(B31)</f>
        <v>16.359399474518636</v>
      </c>
    </row>
    <row r="41" spans="1:22" x14ac:dyDescent="0.3">
      <c r="A41" s="74" t="s">
        <v>1471</v>
      </c>
    </row>
    <row r="43" spans="1:22" x14ac:dyDescent="0.3">
      <c r="A43" t="s">
        <v>1472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115"/>
  <sheetViews>
    <sheetView topLeftCell="A9" workbookViewId="0">
      <selection activeCell="A9" sqref="A1:A1048576"/>
    </sheetView>
  </sheetViews>
  <sheetFormatPr defaultRowHeight="14.4" x14ac:dyDescent="0.3"/>
  <cols>
    <col min="1" max="1" width="15.88671875" customWidth="1"/>
    <col min="2" max="2" width="13" customWidth="1"/>
    <col min="3" max="5" width="17" customWidth="1"/>
  </cols>
  <sheetData>
    <row r="1" spans="1:5" ht="17.399999999999999" customHeight="1" x14ac:dyDescent="0.35">
      <c r="A1" s="270" t="s">
        <v>1473</v>
      </c>
    </row>
    <row r="2" spans="1:5" x14ac:dyDescent="0.3">
      <c r="A2" s="271" t="s">
        <v>1474</v>
      </c>
    </row>
    <row r="4" spans="1:5" x14ac:dyDescent="0.3">
      <c r="A4" s="74" t="s">
        <v>1475</v>
      </c>
    </row>
    <row r="5" spans="1:5" x14ac:dyDescent="0.3">
      <c r="A5" t="s">
        <v>1429</v>
      </c>
      <c r="B5" s="8">
        <f>'STRAT — Control'!B12</f>
        <v>6450000</v>
      </c>
    </row>
    <row r="6" spans="1:5" x14ac:dyDescent="0.3">
      <c r="A6" t="s">
        <v>1476</v>
      </c>
      <c r="B6" s="8">
        <f>'STRAT 1 — Partner view'!B7</f>
        <v>385018.5</v>
      </c>
    </row>
    <row r="7" spans="1:5" x14ac:dyDescent="0.3">
      <c r="A7" s="74" t="s">
        <v>1433</v>
      </c>
      <c r="B7" s="8">
        <f>B5+B6</f>
        <v>6835018.5</v>
      </c>
    </row>
    <row r="8" spans="1:5" x14ac:dyDescent="0.3">
      <c r="A8" t="s">
        <v>1477</v>
      </c>
      <c r="B8" s="8">
        <f>'STRAT — Control'!B13</f>
        <v>1000000</v>
      </c>
    </row>
    <row r="9" spans="1:5" x14ac:dyDescent="0.3">
      <c r="A9" s="74" t="s">
        <v>1478</v>
      </c>
      <c r="B9" s="8">
        <f>B7-B8</f>
        <v>5835018.5</v>
      </c>
    </row>
    <row r="10" spans="1:5" x14ac:dyDescent="0.3">
      <c r="A10" t="s">
        <v>1403</v>
      </c>
      <c r="B10" s="13">
        <f>'STRAT 3 — Partner full-bond'!B13</f>
        <v>0.115</v>
      </c>
    </row>
    <row r="11" spans="1:5" x14ac:dyDescent="0.3">
      <c r="A11" t="s">
        <v>1404</v>
      </c>
      <c r="B11" s="280">
        <f>'STRAT 3 — Partner full-bond'!B14</f>
        <v>20</v>
      </c>
    </row>
    <row r="12" spans="1:5" x14ac:dyDescent="0.3">
      <c r="A12" s="272" t="s">
        <v>1479</v>
      </c>
      <c r="B12" s="8">
        <f>'STRAT — Control'!B39</f>
        <v>952520.39754989708</v>
      </c>
    </row>
    <row r="13" spans="1:5" ht="27.6" customHeight="1" x14ac:dyDescent="0.3">
      <c r="A13" s="74" t="s">
        <v>1480</v>
      </c>
      <c r="C13" s="74" t="s">
        <v>1481</v>
      </c>
      <c r="D13" s="74" t="s">
        <v>1482</v>
      </c>
      <c r="E13" s="74" t="s">
        <v>1483</v>
      </c>
    </row>
    <row r="14" spans="1:5" x14ac:dyDescent="0.3">
      <c r="A14" t="s">
        <v>1484</v>
      </c>
      <c r="C14" s="308">
        <v>0.5</v>
      </c>
      <c r="D14" s="308">
        <v>0</v>
      </c>
      <c r="E14" s="308">
        <v>1</v>
      </c>
    </row>
    <row r="15" spans="1:5" x14ac:dyDescent="0.3">
      <c r="A15" t="s">
        <v>1485</v>
      </c>
      <c r="C15" s="8">
        <f>$B$8+(1-C14)*$B$9</f>
        <v>3917509.25</v>
      </c>
      <c r="D15" s="8">
        <f>$B$8+(1-D14)*$B$9</f>
        <v>6835018.5</v>
      </c>
      <c r="E15" s="8">
        <f>$B$8+(1-E14)*$B$9</f>
        <v>1000000</v>
      </c>
    </row>
    <row r="16" spans="1:5" x14ac:dyDescent="0.3">
      <c r="A16" t="s">
        <v>1486</v>
      </c>
      <c r="C16" s="8">
        <f>C14*$B$9</f>
        <v>2917509.25</v>
      </c>
      <c r="D16" s="8">
        <f>D14*$B$9</f>
        <v>0</v>
      </c>
      <c r="E16" s="8">
        <f>E14*$B$9</f>
        <v>5835018.5</v>
      </c>
    </row>
    <row r="17" spans="1:5" x14ac:dyDescent="0.3">
      <c r="A17" t="s">
        <v>1487</v>
      </c>
      <c r="C17" s="8">
        <f>IFERROR(PMT($B$10,$B$11,-C16),0)</f>
        <v>378414.90682328207</v>
      </c>
      <c r="D17" s="8">
        <f>IFERROR(PMT($B$10,$B$11,-D16),0)</f>
        <v>0</v>
      </c>
      <c r="E17" s="8">
        <f>IFERROR(PMT($B$10,$B$11,-E16),0)</f>
        <v>756829.81364656414</v>
      </c>
    </row>
    <row r="18" spans="1:5" x14ac:dyDescent="0.3">
      <c r="A18" t="s">
        <v>1488</v>
      </c>
      <c r="C18" s="8">
        <f>$B$12</f>
        <v>952520.39754989708</v>
      </c>
      <c r="D18" s="8">
        <f>$B$12</f>
        <v>952520.39754989708</v>
      </c>
      <c r="E18" s="8">
        <f>$B$12</f>
        <v>952520.39754989708</v>
      </c>
    </row>
    <row r="19" spans="1:5" x14ac:dyDescent="0.3">
      <c r="A19" t="s">
        <v>1489</v>
      </c>
      <c r="C19" s="8">
        <f>C18-C17</f>
        <v>574105.49072661507</v>
      </c>
      <c r="D19" s="8">
        <f>D18-D17</f>
        <v>952520.39754989708</v>
      </c>
      <c r="E19" s="8">
        <f>E18-E17</f>
        <v>195690.58390333294</v>
      </c>
    </row>
    <row r="20" spans="1:5" x14ac:dyDescent="0.3">
      <c r="A20" t="s">
        <v>1490</v>
      </c>
      <c r="C20" s="13">
        <f>C19/C15</f>
        <v>0.1465485986348635</v>
      </c>
      <c r="D20" s="13">
        <f>D19/D15</f>
        <v>0.13935886165485831</v>
      </c>
      <c r="E20" s="13">
        <f>E19/E15</f>
        <v>0.19569058390333294</v>
      </c>
    </row>
    <row r="22" spans="1:5" x14ac:dyDescent="0.3">
      <c r="A22" s="301" t="s">
        <v>1491</v>
      </c>
      <c r="B22" s="301"/>
      <c r="C22" s="301"/>
      <c r="D22" s="301"/>
      <c r="E22" s="301"/>
    </row>
    <row r="23" spans="1:5" x14ac:dyDescent="0.3">
      <c r="B23" t="s">
        <v>247</v>
      </c>
      <c r="C23" t="s">
        <v>1492</v>
      </c>
      <c r="D23" t="s">
        <v>1493</v>
      </c>
      <c r="E23" t="s">
        <v>1494</v>
      </c>
    </row>
    <row r="24" spans="1:5" x14ac:dyDescent="0.3">
      <c r="B24" s="74">
        <v>0</v>
      </c>
      <c r="C24" s="309">
        <f>-C15</f>
        <v>-3917509.25</v>
      </c>
      <c r="D24" s="309">
        <f>-D15</f>
        <v>-6835018.5</v>
      </c>
      <c r="E24" s="309">
        <f>-E15</f>
        <v>-1000000</v>
      </c>
    </row>
    <row r="25" spans="1:5" x14ac:dyDescent="0.3">
      <c r="B25" s="74">
        <v>1</v>
      </c>
      <c r="C25" s="309">
        <f>'Portfolio NewCo'!B16-C17</f>
        <v>574105.49072661507</v>
      </c>
      <c r="D25" s="309">
        <f>'Portfolio NewCo'!B16-D17</f>
        <v>952520.39754989708</v>
      </c>
      <c r="E25" s="309">
        <f>'Portfolio NewCo'!B16-E17</f>
        <v>195690.58390333294</v>
      </c>
    </row>
    <row r="26" spans="1:5" x14ac:dyDescent="0.3">
      <c r="B26" s="74">
        <v>2</v>
      </c>
      <c r="C26" s="309">
        <f>'Portfolio NewCo'!C16-C17</f>
        <v>621731.51060410985</v>
      </c>
      <c r="D26" s="309">
        <f>'Portfolio NewCo'!C16-D17</f>
        <v>1000146.417427392</v>
      </c>
      <c r="E26" s="309">
        <f>'Portfolio NewCo'!C16-E17</f>
        <v>243316.60378082783</v>
      </c>
    </row>
    <row r="27" spans="1:5" x14ac:dyDescent="0.3">
      <c r="B27" s="74">
        <v>3</v>
      </c>
      <c r="C27" s="309">
        <f>'Portfolio NewCo'!D16-C17</f>
        <v>671738.8314754793</v>
      </c>
      <c r="D27" s="309">
        <f>'Portfolio NewCo'!D16-D17</f>
        <v>1050153.7382987614</v>
      </c>
      <c r="E27" s="309">
        <f>'Portfolio NewCo'!D16-E17</f>
        <v>293323.92465219728</v>
      </c>
    </row>
    <row r="28" spans="1:5" x14ac:dyDescent="0.3">
      <c r="B28" s="74">
        <v>4</v>
      </c>
      <c r="C28" s="309">
        <f>'Portfolio NewCo'!E16-C17</f>
        <v>724246.51839041756</v>
      </c>
      <c r="D28" s="309">
        <f>'Portfolio NewCo'!E16-D17</f>
        <v>1102661.4252136997</v>
      </c>
      <c r="E28" s="309">
        <f>'Portfolio NewCo'!E16-E17</f>
        <v>345831.61156713555</v>
      </c>
    </row>
    <row r="29" spans="1:5" x14ac:dyDescent="0.3">
      <c r="B29" s="74">
        <v>5</v>
      </c>
      <c r="C29" s="309">
        <f>'Portfolio NewCo'!F16-C17</f>
        <v>779379.5896511022</v>
      </c>
      <c r="D29" s="309">
        <f>'Portfolio NewCo'!F16-D17</f>
        <v>1157794.4964743843</v>
      </c>
      <c r="E29" s="309">
        <f>'Portfolio NewCo'!F16-E17</f>
        <v>400964.68282782019</v>
      </c>
    </row>
    <row r="30" spans="1:5" x14ac:dyDescent="0.3">
      <c r="B30" s="74">
        <v>6</v>
      </c>
      <c r="C30" s="309">
        <f>'Portfolio NewCo'!G16-C17</f>
        <v>837269.31447482225</v>
      </c>
      <c r="D30" s="309">
        <f>'Portfolio NewCo'!G16-D17</f>
        <v>1215684.2212981044</v>
      </c>
      <c r="E30" s="309">
        <f>'Portfolio NewCo'!G16-E17</f>
        <v>458854.40765154024</v>
      </c>
    </row>
    <row r="31" spans="1:5" x14ac:dyDescent="0.3">
      <c r="B31" s="74">
        <v>7</v>
      </c>
      <c r="C31" s="309">
        <f>'Portfolio NewCo'!H16-C17</f>
        <v>898053.52553972718</v>
      </c>
      <c r="D31" s="309">
        <f>'Portfolio NewCo'!H16-D17</f>
        <v>1276468.4323630093</v>
      </c>
      <c r="E31" s="309">
        <f>'Portfolio NewCo'!H16-E17</f>
        <v>519638.61871644517</v>
      </c>
    </row>
    <row r="32" spans="1:5" x14ac:dyDescent="0.3">
      <c r="B32" s="74">
        <v>8</v>
      </c>
      <c r="C32" s="309">
        <f>'Portfolio NewCo'!I16-C17</f>
        <v>961876.94715787773</v>
      </c>
      <c r="D32" s="309">
        <f>'Portfolio NewCo'!I16-D17</f>
        <v>1340291.8539811599</v>
      </c>
      <c r="E32" s="309">
        <f>'Portfolio NewCo'!I16-E17</f>
        <v>583462.04033459572</v>
      </c>
    </row>
    <row r="33" spans="1:5" x14ac:dyDescent="0.3">
      <c r="B33" s="74">
        <v>9</v>
      </c>
      <c r="C33" s="309">
        <f>'Portfolio NewCo'!J16-C17</f>
        <v>1028891.5398569349</v>
      </c>
      <c r="D33" s="309">
        <f>'Portfolio NewCo'!J16-D17</f>
        <v>1407306.4466802171</v>
      </c>
      <c r="E33" s="309">
        <f>'Portfolio NewCo'!J16-E17</f>
        <v>650476.63303365291</v>
      </c>
    </row>
    <row r="34" spans="1:5" x14ac:dyDescent="0.3">
      <c r="B34" s="74">
        <v>10</v>
      </c>
      <c r="C34" s="309">
        <f>'Portfolio NewCo'!K16-C17</f>
        <v>1099256.8621909458</v>
      </c>
      <c r="D34" s="309">
        <f>'Portfolio NewCo'!K16-D17</f>
        <v>1477671.7690142279</v>
      </c>
      <c r="E34" s="309">
        <f>'Portfolio NewCo'!K16-E17</f>
        <v>720841.95536766376</v>
      </c>
    </row>
    <row r="35" spans="1:5" x14ac:dyDescent="0.3">
      <c r="B35" s="74">
        <v>11</v>
      </c>
      <c r="C35" s="309">
        <f>'Portfolio NewCo'!L16-C17</f>
        <v>1173140.4506416577</v>
      </c>
      <c r="D35" s="309">
        <f>'Portfolio NewCo'!L16-D17</f>
        <v>1551555.3574649398</v>
      </c>
      <c r="E35" s="309">
        <f>'Portfolio NewCo'!L16-E17</f>
        <v>794725.54381837568</v>
      </c>
    </row>
    <row r="36" spans="1:5" x14ac:dyDescent="0.3">
      <c r="B36" s="74">
        <v>12</v>
      </c>
      <c r="C36" s="309">
        <f>'Portfolio NewCo'!M16-C17</f>
        <v>1250718.2185149048</v>
      </c>
      <c r="D36" s="309">
        <f>'Portfolio NewCo'!M16-D17</f>
        <v>1629133.125338187</v>
      </c>
      <c r="E36" s="309">
        <f>'Portfolio NewCo'!M16-E17</f>
        <v>872303.31169162283</v>
      </c>
    </row>
    <row r="37" spans="1:5" x14ac:dyDescent="0.3">
      <c r="B37" s="74">
        <v>13</v>
      </c>
      <c r="C37" s="309">
        <f>'Portfolio NewCo'!N16-C17</f>
        <v>1332174.8747818142</v>
      </c>
      <c r="D37" s="309">
        <f>'Portfolio NewCo'!N16-D17</f>
        <v>1710589.7816050963</v>
      </c>
      <c r="E37" s="309">
        <f>'Portfolio NewCo'!N16-E17</f>
        <v>953759.96795853216</v>
      </c>
    </row>
    <row r="38" spans="1:5" x14ac:dyDescent="0.3">
      <c r="B38" s="74">
        <v>14</v>
      </c>
      <c r="C38" s="309">
        <f>'Portfolio NewCo'!O16-C17</f>
        <v>1417704.3638620689</v>
      </c>
      <c r="D38" s="309">
        <f>'Portfolio NewCo'!O16-D17</f>
        <v>1796119.270685351</v>
      </c>
      <c r="E38" s="309">
        <f>'Portfolio NewCo'!O16-E17</f>
        <v>1039289.4570387868</v>
      </c>
    </row>
    <row r="39" spans="1:5" x14ac:dyDescent="0.3">
      <c r="B39" s="74">
        <v>15</v>
      </c>
      <c r="C39" s="309">
        <f>'Portfolio NewCo'!P16-C17</f>
        <v>1507510.327396336</v>
      </c>
      <c r="D39" s="309">
        <f>'Portfolio NewCo'!P16-D17</f>
        <v>1885925.2342196181</v>
      </c>
      <c r="E39" s="309">
        <f>'Portfolio NewCo'!P16-E17</f>
        <v>1129095.4205730539</v>
      </c>
    </row>
    <row r="40" spans="1:5" ht="94.95" customHeight="1" x14ac:dyDescent="0.3">
      <c r="B40" s="74">
        <v>16</v>
      </c>
      <c r="C40" s="309">
        <f>'Portfolio NewCo'!Q16-C17</f>
        <v>1601806.5891073176</v>
      </c>
      <c r="D40" s="309">
        <f>'Portfolio NewCo'!Q16-D17</f>
        <v>1980221.4959305997</v>
      </c>
      <c r="E40" s="309">
        <f>'Portfolio NewCo'!Q16-E17</f>
        <v>1223391.6822840357</v>
      </c>
    </row>
    <row r="41" spans="1:5" x14ac:dyDescent="0.3">
      <c r="B41" s="74">
        <v>17</v>
      </c>
      <c r="C41" s="309">
        <f>'Portfolio NewCo'!R16-C17</f>
        <v>1700817.6639038473</v>
      </c>
      <c r="D41" s="309">
        <f>'Portfolio NewCo'!R16-D17</f>
        <v>2079232.5707271295</v>
      </c>
      <c r="E41" s="309">
        <f>'Portfolio NewCo'!R16-E17</f>
        <v>1322402.7570805652</v>
      </c>
    </row>
    <row r="42" spans="1:5" x14ac:dyDescent="0.3">
      <c r="B42" s="74">
        <v>18</v>
      </c>
      <c r="C42" s="309">
        <f>'Portfolio NewCo'!S16-C17</f>
        <v>1804779.2924402044</v>
      </c>
      <c r="D42" s="309">
        <f>'Portfolio NewCo'!S16-D17</f>
        <v>2183194.1992634865</v>
      </c>
      <c r="E42" s="309">
        <f>'Portfolio NewCo'!S16-E17</f>
        <v>1426364.3856169223</v>
      </c>
    </row>
    <row r="43" spans="1:5" x14ac:dyDescent="0.3">
      <c r="B43" s="74">
        <v>19</v>
      </c>
      <c r="C43" s="309">
        <f>'Portfolio NewCo'!T16-C17</f>
        <v>1913939.002403379</v>
      </c>
      <c r="D43" s="309">
        <f>'Portfolio NewCo'!T16-D17</f>
        <v>2292353.9092266611</v>
      </c>
      <c r="E43" s="309">
        <f>'Portfolio NewCo'!T16-E17</f>
        <v>1535524.0955800968</v>
      </c>
    </row>
    <row r="44" spans="1:5" x14ac:dyDescent="0.3">
      <c r="B44" s="74">
        <v>20</v>
      </c>
      <c r="C44" s="309">
        <f>'Portfolio NewCo'!U16-C17</f>
        <v>2028556.6978647113</v>
      </c>
      <c r="D44" s="309">
        <f>'Portfolio NewCo'!U16-D17</f>
        <v>2406971.6046879934</v>
      </c>
      <c r="E44" s="309">
        <f>'Portfolio NewCo'!U16-E17</f>
        <v>1650141.7910414292</v>
      </c>
    </row>
    <row r="45" spans="1:5" ht="19.95" customHeight="1" x14ac:dyDescent="0.3">
      <c r="A45" s="434" t="s">
        <v>1495</v>
      </c>
      <c r="B45" s="392"/>
      <c r="C45" s="392"/>
      <c r="D45" s="392"/>
      <c r="E45" s="392"/>
    </row>
    <row r="47" spans="1:5" ht="18" customHeight="1" x14ac:dyDescent="0.3">
      <c r="A47" s="341" t="s">
        <v>1496</v>
      </c>
      <c r="B47" s="74"/>
      <c r="C47" s="74"/>
      <c r="D47" s="74"/>
      <c r="E47" s="74"/>
    </row>
    <row r="48" spans="1:5" x14ac:dyDescent="0.3">
      <c r="A48" s="295" t="s">
        <v>1497</v>
      </c>
      <c r="C48" s="309">
        <f>SUM(C25:C29)</f>
        <v>3371201.9408477237</v>
      </c>
      <c r="D48" s="309">
        <f>SUM(D25:D29)</f>
        <v>5263276.4749641344</v>
      </c>
      <c r="E48" s="309">
        <f>SUM(E25:E29)</f>
        <v>1479127.4067313136</v>
      </c>
    </row>
    <row r="49" spans="1:8" x14ac:dyDescent="0.3">
      <c r="A49" s="295" t="s">
        <v>1498</v>
      </c>
      <c r="C49" s="309">
        <f>IF(C14=0,0,C16*(1+$B$10)^5-C17*((1+$B$10)^5-1)/$B$10)</f>
        <v>2647658.5461054235</v>
      </c>
      <c r="D49" s="309">
        <f>IF(D14=0,0,D16*(1+$B$10)^5-D17*((1+$B$10)^5-1)/$B$10)</f>
        <v>0</v>
      </c>
      <c r="E49" s="309">
        <f>IF(E14=0,0,E16*(1+$B$10)^5-E17*((1+$B$10)^5-1)/$B$10)</f>
        <v>5295317.092210847</v>
      </c>
    </row>
    <row r="50" spans="1:8" x14ac:dyDescent="0.3">
      <c r="A50" s="295" t="s">
        <v>1499</v>
      </c>
      <c r="C50" s="309">
        <f>'STRAT — Control'!B11*'STRAT — Control'!B19*(1+'STRAT — Control'!B61)^5*(1-'STRAT — Control'!B62-'STRAT — Control'!B63)</f>
        <v>6091691.8978125006</v>
      </c>
      <c r="D50" s="309">
        <f>'STRAT — Control'!B11*'STRAT — Control'!B19*(1+'STRAT — Control'!B61)^5*(1-'STRAT — Control'!B62-'STRAT — Control'!B63)</f>
        <v>6091691.8978125006</v>
      </c>
      <c r="E50" s="309">
        <f>'STRAT — Control'!B11*'STRAT — Control'!B19*(1+'STRAT — Control'!B61)^5*(1-'STRAT — Control'!B62-'STRAT — Control'!B63)</f>
        <v>6091691.8978125006</v>
      </c>
    </row>
    <row r="51" spans="1:8" x14ac:dyDescent="0.3">
      <c r="A51" s="295" t="s">
        <v>1500</v>
      </c>
      <c r="C51" s="309">
        <f>C29+'STRAT — Control'!B11*'STRAT — Control'!B19*(1+'STRAT — Control'!B61)^5*(1-'STRAT — Control'!B62-'STRAT — Control'!B63)-C49</f>
        <v>4223412.9413581789</v>
      </c>
      <c r="D51" s="309">
        <f>D29+'STRAT — Control'!B11*'STRAT — Control'!B19*(1+'STRAT — Control'!B61)^5*(1-'STRAT — Control'!B62-'STRAT — Control'!B63)-D49</f>
        <v>7249486.3942868849</v>
      </c>
      <c r="E51" s="309">
        <f>E29+'STRAT — Control'!B11*'STRAT — Control'!B19*(1+'STRAT — Control'!B61)^5*(1-'STRAT — Control'!B62-'STRAT — Control'!B63)-E49</f>
        <v>1197339.4884294737</v>
      </c>
    </row>
    <row r="52" spans="1:8" hidden="1" x14ac:dyDescent="0.3">
      <c r="A52" s="342" t="s">
        <v>1501</v>
      </c>
    </row>
    <row r="53" spans="1:8" hidden="1" x14ac:dyDescent="0.3">
      <c r="C53">
        <f>C24</f>
        <v>-3917509.25</v>
      </c>
      <c r="D53">
        <f>C25</f>
        <v>574105.49072661507</v>
      </c>
      <c r="E53">
        <f>C26</f>
        <v>621731.51060410985</v>
      </c>
      <c r="F53">
        <f>C27</f>
        <v>671738.8314754793</v>
      </c>
      <c r="G53">
        <f>C28</f>
        <v>724246.51839041756</v>
      </c>
      <c r="H53">
        <f>C51</f>
        <v>4223412.9413581789</v>
      </c>
    </row>
    <row r="54" spans="1:8" hidden="1" x14ac:dyDescent="0.3">
      <c r="C54">
        <f>D24</f>
        <v>-6835018.5</v>
      </c>
      <c r="D54">
        <f>D25</f>
        <v>952520.39754989708</v>
      </c>
      <c r="E54">
        <f>D26</f>
        <v>1000146.417427392</v>
      </c>
      <c r="F54">
        <f>D27</f>
        <v>1050153.7382987614</v>
      </c>
      <c r="G54">
        <f>D28</f>
        <v>1102661.4252136997</v>
      </c>
      <c r="H54">
        <f>D51</f>
        <v>7249486.3942868849</v>
      </c>
    </row>
    <row r="55" spans="1:8" hidden="1" x14ac:dyDescent="0.3">
      <c r="C55">
        <f>E24</f>
        <v>-1000000</v>
      </c>
      <c r="D55">
        <f>E25</f>
        <v>195690.58390333294</v>
      </c>
      <c r="E55">
        <f>E26</f>
        <v>243316.60378082783</v>
      </c>
      <c r="F55">
        <f>E27</f>
        <v>293323.92465219728</v>
      </c>
      <c r="G55">
        <f>E28</f>
        <v>345831.61156713555</v>
      </c>
      <c r="H55">
        <f>E51</f>
        <v>1197339.4884294737</v>
      </c>
    </row>
    <row r="56" spans="1:8" x14ac:dyDescent="0.3">
      <c r="A56" s="74" t="s">
        <v>1502</v>
      </c>
      <c r="B56" s="74"/>
      <c r="C56" s="334">
        <f>IRR(C53:H53)</f>
        <v>0.15056986468658295</v>
      </c>
      <c r="D56" s="334">
        <f>IRR(C54:H54)</f>
        <v>0.13551914498836704</v>
      </c>
      <c r="E56" s="334">
        <f>IRR(C55:H55)</f>
        <v>0.2487173484919778</v>
      </c>
    </row>
    <row r="57" spans="1:8" x14ac:dyDescent="0.3">
      <c r="A57" s="74" t="s">
        <v>1503</v>
      </c>
      <c r="B57" s="74"/>
      <c r="C57" s="343">
        <f>(C48+C50-C49)/ABS(C24)</f>
        <v>1.739685820155958</v>
      </c>
      <c r="D57" s="343">
        <f>(D48+D50-D49)/ABS(D24)</f>
        <v>1.6612929976380657</v>
      </c>
      <c r="E57" s="343">
        <f>(E48+E50-E49)/ABS(E24)</f>
        <v>2.2755022123329667</v>
      </c>
    </row>
    <row r="59" spans="1:8" ht="18" customHeight="1" x14ac:dyDescent="0.3">
      <c r="A59" s="341" t="s">
        <v>1504</v>
      </c>
    </row>
    <row r="60" spans="1:8" x14ac:dyDescent="0.3">
      <c r="A60" s="295" t="s">
        <v>1497</v>
      </c>
      <c r="C60" s="309">
        <f>SUM(C25:C34)</f>
        <v>8196550.1300680311</v>
      </c>
      <c r="D60" s="309">
        <f>SUM(D25:D34)</f>
        <v>11980699.198300853</v>
      </c>
      <c r="E60" s="309">
        <f>SUM(E25:E34)</f>
        <v>4412401.0618352117</v>
      </c>
    </row>
    <row r="61" spans="1:8" x14ac:dyDescent="0.3">
      <c r="A61" s="295" t="s">
        <v>1498</v>
      </c>
      <c r="C61" s="309">
        <f>IF(C14=0,0,C16*(1+$B$10)^10-C17*((1+$B$10)^10-1)/$B$10)</f>
        <v>2182610.4270431846</v>
      </c>
      <c r="D61" s="309">
        <f>IF(D14=0,0,D16*(1+$B$10)^10-D17*((1+$B$10)^10-1)/$B$10)</f>
        <v>0</v>
      </c>
      <c r="E61" s="309">
        <f>IF(E14=0,0,E16*(1+$B$10)^10-E17*((1+$B$10)^10-1)/$B$10)</f>
        <v>4365220.8540863693</v>
      </c>
    </row>
    <row r="62" spans="1:8" x14ac:dyDescent="0.3">
      <c r="A62" s="295" t="s">
        <v>1499</v>
      </c>
      <c r="C62" s="309">
        <f>'STRAT — Control'!B11*'STRAT — Control'!B19*(1+'STRAT — Control'!B61)^10*(1-'STRAT — Control'!B62-'STRAT — Control'!B63)</f>
        <v>7774714.0536087286</v>
      </c>
      <c r="D62" s="309">
        <f>'STRAT — Control'!B11*'STRAT — Control'!B19*(1+'STRAT — Control'!B61)^10*(1-'STRAT — Control'!B62-'STRAT — Control'!B63)</f>
        <v>7774714.0536087286</v>
      </c>
      <c r="E62" s="309">
        <f>'STRAT — Control'!B11*'STRAT — Control'!B19*(1+'STRAT — Control'!B61)^10*(1-'STRAT — Control'!B62-'STRAT — Control'!B63)</f>
        <v>7774714.0536087286</v>
      </c>
    </row>
    <row r="63" spans="1:8" x14ac:dyDescent="0.3">
      <c r="A63" s="295" t="s">
        <v>1505</v>
      </c>
      <c r="C63" s="309">
        <f>C34+'STRAT — Control'!B11*'STRAT — Control'!B19*(1+'STRAT — Control'!B61)^10*(1-'STRAT — Control'!B62-'STRAT — Control'!B63)-C61</f>
        <v>6691360.488756489</v>
      </c>
      <c r="D63" s="309">
        <f>D34+'STRAT — Control'!B11*'STRAT — Control'!B19*(1+'STRAT — Control'!B61)^10*(1-'STRAT — Control'!B62-'STRAT — Control'!B63)-D61</f>
        <v>9252385.8226229567</v>
      </c>
      <c r="E63" s="309">
        <f>E34+'STRAT — Control'!B11*'STRAT — Control'!B19*(1+'STRAT — Control'!B61)^10*(1-'STRAT — Control'!B62-'STRAT — Control'!B63)-E61</f>
        <v>4130335.1548900232</v>
      </c>
    </row>
    <row r="64" spans="1:8" hidden="1" x14ac:dyDescent="0.3">
      <c r="A64" s="342" t="s">
        <v>1506</v>
      </c>
    </row>
    <row r="65" spans="1:18" hidden="1" x14ac:dyDescent="0.3">
      <c r="C65">
        <f>C24</f>
        <v>-3917509.25</v>
      </c>
      <c r="D65">
        <f>C25</f>
        <v>574105.49072661507</v>
      </c>
      <c r="E65">
        <f>C26</f>
        <v>621731.51060410985</v>
      </c>
      <c r="F65">
        <f>C27</f>
        <v>671738.8314754793</v>
      </c>
      <c r="G65">
        <f>C28</f>
        <v>724246.51839041756</v>
      </c>
      <c r="H65">
        <f>C29</f>
        <v>779379.5896511022</v>
      </c>
      <c r="I65">
        <f>C30</f>
        <v>837269.31447482225</v>
      </c>
      <c r="J65">
        <f>C31</f>
        <v>898053.52553972718</v>
      </c>
      <c r="K65">
        <f>C32</f>
        <v>961876.94715787773</v>
      </c>
      <c r="L65">
        <f>C33</f>
        <v>1028891.5398569349</v>
      </c>
      <c r="M65">
        <f>C63</f>
        <v>6691360.488756489</v>
      </c>
    </row>
    <row r="66" spans="1:18" hidden="1" x14ac:dyDescent="0.3">
      <c r="C66">
        <f>D24</f>
        <v>-6835018.5</v>
      </c>
      <c r="D66">
        <f>D25</f>
        <v>952520.39754989708</v>
      </c>
      <c r="E66">
        <f>D26</f>
        <v>1000146.417427392</v>
      </c>
      <c r="F66">
        <f>D27</f>
        <v>1050153.7382987614</v>
      </c>
      <c r="G66">
        <f>D28</f>
        <v>1102661.4252136997</v>
      </c>
      <c r="H66">
        <f>D29</f>
        <v>1157794.4964743843</v>
      </c>
      <c r="I66">
        <f>D30</f>
        <v>1215684.2212981044</v>
      </c>
      <c r="J66">
        <f>D31</f>
        <v>1276468.4323630093</v>
      </c>
      <c r="K66">
        <f>D32</f>
        <v>1340291.8539811599</v>
      </c>
      <c r="L66">
        <f>D33</f>
        <v>1407306.4466802171</v>
      </c>
      <c r="M66">
        <f>D63</f>
        <v>9252385.8226229567</v>
      </c>
    </row>
    <row r="67" spans="1:18" hidden="1" x14ac:dyDescent="0.3">
      <c r="C67">
        <f>E24</f>
        <v>-1000000</v>
      </c>
      <c r="D67">
        <f>E25</f>
        <v>195690.58390333294</v>
      </c>
      <c r="E67">
        <f>E26</f>
        <v>243316.60378082783</v>
      </c>
      <c r="F67">
        <f>E27</f>
        <v>293323.92465219728</v>
      </c>
      <c r="G67">
        <f>E28</f>
        <v>345831.61156713555</v>
      </c>
      <c r="H67">
        <f>E29</f>
        <v>400964.68282782019</v>
      </c>
      <c r="I67">
        <f>E30</f>
        <v>458854.40765154024</v>
      </c>
      <c r="J67">
        <f>E31</f>
        <v>519638.61871644517</v>
      </c>
      <c r="K67">
        <f>E32</f>
        <v>583462.04033459572</v>
      </c>
      <c r="L67">
        <f>E33</f>
        <v>650476.63303365291</v>
      </c>
      <c r="M67">
        <f>E63</f>
        <v>4130335.1548900232</v>
      </c>
    </row>
    <row r="68" spans="1:18" x14ac:dyDescent="0.3">
      <c r="A68" s="74" t="s">
        <v>1507</v>
      </c>
      <c r="B68" s="74"/>
      <c r="C68" s="334">
        <f>IRR(C65:M65)</f>
        <v>0.20411537638222632</v>
      </c>
      <c r="D68" s="334">
        <f>IRR(C66:M66)</f>
        <v>0.17087763759553698</v>
      </c>
      <c r="E68" s="334">
        <f>IRR(C67:M67)</f>
        <v>0.35835032289229996</v>
      </c>
    </row>
    <row r="69" spans="1:18" x14ac:dyDescent="0.3">
      <c r="A69" s="74" t="s">
        <v>1508</v>
      </c>
      <c r="B69" s="74"/>
      <c r="C69" s="343">
        <f>(C60+C62-C61)/ABS(C24)</f>
        <v>3.519750146507906</v>
      </c>
      <c r="D69" s="343">
        <f>(D60+D62-D61)/ABS(D24)</f>
        <v>2.8903233037203315</v>
      </c>
      <c r="E69" s="343">
        <f>(E60+E62-E61)/ABS(E24)</f>
        <v>7.8218942613575715</v>
      </c>
    </row>
    <row r="71" spans="1:18" ht="18" customHeight="1" x14ac:dyDescent="0.3">
      <c r="A71" s="341" t="s">
        <v>1509</v>
      </c>
    </row>
    <row r="72" spans="1:18" x14ac:dyDescent="0.3">
      <c r="A72" s="295" t="s">
        <v>1497</v>
      </c>
      <c r="C72" s="309">
        <f>SUM(C25:C39)</f>
        <v>14877798.365264811</v>
      </c>
      <c r="D72" s="309">
        <f>SUM(D25:D39)</f>
        <v>20554021.967614047</v>
      </c>
      <c r="E72" s="309">
        <f>SUM(E25:E39)</f>
        <v>9201574.7629155852</v>
      </c>
    </row>
    <row r="73" spans="1:18" x14ac:dyDescent="0.3">
      <c r="A73" s="295" t="s">
        <v>1498</v>
      </c>
      <c r="C73" s="309">
        <f>IF(C14=0,0,C16*(1+$B$10)^15-C17*((1+$B$10)^15-1)/$B$10)</f>
        <v>1381168.1853812262</v>
      </c>
      <c r="D73" s="309">
        <f>IF(D14=0,0,D16*(1+$B$10)^15-D17*((1+$B$10)^15-1)/$B$10)</f>
        <v>0</v>
      </c>
      <c r="E73" s="309">
        <f>IF(E14=0,0,E16*(1+$B$10)^15-E17*((1+$B$10)^15-1)/$B$10)</f>
        <v>2762336.3707624525</v>
      </c>
    </row>
    <row r="74" spans="1:18" x14ac:dyDescent="0.3">
      <c r="A74" s="295" t="s">
        <v>1499</v>
      </c>
      <c r="C74" s="309">
        <f>'STRAT — Control'!B11*'STRAT — Control'!B19*(1+'STRAT — Control'!B61)^15*(1-'STRAT — Control'!B62-'STRAT — Control'!B63)</f>
        <v>9922724.2003304586</v>
      </c>
      <c r="D74" s="309">
        <f>'STRAT — Control'!B11*'STRAT — Control'!B19*(1+'STRAT — Control'!B61)^15*(1-'STRAT — Control'!B62-'STRAT — Control'!B63)</f>
        <v>9922724.2003304586</v>
      </c>
      <c r="E74" s="309">
        <f>'STRAT — Control'!B11*'STRAT — Control'!B19*(1+'STRAT — Control'!B61)^15*(1-'STRAT — Control'!B62-'STRAT — Control'!B63)</f>
        <v>9922724.2003304586</v>
      </c>
    </row>
    <row r="75" spans="1:18" x14ac:dyDescent="0.3">
      <c r="A75" s="295" t="s">
        <v>1510</v>
      </c>
      <c r="C75" s="309">
        <f>C39+'STRAT — Control'!B11*'STRAT — Control'!B19*(1+'STRAT — Control'!B61)^15*(1-'STRAT — Control'!B62-'STRAT — Control'!B63)-C73</f>
        <v>10049066.342345569</v>
      </c>
      <c r="D75" s="309">
        <f>D39+'STRAT — Control'!B11*'STRAT — Control'!B19*(1+'STRAT — Control'!B61)^15*(1-'STRAT — Control'!B62-'STRAT — Control'!B63)-D73</f>
        <v>11808649.434550077</v>
      </c>
      <c r="E75" s="309">
        <f>E39+'STRAT — Control'!B11*'STRAT — Control'!B19*(1+'STRAT — Control'!B61)^15*(1-'STRAT — Control'!B62-'STRAT — Control'!B63)-E73</f>
        <v>8289483.25014106</v>
      </c>
    </row>
    <row r="76" spans="1:18" hidden="1" x14ac:dyDescent="0.3">
      <c r="A76" s="342" t="s">
        <v>1511</v>
      </c>
    </row>
    <row r="77" spans="1:18" hidden="1" x14ac:dyDescent="0.3">
      <c r="C77">
        <f>C24</f>
        <v>-3917509.25</v>
      </c>
      <c r="D77" s="8">
        <f>C25</f>
        <v>574105.49072661507</v>
      </c>
      <c r="E77" s="8">
        <f>C26</f>
        <v>621731.51060410985</v>
      </c>
      <c r="F77" s="8">
        <f>C27</f>
        <v>671738.8314754793</v>
      </c>
      <c r="G77" s="8">
        <f>C28</f>
        <v>724246.51839041756</v>
      </c>
      <c r="H77" s="8">
        <f>C29</f>
        <v>779379.5896511022</v>
      </c>
      <c r="I77" s="8">
        <f>C30</f>
        <v>837269.31447482225</v>
      </c>
      <c r="J77" s="8">
        <f>C31</f>
        <v>898053.52553972718</v>
      </c>
      <c r="K77" s="8">
        <f>C32</f>
        <v>961876.94715787773</v>
      </c>
      <c r="L77" s="8">
        <f>C33</f>
        <v>1028891.5398569349</v>
      </c>
      <c r="M77" s="8">
        <f>C34</f>
        <v>1099256.8621909458</v>
      </c>
      <c r="N77" s="8">
        <f>C35</f>
        <v>1173140.4506416577</v>
      </c>
      <c r="O77" s="8">
        <f>C36</f>
        <v>1250718.2185149048</v>
      </c>
      <c r="P77" s="8">
        <f>C37</f>
        <v>1332174.8747818142</v>
      </c>
      <c r="Q77" s="8">
        <f>C38</f>
        <v>1417704.3638620689</v>
      </c>
      <c r="R77" s="309">
        <f>C75</f>
        <v>10049066.342345569</v>
      </c>
    </row>
    <row r="78" spans="1:18" hidden="1" x14ac:dyDescent="0.3">
      <c r="C78">
        <f>D24</f>
        <v>-6835018.5</v>
      </c>
      <c r="D78" s="8">
        <f>D25</f>
        <v>952520.39754989708</v>
      </c>
      <c r="E78" s="8">
        <f>D26</f>
        <v>1000146.417427392</v>
      </c>
      <c r="F78" s="8">
        <f>D27</f>
        <v>1050153.7382987614</v>
      </c>
      <c r="G78" s="8">
        <f>D28</f>
        <v>1102661.4252136997</v>
      </c>
      <c r="H78" s="8">
        <f>D29</f>
        <v>1157794.4964743843</v>
      </c>
      <c r="I78" s="8">
        <f>D30</f>
        <v>1215684.2212981044</v>
      </c>
      <c r="J78" s="8">
        <f>D31</f>
        <v>1276468.4323630093</v>
      </c>
      <c r="K78" s="8">
        <f>D32</f>
        <v>1340291.8539811599</v>
      </c>
      <c r="L78" s="8">
        <f>D33</f>
        <v>1407306.4466802171</v>
      </c>
      <c r="M78" s="8">
        <f>D34</f>
        <v>1477671.7690142279</v>
      </c>
      <c r="N78" s="8">
        <f>D35</f>
        <v>1551555.3574649398</v>
      </c>
      <c r="O78" s="8">
        <f>D36</f>
        <v>1629133.125338187</v>
      </c>
      <c r="P78" s="8">
        <f>D37</f>
        <v>1710589.7816050963</v>
      </c>
      <c r="Q78" s="8">
        <f>D38</f>
        <v>1796119.270685351</v>
      </c>
      <c r="R78" s="309">
        <f>D75</f>
        <v>11808649.434550077</v>
      </c>
    </row>
    <row r="79" spans="1:18" hidden="1" x14ac:dyDescent="0.3">
      <c r="C79">
        <f>E24</f>
        <v>-1000000</v>
      </c>
      <c r="D79" s="8">
        <f>E25</f>
        <v>195690.58390333294</v>
      </c>
      <c r="E79" s="8">
        <f>E26</f>
        <v>243316.60378082783</v>
      </c>
      <c r="F79" s="8">
        <f>E27</f>
        <v>293323.92465219728</v>
      </c>
      <c r="G79" s="8">
        <f>E28</f>
        <v>345831.61156713555</v>
      </c>
      <c r="H79" s="8">
        <f>E29</f>
        <v>400964.68282782019</v>
      </c>
      <c r="I79" s="8">
        <f>E30</f>
        <v>458854.40765154024</v>
      </c>
      <c r="J79" s="8">
        <f>E31</f>
        <v>519638.61871644517</v>
      </c>
      <c r="K79" s="8">
        <f>E32</f>
        <v>583462.04033459572</v>
      </c>
      <c r="L79" s="8">
        <f>E33</f>
        <v>650476.63303365291</v>
      </c>
      <c r="M79" s="8">
        <f>E34</f>
        <v>720841.95536766376</v>
      </c>
      <c r="N79" s="8">
        <f>E35</f>
        <v>794725.54381837568</v>
      </c>
      <c r="O79" s="8">
        <f>E36</f>
        <v>872303.31169162283</v>
      </c>
      <c r="P79" s="8">
        <f>E37</f>
        <v>953759.96795853216</v>
      </c>
      <c r="Q79" s="8">
        <f>E38</f>
        <v>1039289.4570387868</v>
      </c>
      <c r="R79" s="309">
        <f>E75</f>
        <v>8289483.25014106</v>
      </c>
    </row>
    <row r="80" spans="1:18" x14ac:dyDescent="0.3">
      <c r="A80" s="74" t="s">
        <v>1512</v>
      </c>
      <c r="B80" s="74"/>
      <c r="C80" s="334">
        <f>IRR(C77:R77)</f>
        <v>0.21516714989777341</v>
      </c>
      <c r="D80" s="334">
        <f>IRR(C78:R78)</f>
        <v>0.18119420838096234</v>
      </c>
      <c r="E80" s="334">
        <f>IRR(C79:R79)</f>
        <v>0.35973772424924544</v>
      </c>
    </row>
    <row r="81" spans="1:23" x14ac:dyDescent="0.3">
      <c r="A81" s="74" t="s">
        <v>1513</v>
      </c>
      <c r="B81" s="74"/>
      <c r="C81" s="343">
        <f>(C72+C74-C73)/ABS(C24)</f>
        <v>5.9781235692587176</v>
      </c>
      <c r="D81" s="343">
        <f>(D72+D74-D73)/ABS(D24)</f>
        <v>4.4589120231268584</v>
      </c>
      <c r="E81" s="343">
        <f>(E72+E74-E73)/ABS(E24)</f>
        <v>16.361962592483593</v>
      </c>
    </row>
    <row r="83" spans="1:23" ht="18" customHeight="1" x14ac:dyDescent="0.3">
      <c r="A83" s="341" t="s">
        <v>1514</v>
      </c>
    </row>
    <row r="84" spans="1:23" x14ac:dyDescent="0.3">
      <c r="A84" s="295" t="s">
        <v>1497</v>
      </c>
      <c r="C84" s="309">
        <f>SUM(C25:C44)</f>
        <v>23927697.610984273</v>
      </c>
      <c r="D84" s="309">
        <f>SUM(D25:D44)</f>
        <v>31495995.747449916</v>
      </c>
      <c r="E84" s="309">
        <f>SUM(E25:E44)</f>
        <v>16359399.474518634</v>
      </c>
    </row>
    <row r="85" spans="1:23" x14ac:dyDescent="0.3">
      <c r="A85" s="295" t="s">
        <v>1498</v>
      </c>
      <c r="C85" s="309">
        <f>IF(C14=0,0,MAX(0,C16*(1+$B$10)^20-C17*((1+$B$10)^20-1)/$B$10))</f>
        <v>0</v>
      </c>
      <c r="D85" s="309">
        <f>IF(D14=0,0,MAX(0,D16*(1+$B$10)^20-D17*((1+$B$10)^20-1)/$B$10))</f>
        <v>0</v>
      </c>
      <c r="E85" s="309">
        <f>IF(E14=0,0,MAX(0,E16*(1+$B$10)^20-E17*((1+$B$10)^20-1)/$B$10))</f>
        <v>0</v>
      </c>
    </row>
    <row r="86" spans="1:23" x14ac:dyDescent="0.3">
      <c r="A86" s="295" t="s">
        <v>1499</v>
      </c>
      <c r="C86" s="309">
        <f>'STRAT — Control'!B11*'STRAT — Control'!B19*(1+'STRAT — Control'!B61)^20*(1-'STRAT — Control'!B62-'STRAT — Control'!B63)</f>
        <v>12664189.94665432</v>
      </c>
      <c r="D86" s="309">
        <f>'STRAT — Control'!B11*'STRAT — Control'!B19*(1+'STRAT — Control'!B61)^20*(1-'STRAT — Control'!B62-'STRAT — Control'!B63)</f>
        <v>12664189.94665432</v>
      </c>
      <c r="E86" s="309">
        <f>'STRAT — Control'!B11*'STRAT — Control'!B19*(1+'STRAT — Control'!B61)^20*(1-'STRAT — Control'!B62-'STRAT — Control'!B63)</f>
        <v>12664189.94665432</v>
      </c>
    </row>
    <row r="87" spans="1:23" x14ac:dyDescent="0.3">
      <c r="A87" s="295" t="s">
        <v>1515</v>
      </c>
      <c r="C87" s="309">
        <f>C44+'STRAT — Control'!B11*'STRAT — Control'!B19*(1+'STRAT — Control'!B61)^20*(1-'STRAT — Control'!B62-'STRAT — Control'!B63)-C85</f>
        <v>14692746.644519031</v>
      </c>
      <c r="D87" s="309">
        <f>D44+'STRAT — Control'!B11*'STRAT — Control'!B19*(1+'STRAT — Control'!B61)^20*(1-'STRAT — Control'!B62-'STRAT — Control'!B63)-D85</f>
        <v>15071161.551342312</v>
      </c>
      <c r="E87" s="309">
        <f>E44+'STRAT — Control'!B11*'STRAT — Control'!B19*(1+'STRAT — Control'!B61)^20*(1-'STRAT — Control'!B62-'STRAT — Control'!B63)-E85</f>
        <v>14314331.73769575</v>
      </c>
    </row>
    <row r="88" spans="1:23" hidden="1" x14ac:dyDescent="0.3">
      <c r="A88" s="342" t="s">
        <v>1516</v>
      </c>
    </row>
    <row r="89" spans="1:23" hidden="1" x14ac:dyDescent="0.3">
      <c r="C89">
        <f>C24</f>
        <v>-3917509.25</v>
      </c>
      <c r="D89" s="8">
        <f>C25</f>
        <v>574105.49072661507</v>
      </c>
      <c r="E89" s="8">
        <f>C26</f>
        <v>621731.51060410985</v>
      </c>
      <c r="F89" s="8">
        <f>C27</f>
        <v>671738.8314754793</v>
      </c>
      <c r="G89" s="8">
        <f>C28</f>
        <v>724246.51839041756</v>
      </c>
      <c r="H89" s="8">
        <f>C29</f>
        <v>779379.5896511022</v>
      </c>
      <c r="I89" s="8">
        <f>C30</f>
        <v>837269.31447482225</v>
      </c>
      <c r="J89" s="8">
        <f>C31</f>
        <v>898053.52553972718</v>
      </c>
      <c r="K89" s="8">
        <f>C32</f>
        <v>961876.94715787773</v>
      </c>
      <c r="L89" s="8">
        <f>C33</f>
        <v>1028891.5398569349</v>
      </c>
      <c r="M89" s="8">
        <f>C34</f>
        <v>1099256.8621909458</v>
      </c>
      <c r="N89" s="8">
        <f>C35</f>
        <v>1173140.4506416577</v>
      </c>
      <c r="O89" s="8">
        <f>C36</f>
        <v>1250718.2185149048</v>
      </c>
      <c r="P89" s="8">
        <f>C37</f>
        <v>1332174.8747818142</v>
      </c>
      <c r="Q89" s="8">
        <f>C38</f>
        <v>1417704.3638620689</v>
      </c>
      <c r="R89" s="8">
        <f>C39</f>
        <v>1507510.327396336</v>
      </c>
      <c r="S89" s="8">
        <f>C40</f>
        <v>1601806.5891073176</v>
      </c>
      <c r="T89" s="8">
        <f>C41</f>
        <v>1700817.6639038473</v>
      </c>
      <c r="U89" s="8">
        <f>C42</f>
        <v>1804779.2924402044</v>
      </c>
      <c r="V89" s="8">
        <f>C43</f>
        <v>1913939.002403379</v>
      </c>
      <c r="W89" s="309">
        <f>C87</f>
        <v>14692746.644519031</v>
      </c>
    </row>
    <row r="90" spans="1:23" hidden="1" x14ac:dyDescent="0.3">
      <c r="C90">
        <f>D24</f>
        <v>-6835018.5</v>
      </c>
      <c r="D90" s="8">
        <f>D25</f>
        <v>952520.39754989708</v>
      </c>
      <c r="E90" s="8">
        <f>D26</f>
        <v>1000146.417427392</v>
      </c>
      <c r="F90" s="8">
        <f>D27</f>
        <v>1050153.7382987614</v>
      </c>
      <c r="G90" s="8">
        <f>D28</f>
        <v>1102661.4252136997</v>
      </c>
      <c r="H90" s="8">
        <f>D29</f>
        <v>1157794.4964743843</v>
      </c>
      <c r="I90" s="8">
        <f>D30</f>
        <v>1215684.2212981044</v>
      </c>
      <c r="J90" s="8">
        <f>D31</f>
        <v>1276468.4323630093</v>
      </c>
      <c r="K90" s="8">
        <f>D32</f>
        <v>1340291.8539811599</v>
      </c>
      <c r="L90" s="8">
        <f>D33</f>
        <v>1407306.4466802171</v>
      </c>
      <c r="M90" s="8">
        <f>D34</f>
        <v>1477671.7690142279</v>
      </c>
      <c r="N90" s="8">
        <f>D35</f>
        <v>1551555.3574649398</v>
      </c>
      <c r="O90" s="8">
        <f>D36</f>
        <v>1629133.125338187</v>
      </c>
      <c r="P90" s="8">
        <f>D37</f>
        <v>1710589.7816050963</v>
      </c>
      <c r="Q90" s="8">
        <f>D38</f>
        <v>1796119.270685351</v>
      </c>
      <c r="R90" s="8">
        <f>D39</f>
        <v>1885925.2342196181</v>
      </c>
      <c r="S90" s="8">
        <f>D40</f>
        <v>1980221.4959305997</v>
      </c>
      <c r="T90" s="8">
        <f>D41</f>
        <v>2079232.5707271295</v>
      </c>
      <c r="U90" s="8">
        <f>D42</f>
        <v>2183194.1992634865</v>
      </c>
      <c r="V90" s="8">
        <f>D43</f>
        <v>2292353.9092266611</v>
      </c>
      <c r="W90" s="309">
        <f>D87</f>
        <v>15071161.551342312</v>
      </c>
    </row>
    <row r="91" spans="1:23" hidden="1" x14ac:dyDescent="0.3">
      <c r="C91">
        <f>E24</f>
        <v>-1000000</v>
      </c>
      <c r="D91" s="8">
        <f>E25</f>
        <v>195690.58390333294</v>
      </c>
      <c r="E91" s="8">
        <f>E26</f>
        <v>243316.60378082783</v>
      </c>
      <c r="F91" s="8">
        <f>E27</f>
        <v>293323.92465219728</v>
      </c>
      <c r="G91" s="8">
        <f>E28</f>
        <v>345831.61156713555</v>
      </c>
      <c r="H91" s="8">
        <f>E29</f>
        <v>400964.68282782019</v>
      </c>
      <c r="I91" s="8">
        <f>E30</f>
        <v>458854.40765154024</v>
      </c>
      <c r="J91" s="8">
        <f>E31</f>
        <v>519638.61871644517</v>
      </c>
      <c r="K91" s="8">
        <f>E32</f>
        <v>583462.04033459572</v>
      </c>
      <c r="L91" s="8">
        <f>E33</f>
        <v>650476.63303365291</v>
      </c>
      <c r="M91" s="8">
        <f>E34</f>
        <v>720841.95536766376</v>
      </c>
      <c r="N91" s="8">
        <f>E35</f>
        <v>794725.54381837568</v>
      </c>
      <c r="O91" s="8">
        <f>E36</f>
        <v>872303.31169162283</v>
      </c>
      <c r="P91" s="8">
        <f>E37</f>
        <v>953759.96795853216</v>
      </c>
      <c r="Q91" s="8">
        <f>E38</f>
        <v>1039289.4570387868</v>
      </c>
      <c r="R91" s="8">
        <f>E39</f>
        <v>1129095.4205730539</v>
      </c>
      <c r="S91" s="8">
        <f>E40</f>
        <v>1223391.6822840357</v>
      </c>
      <c r="T91" s="8">
        <f>E41</f>
        <v>1322402.7570805652</v>
      </c>
      <c r="U91" s="8">
        <f>E42</f>
        <v>1426364.3856169223</v>
      </c>
      <c r="V91" s="8">
        <f>E43</f>
        <v>1535524.0955800968</v>
      </c>
      <c r="W91" s="309">
        <f>E87</f>
        <v>14314331.73769575</v>
      </c>
    </row>
    <row r="92" spans="1:23" x14ac:dyDescent="0.3">
      <c r="A92" s="74" t="s">
        <v>1517</v>
      </c>
      <c r="B92" s="74"/>
      <c r="C92" s="334">
        <f>IRR(C89:W89)</f>
        <v>0.21816445567222775</v>
      </c>
      <c r="D92" s="334">
        <f>IRR(C90:W90)</f>
        <v>0.18539725442177235</v>
      </c>
      <c r="E92" s="334">
        <f>IRR(C91:W91)</f>
        <v>0.35638235463491275</v>
      </c>
    </row>
    <row r="93" spans="1:23" x14ac:dyDescent="0.3">
      <c r="A93" s="74" t="s">
        <v>1518</v>
      </c>
      <c r="B93" s="74"/>
      <c r="C93" s="343">
        <f>(C84+C86-C85)/ABS(C24)</f>
        <v>9.3406001677312176</v>
      </c>
      <c r="D93" s="343">
        <f>(D84+D86-D85)/ABS(D24)</f>
        <v>6.4608728848508949</v>
      </c>
      <c r="E93" s="343">
        <f>(E84+E86-E85)/ABS(E24)</f>
        <v>29.023589421172954</v>
      </c>
    </row>
    <row r="95" spans="1:23" ht="19.95" customHeight="1" x14ac:dyDescent="0.3">
      <c r="A95" s="434" t="s">
        <v>1519</v>
      </c>
      <c r="B95" s="392"/>
      <c r="C95" s="392"/>
      <c r="D95" s="392"/>
      <c r="E95" s="392"/>
    </row>
    <row r="97" spans="1:5" ht="18" customHeight="1" x14ac:dyDescent="0.3">
      <c r="A97" s="344" t="s">
        <v>1520</v>
      </c>
      <c r="B97" s="344" t="s">
        <v>25</v>
      </c>
      <c r="C97" s="344" t="s">
        <v>1521</v>
      </c>
      <c r="D97" s="344" t="s">
        <v>1522</v>
      </c>
      <c r="E97" s="344" t="s">
        <v>1523</v>
      </c>
    </row>
    <row r="98" spans="1:5" x14ac:dyDescent="0.3">
      <c r="A98" s="345" t="s">
        <v>1524</v>
      </c>
      <c r="B98" s="345" t="s">
        <v>1525</v>
      </c>
      <c r="C98" s="346">
        <f t="shared" ref="C98:E99" si="0">C56</f>
        <v>0.15056986468658295</v>
      </c>
      <c r="D98" s="346">
        <f t="shared" si="0"/>
        <v>0.13551914498836704</v>
      </c>
      <c r="E98" s="346">
        <f t="shared" si="0"/>
        <v>0.2487173484919778</v>
      </c>
    </row>
    <row r="99" spans="1:5" x14ac:dyDescent="0.3">
      <c r="A99" s="345"/>
      <c r="B99" s="345" t="s">
        <v>1526</v>
      </c>
      <c r="C99" s="347">
        <f t="shared" si="0"/>
        <v>1.739685820155958</v>
      </c>
      <c r="D99" s="347">
        <f t="shared" si="0"/>
        <v>1.6612929976380657</v>
      </c>
      <c r="E99" s="347">
        <f t="shared" si="0"/>
        <v>2.2755022123329667</v>
      </c>
    </row>
    <row r="100" spans="1:5" x14ac:dyDescent="0.3">
      <c r="A100" s="345" t="s">
        <v>1527</v>
      </c>
      <c r="B100" s="345" t="s">
        <v>1525</v>
      </c>
      <c r="C100" s="346">
        <f t="shared" ref="C100:E101" si="1">C68</f>
        <v>0.20411537638222632</v>
      </c>
      <c r="D100" s="346">
        <f t="shared" si="1"/>
        <v>0.17087763759553698</v>
      </c>
      <c r="E100" s="346">
        <f t="shared" si="1"/>
        <v>0.35835032289229996</v>
      </c>
    </row>
    <row r="101" spans="1:5" x14ac:dyDescent="0.3">
      <c r="A101" s="345"/>
      <c r="B101" s="345" t="s">
        <v>1526</v>
      </c>
      <c r="C101" s="347">
        <f t="shared" si="1"/>
        <v>3.519750146507906</v>
      </c>
      <c r="D101" s="347">
        <f t="shared" si="1"/>
        <v>2.8903233037203315</v>
      </c>
      <c r="E101" s="347">
        <f t="shared" si="1"/>
        <v>7.8218942613575715</v>
      </c>
    </row>
    <row r="102" spans="1:5" x14ac:dyDescent="0.3">
      <c r="A102" s="345" t="s">
        <v>1528</v>
      </c>
      <c r="B102" s="345" t="s">
        <v>1525</v>
      </c>
      <c r="C102" s="346">
        <f t="shared" ref="C102:E103" si="2">C80</f>
        <v>0.21516714989777341</v>
      </c>
      <c r="D102" s="346">
        <f t="shared" si="2"/>
        <v>0.18119420838096234</v>
      </c>
      <c r="E102" s="346">
        <f t="shared" si="2"/>
        <v>0.35973772424924544</v>
      </c>
    </row>
    <row r="103" spans="1:5" x14ac:dyDescent="0.3">
      <c r="A103" s="345"/>
      <c r="B103" s="345" t="s">
        <v>1526</v>
      </c>
      <c r="C103" s="347">
        <f t="shared" si="2"/>
        <v>5.9781235692587176</v>
      </c>
      <c r="D103" s="347">
        <f t="shared" si="2"/>
        <v>4.4589120231268584</v>
      </c>
      <c r="E103" s="347">
        <f t="shared" si="2"/>
        <v>16.361962592483593</v>
      </c>
    </row>
    <row r="104" spans="1:5" x14ac:dyDescent="0.3">
      <c r="A104" s="345" t="s">
        <v>1529</v>
      </c>
      <c r="B104" s="345" t="s">
        <v>1525</v>
      </c>
      <c r="C104" s="346">
        <f t="shared" ref="C104:E105" si="3">C92</f>
        <v>0.21816445567222775</v>
      </c>
      <c r="D104" s="346">
        <f t="shared" si="3"/>
        <v>0.18539725442177235</v>
      </c>
      <c r="E104" s="346">
        <f t="shared" si="3"/>
        <v>0.35638235463491275</v>
      </c>
    </row>
    <row r="105" spans="1:5" x14ac:dyDescent="0.3">
      <c r="A105" s="345"/>
      <c r="B105" s="345" t="s">
        <v>1526</v>
      </c>
      <c r="C105" s="347">
        <f t="shared" si="3"/>
        <v>9.3406001677312176</v>
      </c>
      <c r="D105" s="347">
        <f t="shared" si="3"/>
        <v>6.4608728848508949</v>
      </c>
      <c r="E105" s="347">
        <f t="shared" si="3"/>
        <v>29.023589421172954</v>
      </c>
    </row>
    <row r="107" spans="1:5" x14ac:dyDescent="0.3">
      <c r="A107" s="395" t="s">
        <v>1530</v>
      </c>
      <c r="B107" s="392"/>
      <c r="C107" s="392"/>
      <c r="D107" s="392"/>
      <c r="E107" s="392"/>
    </row>
    <row r="108" spans="1:5" x14ac:dyDescent="0.3">
      <c r="A108" s="392" t="s">
        <v>1531</v>
      </c>
      <c r="B108" s="392"/>
      <c r="C108" s="392"/>
      <c r="D108" s="392"/>
      <c r="E108" s="392"/>
    </row>
    <row r="109" spans="1:5" x14ac:dyDescent="0.3">
      <c r="A109" s="392" t="s">
        <v>1532</v>
      </c>
      <c r="B109" s="392"/>
      <c r="C109" s="392"/>
      <c r="D109" s="392"/>
      <c r="E109" s="392"/>
    </row>
    <row r="110" spans="1:5" x14ac:dyDescent="0.3">
      <c r="A110" s="392" t="s">
        <v>1533</v>
      </c>
      <c r="B110" s="392"/>
      <c r="C110" s="392"/>
      <c r="D110" s="392"/>
      <c r="E110" s="392"/>
    </row>
    <row r="112" spans="1:5" x14ac:dyDescent="0.3">
      <c r="A112" s="392" t="s">
        <v>1534</v>
      </c>
      <c r="B112" s="392"/>
      <c r="C112" s="392"/>
      <c r="D112" s="392"/>
      <c r="E112" s="392"/>
    </row>
    <row r="113" spans="1:5" x14ac:dyDescent="0.3">
      <c r="A113" s="392" t="s">
        <v>1535</v>
      </c>
      <c r="B113" s="392"/>
      <c r="C113" s="392"/>
      <c r="D113" s="392"/>
      <c r="E113" s="392"/>
    </row>
    <row r="114" spans="1:5" x14ac:dyDescent="0.3">
      <c r="A114" s="392" t="s">
        <v>1536</v>
      </c>
      <c r="B114" s="392"/>
      <c r="C114" s="392"/>
      <c r="D114" s="392"/>
      <c r="E114" s="392"/>
    </row>
    <row r="115" spans="1:5" x14ac:dyDescent="0.3">
      <c r="A115" s="392" t="s">
        <v>1537</v>
      </c>
      <c r="B115" s="392"/>
      <c r="C115" s="392"/>
      <c r="D115" s="392"/>
      <c r="E115" s="392"/>
    </row>
  </sheetData>
  <mergeCells count="10">
    <mergeCell ref="A115:E115"/>
    <mergeCell ref="A45:E45"/>
    <mergeCell ref="A110:E110"/>
    <mergeCell ref="A114:E114"/>
    <mergeCell ref="A109:E109"/>
    <mergeCell ref="A95:E95"/>
    <mergeCell ref="A113:E113"/>
    <mergeCell ref="A112:E112"/>
    <mergeCell ref="A108:E108"/>
    <mergeCell ref="A107:E10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8"/>
  <sheetViews>
    <sheetView workbookViewId="0">
      <selection sqref="A1:G1"/>
    </sheetView>
  </sheetViews>
  <sheetFormatPr defaultRowHeight="14.4" x14ac:dyDescent="0.3"/>
  <cols>
    <col min="1" max="1" width="33.33203125" customWidth="1"/>
    <col min="2" max="4" width="22.21875" customWidth="1"/>
  </cols>
  <sheetData>
    <row r="1" spans="1:7" ht="18" customHeight="1" x14ac:dyDescent="0.35">
      <c r="A1" s="393" t="s">
        <v>0</v>
      </c>
      <c r="B1" s="392"/>
      <c r="C1" s="392"/>
      <c r="D1" s="392"/>
      <c r="E1" s="392"/>
      <c r="F1" s="392"/>
      <c r="G1" s="392"/>
    </row>
    <row r="2" spans="1:7" x14ac:dyDescent="0.3">
      <c r="A2" s="396" t="s">
        <v>1</v>
      </c>
      <c r="B2" s="392"/>
      <c r="C2" s="392"/>
      <c r="D2" s="392"/>
      <c r="E2" s="392"/>
      <c r="F2" s="392"/>
      <c r="G2" s="392"/>
    </row>
    <row r="4" spans="1:7" x14ac:dyDescent="0.3">
      <c r="A4" s="391" t="s">
        <v>2</v>
      </c>
      <c r="B4" s="392"/>
      <c r="C4" s="392"/>
      <c r="D4" s="392"/>
    </row>
    <row r="5" spans="1:7" x14ac:dyDescent="0.3">
      <c r="A5" s="74" t="s">
        <v>3</v>
      </c>
      <c r="B5" s="74" t="s">
        <v>4</v>
      </c>
      <c r="C5" s="74" t="s">
        <v>5</v>
      </c>
      <c r="D5" s="74" t="s">
        <v>6</v>
      </c>
    </row>
    <row r="6" spans="1:7" x14ac:dyDescent="0.3">
      <c r="A6" t="s">
        <v>7</v>
      </c>
      <c r="B6">
        <f>'ASKY Stay Calc'!C5</f>
        <v>167</v>
      </c>
      <c r="C6">
        <f>'ASKY Stay Calc'!D5</f>
        <v>387</v>
      </c>
      <c r="D6" t="str">
        <f>'ASKY Stay Calc'!B5</f>
        <v>Realised only: Jan 2025–Jun 2026</v>
      </c>
    </row>
    <row r="7" spans="1:7" x14ac:dyDescent="0.3">
      <c r="A7" t="s">
        <v>8</v>
      </c>
      <c r="B7">
        <f>'ASKY Stay Calc'!C6</f>
        <v>133</v>
      </c>
      <c r="C7">
        <f>'ASKY Stay Calc'!D6</f>
        <v>365</v>
      </c>
      <c r="D7" t="str">
        <f>'ASKY Stay Calc'!B6</f>
        <v>Realised only: Jan 2025–Jun 2026</v>
      </c>
    </row>
    <row r="9" spans="1:7" x14ac:dyDescent="0.3">
      <c r="A9" s="391" t="s">
        <v>9</v>
      </c>
      <c r="B9" s="392"/>
      <c r="C9" s="392"/>
      <c r="D9" s="392"/>
    </row>
    <row r="10" spans="1:7" x14ac:dyDescent="0.3">
      <c r="A10" s="74" t="s">
        <v>3</v>
      </c>
      <c r="B10" s="74" t="s">
        <v>4</v>
      </c>
      <c r="C10" s="74" t="s">
        <v>5</v>
      </c>
      <c r="D10" s="74" t="s">
        <v>10</v>
      </c>
    </row>
    <row r="11" spans="1:7" x14ac:dyDescent="0.3">
      <c r="A11" t="s">
        <v>7</v>
      </c>
      <c r="B11">
        <f>COUNTIFS('ASKY Bookings'!C:C,"*Sky*",'ASKY Bookings'!A:A,"&lt;="&amp;46204)</f>
        <v>167</v>
      </c>
      <c r="C11">
        <f>SUMIFS('ASKY Bookings'!E:E,'ASKY Bookings'!C:C,"*Sky*",'ASKY Bookings'!A:A,"&lt;="&amp;46204)</f>
        <v>387</v>
      </c>
      <c r="D11" t="str">
        <f>TEXT(46204,"YYYY-MM-DD")</f>
        <v>2026-07-01</v>
      </c>
    </row>
    <row r="12" spans="1:7" x14ac:dyDescent="0.3">
      <c r="A12" t="s">
        <v>8</v>
      </c>
      <c r="B12">
        <f>COUNTIFS('ASKY Bookings'!C:C,"*Remington*",'ASKY Bookings'!A:A,"&lt;="&amp;46204)</f>
        <v>133</v>
      </c>
      <c r="C12">
        <f>SUMIFS('ASKY Bookings'!E:E,'ASKY Bookings'!C:C,"*Remington*",'ASKY Bookings'!A:A,"&lt;="&amp;46204)</f>
        <v>365</v>
      </c>
      <c r="D12" t="str">
        <f>D11</f>
        <v>2026-07-01</v>
      </c>
    </row>
    <row r="14" spans="1:7" x14ac:dyDescent="0.3">
      <c r="A14" s="395" t="s">
        <v>11</v>
      </c>
      <c r="B14" s="392"/>
      <c r="C14" s="392"/>
      <c r="D14" s="392"/>
    </row>
    <row r="15" spans="1:7" x14ac:dyDescent="0.3">
      <c r="A15" s="74" t="s">
        <v>3</v>
      </c>
      <c r="B15" s="74" t="s">
        <v>12</v>
      </c>
      <c r="C15" s="74" t="s">
        <v>13</v>
      </c>
      <c r="D15" s="74" t="s">
        <v>14</v>
      </c>
    </row>
    <row r="16" spans="1:7" x14ac:dyDescent="0.3">
      <c r="A16" t="s">
        <v>7</v>
      </c>
      <c r="B16">
        <f>B6-B11</f>
        <v>0</v>
      </c>
      <c r="C16">
        <f>C6-C11</f>
        <v>0</v>
      </c>
      <c r="D16" t="str">
        <f>IF(AND(B16=0,C16=0),"✓ Match","⚠ Variance")</f>
        <v>✓ Match</v>
      </c>
    </row>
    <row r="17" spans="1:7" x14ac:dyDescent="0.3">
      <c r="A17" t="s">
        <v>8</v>
      </c>
      <c r="B17">
        <f>B7-B12</f>
        <v>0</v>
      </c>
      <c r="C17">
        <f>C7-C12</f>
        <v>0</v>
      </c>
      <c r="D17" t="str">
        <f>IF(AND(B17=0,C17=0),"✓ Match","⚠ Variance")</f>
        <v>✓ Match</v>
      </c>
    </row>
    <row r="19" spans="1:7" x14ac:dyDescent="0.3">
      <c r="A19" s="391" t="s">
        <v>15</v>
      </c>
      <c r="B19" s="392"/>
      <c r="C19" s="392"/>
      <c r="D19" s="392"/>
    </row>
    <row r="20" spans="1:7" x14ac:dyDescent="0.3">
      <c r="A20" s="74" t="s">
        <v>3</v>
      </c>
      <c r="B20" s="74" t="s">
        <v>16</v>
      </c>
      <c r="C20" s="74" t="s">
        <v>17</v>
      </c>
      <c r="D20" s="74" t="s">
        <v>14</v>
      </c>
    </row>
    <row r="21" spans="1:7" x14ac:dyDescent="0.3">
      <c r="A21" t="s">
        <v>18</v>
      </c>
      <c r="B21">
        <f>'ASKY Stay Calc'!C11</f>
        <v>204</v>
      </c>
      <c r="C21">
        <f>COUNTIF('ASKY Bookings'!C:C,"*Sky*")</f>
        <v>205</v>
      </c>
      <c r="D21" t="str">
        <f>IF(B21=C21,"✓ Match","⚠ Variance: "&amp;(B21-C21))</f>
        <v>⚠ Variance: -1</v>
      </c>
    </row>
    <row r="22" spans="1:7" x14ac:dyDescent="0.3">
      <c r="A22" t="s">
        <v>19</v>
      </c>
      <c r="B22">
        <f>'ASKY Stay Calc'!C13</f>
        <v>160</v>
      </c>
      <c r="C22">
        <f>COUNTIF('ASKY Bookings'!C:C,"*Remington*")</f>
        <v>160</v>
      </c>
      <c r="D22" t="str">
        <f>IF(B22=C22,"✓ Match","⚠ Variance: "&amp;(B22-C22))</f>
        <v>✓ Match</v>
      </c>
    </row>
    <row r="24" spans="1:7" x14ac:dyDescent="0.3">
      <c r="A24" s="74" t="s">
        <v>3</v>
      </c>
      <c r="B24" s="74" t="s">
        <v>20</v>
      </c>
      <c r="C24" s="74" t="s">
        <v>21</v>
      </c>
      <c r="D24" s="74" t="s">
        <v>14</v>
      </c>
    </row>
    <row r="25" spans="1:7" x14ac:dyDescent="0.3">
      <c r="A25" t="s">
        <v>18</v>
      </c>
      <c r="B25">
        <f>'ASKY Stay Calc'!D11</f>
        <v>497</v>
      </c>
      <c r="C25">
        <f>SUMIF('ASKY Bookings'!C:C,"*Sky*",'ASKY Bookings'!E:E)</f>
        <v>497</v>
      </c>
      <c r="D25" t="str">
        <f>IF(B25=C25,"✓ Match","⚠ Variance: "&amp;(B25-C25))</f>
        <v>✓ Match</v>
      </c>
    </row>
    <row r="26" spans="1:7" x14ac:dyDescent="0.3">
      <c r="A26" t="s">
        <v>19</v>
      </c>
      <c r="B26">
        <f>'ASKY Stay Calc'!D13</f>
        <v>455</v>
      </c>
      <c r="C26">
        <f>SUMIF('ASKY Bookings'!C:C,"*Remington*",'ASKY Bookings'!E:E)</f>
        <v>455</v>
      </c>
      <c r="D26" t="str">
        <f>IF(B26=C26,"✓ Match","⚠ Variance: "&amp;(B26-C26))</f>
        <v>✓ Match</v>
      </c>
    </row>
    <row r="28" spans="1:7" x14ac:dyDescent="0.3">
      <c r="A28" s="397" t="s">
        <v>22</v>
      </c>
      <c r="B28" s="392"/>
      <c r="C28" s="392"/>
      <c r="D28" s="392"/>
      <c r="E28" s="392"/>
      <c r="F28" s="392"/>
      <c r="G28" s="392"/>
    </row>
    <row r="29" spans="1:7" x14ac:dyDescent="0.3">
      <c r="A29" s="392" t="str">
        <f>IF(AND(D16="✓ Match",D17="✓ Match",D21="✓ Match",D22="✓ Match",D25="✓ Match",D26="✓ Match"),"✓ All figures verified — ASKY Stay Calc matches raw booking data","⚠ Some variances detected — review above")</f>
        <v>⚠ Some variances detected — review above</v>
      </c>
      <c r="B29" s="392"/>
      <c r="C29" s="392"/>
      <c r="D29" s="392"/>
      <c r="E29" s="392"/>
      <c r="F29" s="392"/>
      <c r="G29" s="392"/>
    </row>
    <row r="31" spans="1:7" x14ac:dyDescent="0.3">
      <c r="A31" s="394" t="s">
        <v>23</v>
      </c>
      <c r="B31" s="392"/>
      <c r="C31" s="392"/>
      <c r="D31" s="392"/>
      <c r="E31" s="392"/>
      <c r="F31" s="392"/>
      <c r="G31" s="392"/>
    </row>
    <row r="33" spans="1:4" x14ac:dyDescent="0.3">
      <c r="A33" s="391" t="s">
        <v>24</v>
      </c>
      <c r="B33" s="392"/>
      <c r="C33" s="392"/>
      <c r="D33" s="392"/>
    </row>
    <row r="34" spans="1:4" x14ac:dyDescent="0.3">
      <c r="A34" s="74" t="s">
        <v>25</v>
      </c>
      <c r="B34" s="74" t="s">
        <v>26</v>
      </c>
      <c r="C34" s="74" t="s">
        <v>27</v>
      </c>
      <c r="D34" s="74" t="s">
        <v>28</v>
      </c>
    </row>
    <row r="35" spans="1:4" x14ac:dyDescent="0.3">
      <c r="A35" t="s">
        <v>29</v>
      </c>
      <c r="B35">
        <f>MIN('ASKY Bookings'!A:A)</f>
        <v>45656</v>
      </c>
      <c r="C35" t="str">
        <f>TEXT(B35,"YYYY-MM-DD")</f>
        <v>2024-12-30</v>
      </c>
      <c r="D35" t="s">
        <v>30</v>
      </c>
    </row>
    <row r="36" spans="1:4" x14ac:dyDescent="0.3">
      <c r="A36" t="s">
        <v>31</v>
      </c>
      <c r="B36">
        <f>_xlfn.MAXIFS('ASKY Bookings'!A:A,'ASKY Bookings'!A:A,"&lt;="&amp;46204)</f>
        <v>46201</v>
      </c>
      <c r="C36" t="str">
        <f>TEXT(B36,"YYYY-MM-DD")</f>
        <v>2026-06-28</v>
      </c>
      <c r="D36" t="s">
        <v>32</v>
      </c>
    </row>
    <row r="37" spans="1:4" x14ac:dyDescent="0.3">
      <c r="A37" t="s">
        <v>33</v>
      </c>
      <c r="B37">
        <f>DATEDIF(B35,B36,"M")</f>
        <v>17</v>
      </c>
      <c r="C37" t="str">
        <f>B37&amp;" months"</f>
        <v>17 months</v>
      </c>
      <c r="D37" t="s">
        <v>34</v>
      </c>
    </row>
    <row r="38" spans="1:4" x14ac:dyDescent="0.3">
      <c r="A38" t="s">
        <v>35</v>
      </c>
      <c r="B38">
        <f>B36-B35</f>
        <v>545</v>
      </c>
      <c r="C38" t="str">
        <f>B38&amp;" days"</f>
        <v>545 days</v>
      </c>
    </row>
  </sheetData>
  <mergeCells count="10">
    <mergeCell ref="A33:D33"/>
    <mergeCell ref="A28:G28"/>
    <mergeCell ref="A9:D9"/>
    <mergeCell ref="A1:G1"/>
    <mergeCell ref="A31:G31"/>
    <mergeCell ref="A4:D4"/>
    <mergeCell ref="A14:D14"/>
    <mergeCell ref="A2:G2"/>
    <mergeCell ref="A29:G29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Read Me &amp; Glossary</vt:lpstr>
      <vt:lpstr>Key Assumptions Sources</vt:lpstr>
      <vt:lpstr>Control</vt:lpstr>
      <vt:lpstr>African Sky P&amp;L</vt:lpstr>
      <vt:lpstr>Beachside P&amp;L</vt:lpstr>
      <vt:lpstr>Menlyn P&amp;L</vt:lpstr>
      <vt:lpstr>Valuation</vt:lpstr>
      <vt:lpstr>Portfolio NewCo</vt:lpstr>
      <vt:lpstr>INV - Property Breakdown</vt:lpstr>
      <vt:lpstr>INV - 3-Statement Model</vt:lpstr>
      <vt:lpstr>INV - Property KPIs</vt:lpstr>
      <vt:lpstr>INV - Investor KPIs</vt:lpstr>
      <vt:lpstr>INV - Sensitivity Risks</vt:lpstr>
      <vt:lpstr>INV - Investor Close Summary</vt:lpstr>
      <vt:lpstr>Leverage &amp; Growth</vt:lpstr>
      <vt:lpstr>ASKY Bookings</vt:lpstr>
      <vt:lpstr>ASKY Stay Calc</vt:lpstr>
      <vt:lpstr>ASKY Tours Calcs</vt:lpstr>
      <vt:lpstr>Change Log</vt:lpstr>
      <vt:lpstr>STRAT — Control</vt:lpstr>
      <vt:lpstr>STRAT 1 — Partner view</vt:lpstr>
      <vt:lpstr>STRAT 2 — Partner all-cash</vt:lpstr>
      <vt:lpstr>STRAT 3 — Partner full-bond</vt:lpstr>
      <vt:lpstr>STRAT — Compare</vt:lpstr>
      <vt:lpstr>ASKY Bookings CrossCheck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Tyron Bos</cp:lastModifiedBy>
  <dcterms:created xsi:type="dcterms:W3CDTF">2026-07-10T23:13:20Z</dcterms:created>
  <dcterms:modified xsi:type="dcterms:W3CDTF">2026-07-16T21:30:28Z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2026-07-11T10:36:47Z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a4230c13-796f-4a3f-87db-865b43115932</vt:lpwstr>
  </property>
  <property fmtid="{D5CDD505-2E9C-101B-9397-08002B2CF9AE}" pid="7" name="MSIP_Label_defa4170-0d19-0005-0004-bc88714345d2_ActionId">
    <vt:lpwstr>d4058115-74e0-44ff-9e48-5134d07624fe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