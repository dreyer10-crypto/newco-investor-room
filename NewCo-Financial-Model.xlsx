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8" yWindow="528" windowWidth="22452" windowHeight="12432" tabRatio="937" firstSheet="0" activeTab="2" autoFilterDateGrouping="1"/>
  </bookViews>
  <sheets>
    <sheet xmlns:r="http://schemas.openxmlformats.org/officeDocument/2006/relationships" name="Read Me &amp; Glossary" sheetId="1" state="visible" r:id="rId1"/>
    <sheet xmlns:r="http://schemas.openxmlformats.org/officeDocument/2006/relationships" name="Key Assumptions Sources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INV - Property Breakdown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African Sky P&amp;L" sheetId="6" state="visible" r:id="rId6"/>
    <sheet xmlns:r="http://schemas.openxmlformats.org/officeDocument/2006/relationships" name="Beachside P&amp;L" sheetId="7" state="visible" r:id="rId7"/>
    <sheet xmlns:r="http://schemas.openxmlformats.org/officeDocument/2006/relationships" name="Menlyn P&amp;L" sheetId="8" state="visible" r:id="rId8"/>
    <sheet xmlns:r="http://schemas.openxmlformats.org/officeDocument/2006/relationships" name="Portfolio NewCo" sheetId="9" state="visible" r:id="rId9"/>
    <sheet xmlns:r="http://schemas.openxmlformats.org/officeDocument/2006/relationships" name="INV - 3-Statement Model" sheetId="10" state="visible" r:id="rId10"/>
    <sheet xmlns:r="http://schemas.openxmlformats.org/officeDocument/2006/relationships" name="INV - Property KPIs" sheetId="11" state="visible" r:id="rId11"/>
    <sheet xmlns:r="http://schemas.openxmlformats.org/officeDocument/2006/relationships" name="INV - Investor KPIs" sheetId="12" state="visible" r:id="rId12"/>
    <sheet xmlns:r="http://schemas.openxmlformats.org/officeDocument/2006/relationships" name="INV - Sensitivity Risks" sheetId="13" state="visible" r:id="rId13"/>
    <sheet xmlns:r="http://schemas.openxmlformats.org/officeDocument/2006/relationships" name="INV - Investor Close Summary" sheetId="14" state="visible" r:id="rId14"/>
    <sheet xmlns:r="http://schemas.openxmlformats.org/officeDocument/2006/relationships" name="Leverage &amp; Growth" sheetId="15" state="visible" r:id="rId15"/>
    <sheet xmlns:r="http://schemas.openxmlformats.org/officeDocument/2006/relationships" name="ASKY Bookings" sheetId="16" state="visible" r:id="rId16"/>
    <sheet xmlns:r="http://schemas.openxmlformats.org/officeDocument/2006/relationships" name="ASKY Stay Calc" sheetId="17" state="visible" r:id="rId17"/>
    <sheet xmlns:r="http://schemas.openxmlformats.org/officeDocument/2006/relationships" name="ASKY Tours Calcs" sheetId="18" state="visible" r:id="rId18"/>
    <sheet xmlns:r="http://schemas.openxmlformats.org/officeDocument/2006/relationships" name="Change Log" sheetId="19" state="visible" r:id="rId19"/>
    <sheet xmlns:r="http://schemas.openxmlformats.org/officeDocument/2006/relationships" name="STRAT — Control" sheetId="20" state="visible" r:id="rId20"/>
    <sheet xmlns:r="http://schemas.openxmlformats.org/officeDocument/2006/relationships" name="STRAT 1 — Partner view" sheetId="21" state="visible" r:id="rId21"/>
    <sheet xmlns:r="http://schemas.openxmlformats.org/officeDocument/2006/relationships" name="STRAT 2 — Partner all-cash" sheetId="22" state="visible" r:id="rId22"/>
    <sheet xmlns:r="http://schemas.openxmlformats.org/officeDocument/2006/relationships" name="STRAT 3 — Partner full-bond" sheetId="23" state="visible" r:id="rId23"/>
    <sheet xmlns:r="http://schemas.openxmlformats.org/officeDocument/2006/relationships" name="STRAT — Compare" sheetId="24" state="visible" r:id="rId24"/>
    <sheet xmlns:r="http://schemas.openxmlformats.org/officeDocument/2006/relationships" name="ASKY Bookings CrossCheck" sheetId="25" state="visible" r:id="rId25"/>
  </sheets>
  <definedNames>
    <definedName name="_xlnm._FilterDatabase" localSheetId="15" hidden="1">'ASKY Bookings'!$A$2:$I$366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#,##0.0"/>
    <numFmt numFmtId="165" formatCode="0.0%"/>
    <numFmt numFmtId="166" formatCode="0.00&quot;x&quot;"/>
    <numFmt numFmtId="167" formatCode="#,##0;\(#,##0\);\-"/>
    <numFmt numFmtId="168" formatCode="_-* #,##0.0_-;\-* #,##0.0_-;_-* &quot;-&quot;??_-;_-@_-"/>
    <numFmt numFmtId="169" formatCode="0.0"/>
    <numFmt numFmtId="170" formatCode="\R\ #,##0"/>
    <numFmt numFmtId="171" formatCode="\R\ #,##0;[Red]\(\R\ #,##0\);\-"/>
    <numFmt numFmtId="172" formatCode="0.0\x"/>
    <numFmt numFmtId="173" formatCode="0.00\x"/>
    <numFmt numFmtId="174" formatCode="#,##0;[Red]\(#,##0\)"/>
    <numFmt numFmtId="175" formatCode="0.00&quot;×&quot;"/>
    <numFmt numFmtId="176" formatCode="dd\ mmm\ yy"/>
    <numFmt numFmtId="177" formatCode="\R#,##0;\(\R#,##0\);&quot;–&quot;"/>
    <numFmt numFmtId="178" formatCode="&quot;R &quot;#,##0"/>
    <numFmt numFmtId="179" formatCode="\+0.0%;\-0.0%"/>
    <numFmt numFmtId="180" formatCode="\+0.00;\-0.00"/>
    <numFmt numFmtId="181" formatCode="\+\R\ #,##0;\-\R\ #,##0"/>
  </numFmts>
  <fonts count="71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charset val="1"/>
      <family val="2"/>
      <color theme="1"/>
      <sz val="11"/>
    </font>
    <font>
      <name val="Arial"/>
      <family val="2"/>
      <b val="1"/>
      <color rgb="FF1F3864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b val="1"/>
      <color rgb="FF0000FF"/>
      <sz val="10"/>
    </font>
    <font>
      <name val="Calibri"/>
      <charset val="1"/>
      <family val="2"/>
      <color rgb="FF0000FF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u val="single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sz val="11"/>
      <u val="single"/>
      <scheme val="minor"/>
    </font>
    <font>
      <name val="Aptos"/>
      <family val="2"/>
      <b val="1"/>
      <color theme="1"/>
      <sz val="16"/>
    </font>
    <font>
      <name val="Aptos"/>
      <family val="2"/>
      <color theme="1"/>
      <sz val="11"/>
    </font>
    <font>
      <name val="Aptos"/>
      <family val="2"/>
      <b val="1"/>
      <color rgb="FFFFFFFF"/>
      <sz val="11"/>
    </font>
    <font>
      <name val="Aptos"/>
      <family val="2"/>
      <color theme="1"/>
      <sz val="10"/>
    </font>
    <font>
      <name val="Aptos"/>
      <family val="2"/>
      <b val="1"/>
      <color rgb="FFFFFFFF"/>
      <sz val="16"/>
    </font>
    <font>
      <name val="Aptos"/>
      <family val="2"/>
      <color rgb="FF1F1F1F"/>
      <sz val="10"/>
    </font>
    <font>
      <name val="Aptos"/>
      <family val="2"/>
      <b val="1"/>
      <color rgb="FF000000"/>
      <sz val="10"/>
    </font>
    <font>
      <name val="Aptos"/>
      <family val="2"/>
      <b val="1"/>
      <color rgb="FFFFFFFF"/>
      <sz val="10"/>
    </font>
    <font>
      <name val="Aptos"/>
      <family val="2"/>
      <b val="1"/>
      <color rgb="FF1F3864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FFFFFF"/>
      <sz val="10"/>
    </font>
    <font>
      <name val="Aptos"/>
      <family val="2"/>
      <b val="1"/>
      <color theme="1"/>
      <sz val="10"/>
    </font>
    <font>
      <name val="Aptos"/>
      <family val="2"/>
      <i val="1"/>
      <color rgb="FF808080"/>
      <sz val="10"/>
    </font>
    <font>
      <name val="Aptos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1F1F1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4747FF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3"/>
      <scheme val="minor"/>
    </font>
    <font>
      <name val="Calibri"/>
      <family val="2"/>
      <b val="1"/>
      <color rgb="FF00863D"/>
      <sz val="11"/>
      <scheme val="minor"/>
    </font>
    <font>
      <name val="Calibri"/>
      <family val="2"/>
      <color rgb="FF666666"/>
      <sz val="11"/>
      <scheme val="minor"/>
    </font>
    <font>
      <name val="Calibri"/>
      <family val="2"/>
      <b val="1"/>
      <color rgb="FF666666"/>
      <sz val="11"/>
      <scheme val="minor"/>
    </font>
    <font>
      <name val="Calibri"/>
      <family val="2"/>
      <color rgb="FF0000FF"/>
      <sz val="11"/>
      <scheme val="minor"/>
    </font>
    <font>
      <name val="Arial"/>
      <family val="2"/>
      <b val="1"/>
      <color rgb="FF000000"/>
      <sz val="10"/>
    </font>
    <font>
      <name val="Calibri"/>
      <family val="2"/>
      <color rgb="FF808080"/>
      <sz val="11"/>
      <scheme val="minor"/>
    </font>
    <font>
      <name val="Calibri"/>
      <family val="2"/>
      <i val="1"/>
      <color rgb="FF808080"/>
      <sz val="11"/>
      <scheme val="minor"/>
    </font>
    <font>
      <name val="Calibri"/>
      <family val="2"/>
      <b val="1"/>
      <color rgb="FF1C1813"/>
      <sz val="13"/>
    </font>
    <font>
      <name val="Calibri"/>
      <family val="2"/>
      <i val="1"/>
      <color rgb="FF6B6150"/>
      <sz val="9"/>
    </font>
    <font>
      <name val="Calibri"/>
      <family val="2"/>
      <b val="1"/>
      <color rgb="FF9A6E1F"/>
      <sz val="10"/>
    </font>
    <font>
      <name val="Calibri"/>
      <family val="2"/>
      <sz val="10"/>
    </font>
    <font>
      <name val="Calibri"/>
      <family val="2"/>
      <i val="1"/>
      <color rgb="FF8A7F6E"/>
      <sz val="8"/>
    </font>
    <font>
      <name val="Calibri"/>
      <family val="2"/>
      <b val="1"/>
      <sz val="10"/>
    </font>
    <font>
      <name val="Calibri"/>
      <family val="2"/>
      <b val="1"/>
      <color rgb="FFB23B3B"/>
      <sz val="11"/>
    </font>
    <font>
      <name val="Calibri"/>
      <family val="2"/>
      <b val="1"/>
      <color rgb="FF2E7D32"/>
      <sz val="11"/>
    </font>
    <font>
      <name val="Calibri"/>
      <family val="2"/>
      <b val="1"/>
      <color rgb="FFB23B3B"/>
      <sz val="13"/>
    </font>
    <font>
      <name val="Calibri"/>
      <family val="2"/>
      <b val="1"/>
      <color rgb="FFF3ECDB"/>
      <sz val="15"/>
    </font>
    <font>
      <name val="Calibri"/>
      <family val="2"/>
      <b val="1"/>
      <color rgb="FF6B6857"/>
      <sz val="9"/>
    </font>
    <font>
      <name val="Calibri"/>
      <family val="2"/>
      <color rgb="FF1A1A1A"/>
      <sz val="9"/>
    </font>
    <font>
      <name val="Calibri"/>
      <family val="2"/>
      <color rgb="FF8E5A2E"/>
      <sz val="9"/>
    </font>
    <font>
      <name val="Calibri"/>
      <family val="2"/>
      <color rgb="FF2E6E8E"/>
      <sz val="9"/>
    </font>
    <font>
      <name val="Calibri"/>
      <family val="2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12"/>
      <scheme val="minor"/>
    </font>
    <font>
      <i val="1"/>
      <color rgb="008A7F6E"/>
      <sz val="8"/>
    </font>
  </fonts>
  <fills count="4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D9EAD3"/>
      </patternFill>
    </fill>
    <fill>
      <patternFill patternType="solid">
        <f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595959"/>
        <bgColor rgb="FF7F7F7F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</patternFill>
    </fill>
    <fill>
      <patternFill patternType="solid">
        <fgColor rgb="FF1F4E7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EFEFE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3CE"/>
      </patternFill>
    </fill>
    <fill>
      <patternFill patternType="solid">
        <fgColor rgb="FFEFE8DA"/>
      </patternFill>
    </fill>
    <fill>
      <patternFill patternType="solid">
        <fgColor rgb="FF2C4031"/>
      </patternFill>
    </fill>
    <fill>
      <patternFill patternType="solid">
        <fgColor rgb="FFEDE6D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rgb="FF1F4E79"/>
      </left>
      <right/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1F4E79"/>
      </left>
      <right/>
      <top style="thin">
        <color rgb="FF1F4E79"/>
      </top>
      <bottom/>
      <diagonal/>
    </border>
    <border>
      <left style="thin">
        <color rgb="FF1F4E79"/>
      </left>
      <right/>
      <top style="thin">
        <color indexed="64"/>
      </top>
      <bottom/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/>
      <right/>
      <top/>
      <bottom style="thin">
        <color rgb="FFCDC3AA"/>
      </bottom>
      <diagonal/>
    </border>
    <border>
      <left/>
      <right/>
      <top style="thin">
        <color rgb="FF1F4E79"/>
      </top>
      <bottom/>
      <diagonal/>
    </border>
    <border>
      <left/>
      <right style="thin">
        <color rgb="FF1F4E79"/>
      </right>
      <top style="thin">
        <color rgb="FF1F4E79"/>
      </top>
      <bottom/>
      <diagonal/>
    </border>
  </borders>
  <cellStyleXfs count="5">
    <xf numFmtId="0" fontId="14" fillId="0" borderId="0"/>
    <xf numFmtId="0" fontId="4" fillId="0" borderId="0"/>
    <xf numFmtId="43" fontId="4" fillId="0" borderId="0"/>
    <xf numFmtId="9" fontId="4" fillId="0" borderId="0"/>
    <xf numFmtId="9" fontId="14" fillId="0" borderId="0"/>
  </cellStyleXfs>
  <cellXfs count="37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3" fontId="3" fillId="0" borderId="0" pivotButton="0" quotePrefix="0" xfId="0"/>
    <xf numFmtId="3" fontId="3" fillId="4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  <xf numFmtId="0" fontId="3" fillId="5" borderId="0" pivotButton="0" quotePrefix="0" xfId="0"/>
    <xf numFmtId="3" fontId="3" fillId="5" borderId="0" pivotButton="0" quotePrefix="0" xfId="0"/>
    <xf numFmtId="165" fontId="0" fillId="0" borderId="0" pivotButton="0" quotePrefix="0" xfId="0"/>
    <xf numFmtId="3" fontId="0" fillId="6" borderId="0" pivotButton="0" quotePrefix="0" xfId="0"/>
    <xf numFmtId="166" fontId="0" fillId="0" borderId="0" pivotButton="0" quotePrefix="0" xfId="0"/>
    <xf numFmtId="166" fontId="3" fillId="0" borderId="0" pivotButton="0" quotePrefix="0" xfId="0"/>
    <xf numFmtId="165" fontId="0" fillId="3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0" borderId="0" pivotButton="0" quotePrefix="0" xfId="1"/>
    <xf numFmtId="0" fontId="4" fillId="0" borderId="0" pivotButton="0" quotePrefix="0" xfId="1"/>
    <xf numFmtId="0" fontId="6" fillId="0" borderId="0" pivotButton="0" quotePrefix="0" xfId="1"/>
    <xf numFmtId="0" fontId="7" fillId="7" borderId="1" applyAlignment="1" pivotButton="0" quotePrefix="0" xfId="1">
      <alignment horizontal="left" vertical="center" wrapText="1"/>
    </xf>
    <xf numFmtId="0" fontId="7" fillId="7" borderId="1" applyAlignment="1" pivotButton="0" quotePrefix="0" xfId="1">
      <alignment horizontal="center" vertical="center" wrapText="1"/>
    </xf>
    <xf numFmtId="0" fontId="4" fillId="0" borderId="0" applyAlignment="1" pivotButton="0" quotePrefix="0" xfId="1">
      <alignment wrapText="1"/>
    </xf>
    <xf numFmtId="0" fontId="7" fillId="8" borderId="0" pivotButton="0" quotePrefix="0" xfId="1"/>
    <xf numFmtId="0" fontId="4" fillId="8" borderId="0" pivotButton="0" quotePrefix="0" xfId="1"/>
    <xf numFmtId="0" fontId="8" fillId="0" borderId="1" applyAlignment="1" pivotButton="0" quotePrefix="0" xfId="1">
      <alignment horizontal="center" vertical="center"/>
    </xf>
    <xf numFmtId="0" fontId="8" fillId="0" borderId="1" pivotButton="0" quotePrefix="0" xfId="1"/>
    <xf numFmtId="167" fontId="8" fillId="0" borderId="1" applyAlignment="1" pivotButton="0" quotePrefix="0" xfId="1">
      <alignment horizontal="right" vertical="center"/>
    </xf>
    <xf numFmtId="167" fontId="9" fillId="9" borderId="1" applyAlignment="1" pivotButton="0" quotePrefix="0" xfId="1">
      <alignment horizontal="right" vertical="center"/>
    </xf>
    <xf numFmtId="165" fontId="10" fillId="0" borderId="1" applyAlignment="1" pivotButton="0" quotePrefix="0" xfId="1">
      <alignment horizontal="right" vertical="center"/>
    </xf>
    <xf numFmtId="168" fontId="10" fillId="0" borderId="1" applyAlignment="1" pivotButton="0" quotePrefix="0" xfId="2">
      <alignment horizontal="right" vertical="center"/>
    </xf>
    <xf numFmtId="167" fontId="10" fillId="0" borderId="1" applyAlignment="1" pivotButton="0" quotePrefix="0" xfId="1">
      <alignment horizontal="right" vertical="center"/>
    </xf>
    <xf numFmtId="9" fontId="4" fillId="0" borderId="0" pivotButton="0" quotePrefix="0" xfId="1"/>
    <xf numFmtId="0" fontId="4" fillId="10" borderId="1" pivotButton="0" quotePrefix="0" xfId="1"/>
    <xf numFmtId="0" fontId="10" fillId="10" borderId="1" pivotButton="0" quotePrefix="0" xfId="1"/>
    <xf numFmtId="165" fontId="10" fillId="10" borderId="1" applyAlignment="1" pivotButton="0" quotePrefix="0" xfId="1">
      <alignment horizontal="right" vertical="center"/>
    </xf>
    <xf numFmtId="165" fontId="11" fillId="10" borderId="1" applyAlignment="1" pivotButton="0" quotePrefix="0" xfId="1">
      <alignment horizontal="right" vertical="center"/>
    </xf>
    <xf numFmtId="167" fontId="10" fillId="10" borderId="1" applyAlignment="1" pivotButton="0" quotePrefix="0" xfId="1">
      <alignment horizontal="right" vertical="center"/>
    </xf>
    <xf numFmtId="0" fontId="4" fillId="11" borderId="1" pivotButton="0" quotePrefix="0" xfId="1"/>
    <xf numFmtId="0" fontId="10" fillId="11" borderId="1" pivotButton="0" quotePrefix="0" xfId="1"/>
    <xf numFmtId="165" fontId="10" fillId="11" borderId="1" applyAlignment="1" pivotButton="0" quotePrefix="0" xfId="1">
      <alignment horizontal="right" vertical="center"/>
    </xf>
    <xf numFmtId="167" fontId="10" fillId="11" borderId="1" applyAlignment="1" pivotButton="0" quotePrefix="0" xfId="1">
      <alignment horizontal="right" vertical="center"/>
    </xf>
    <xf numFmtId="0" fontId="13" fillId="0" borderId="0" pivotButton="0" quotePrefix="0" xfId="0"/>
    <xf numFmtId="169" fontId="0" fillId="0" borderId="0" applyAlignment="1" pivotButton="0" quotePrefix="0" xfId="0">
      <alignment wrapText="1"/>
    </xf>
    <xf numFmtId="0" fontId="15" fillId="0" borderId="0" applyAlignment="1" pivotButton="0" quotePrefix="0" xfId="0">
      <alignment vertical="top" wrapText="1"/>
    </xf>
    <xf numFmtId="169" fontId="0" fillId="0" borderId="0" applyAlignment="1" pivotButton="0" quotePrefix="0" xfId="0">
      <alignment vertical="top"/>
    </xf>
    <xf numFmtId="0" fontId="18" fillId="13" borderId="0" applyAlignment="1" pivotButton="0" quotePrefix="0" xfId="0">
      <alignment vertical="center" wrapText="1"/>
    </xf>
    <xf numFmtId="0" fontId="18" fillId="13" borderId="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69" fontId="0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169" fontId="0" fillId="0" borderId="0" applyAlignment="1" pivotButton="0" quotePrefix="0" xfId="0">
      <alignment horizontal="center" vertical="top"/>
    </xf>
    <xf numFmtId="0" fontId="22" fillId="14" borderId="0" applyAlignment="1" pivotButton="0" quotePrefix="0" xfId="0">
      <alignment vertical="center"/>
    </xf>
    <xf numFmtId="0" fontId="16" fillId="14" borderId="0" applyAlignment="1" pivotButton="0" quotePrefix="0" xfId="0">
      <alignment vertical="center"/>
    </xf>
    <xf numFmtId="0" fontId="0" fillId="14" borderId="0" applyAlignment="1" pivotButton="0" quotePrefix="0" xfId="0">
      <alignment vertical="top"/>
    </xf>
    <xf numFmtId="0" fontId="0" fillId="14" borderId="0" applyAlignment="1" pivotButton="0" quotePrefix="0" xfId="0">
      <alignment vertical="top" wrapText="1"/>
    </xf>
    <xf numFmtId="3" fontId="0" fillId="14" borderId="0" applyAlignment="1" pivotButton="0" quotePrefix="0" xfId="0">
      <alignment horizontal="center" vertical="top" wrapText="1"/>
    </xf>
    <xf numFmtId="0" fontId="21" fillId="14" borderId="0" applyAlignment="1" pivotButton="0" quotePrefix="0" xfId="0">
      <alignment vertical="top"/>
    </xf>
    <xf numFmtId="0" fontId="19" fillId="15" borderId="0" applyAlignment="1" pivotButton="0" quotePrefix="0" xfId="0">
      <alignment vertical="center" wrapText="1"/>
    </xf>
    <xf numFmtId="0" fontId="19" fillId="15" borderId="0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left" vertical="center"/>
    </xf>
    <xf numFmtId="0" fontId="20" fillId="15" borderId="0" applyAlignment="1" pivotButton="0" quotePrefix="0" xfId="0">
      <alignment vertical="center"/>
    </xf>
    <xf numFmtId="0" fontId="0" fillId="15" borderId="0" applyAlignment="1" pivotButton="0" quotePrefix="0" xfId="0">
      <alignment vertical="top"/>
    </xf>
    <xf numFmtId="170" fontId="0" fillId="0" borderId="0" applyAlignment="1" pivotButton="0" quotePrefix="0" xfId="0">
      <alignment wrapText="1"/>
    </xf>
    <xf numFmtId="0" fontId="15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top" wrapText="1"/>
    </xf>
    <xf numFmtId="0" fontId="0" fillId="0" borderId="0" applyAlignment="1" pivotButton="0" quotePrefix="0" xfId="0">
      <alignment horizontal="left"/>
    </xf>
    <xf numFmtId="0" fontId="26" fillId="0" borderId="0" applyAlignment="1" pivotButton="0" quotePrefix="0" xfId="0">
      <alignment horizontal="left"/>
    </xf>
    <xf numFmtId="0" fontId="27" fillId="13" borderId="0" applyAlignment="1" pivotButton="0" quotePrefix="0" xfId="0">
      <alignment horizontal="left"/>
    </xf>
    <xf numFmtId="170" fontId="26" fillId="0" borderId="0" applyAlignment="1" pivotButton="0" quotePrefix="0" xfId="0">
      <alignment horizontal="left"/>
    </xf>
    <xf numFmtId="165" fontId="26" fillId="0" borderId="0" applyAlignment="1" pivotButton="0" quotePrefix="0" xfId="0">
      <alignment horizontal="left"/>
    </xf>
    <xf numFmtId="0" fontId="25" fillId="0" borderId="0" applyAlignment="1" pivotButton="0" quotePrefix="0" xfId="0">
      <alignment horizontal="left"/>
    </xf>
    <xf numFmtId="169" fontId="26" fillId="0" borderId="0" applyAlignment="1" pivotButton="0" quotePrefix="0" xfId="0">
      <alignment horizontal="left"/>
    </xf>
    <xf numFmtId="3" fontId="26" fillId="0" borderId="0" applyAlignment="1" pivotButton="0" quotePrefix="0" xfId="0">
      <alignment horizontal="left"/>
    </xf>
    <xf numFmtId="9" fontId="26" fillId="0" borderId="0" applyAlignment="1" pivotButton="0" quotePrefix="0" xfId="4">
      <alignment horizontal="left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 wrapText="1"/>
    </xf>
    <xf numFmtId="0" fontId="15" fillId="0" borderId="0" applyAlignment="1" pivotButton="0" quotePrefix="0" xfId="0">
      <alignment vertical="top"/>
    </xf>
    <xf numFmtId="0" fontId="0" fillId="0" borderId="0" applyAlignment="1" pivotButton="0" quotePrefix="0" xfId="0">
      <alignment horizontal="right" vertical="top"/>
    </xf>
    <xf numFmtId="0" fontId="2" fillId="2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28" fillId="0" borderId="4" applyAlignment="1" pivotButton="0" quotePrefix="0" xfId="0">
      <alignment horizontal="right"/>
    </xf>
    <xf numFmtId="0" fontId="31" fillId="24" borderId="4" applyAlignment="1" pivotButton="0" quotePrefix="0" xfId="0">
      <alignment horizontal="right"/>
    </xf>
    <xf numFmtId="171" fontId="28" fillId="0" borderId="4" applyAlignment="1" pivotButton="0" quotePrefix="0" xfId="0">
      <alignment horizontal="right"/>
    </xf>
    <xf numFmtId="171" fontId="31" fillId="25" borderId="4" applyAlignment="1" pivotButton="0" quotePrefix="0" xfId="0">
      <alignment horizontal="right"/>
    </xf>
    <xf numFmtId="165" fontId="28" fillId="0" borderId="4" applyAlignment="1" pivotButton="0" quotePrefix="0" xfId="0">
      <alignment horizontal="right"/>
    </xf>
    <xf numFmtId="172" fontId="28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8" fillId="0" borderId="4" applyAlignment="1" pivotButton="0" quotePrefix="0" xfId="0">
      <alignment horizontal="left"/>
    </xf>
    <xf numFmtId="0" fontId="31" fillId="24" borderId="4" applyAlignment="1" pivotButton="0" quotePrefix="0" xfId="0">
      <alignment horizontal="left"/>
    </xf>
    <xf numFmtId="0" fontId="31" fillId="25" borderId="4" applyAlignment="1" pivotButton="0" quotePrefix="0" xfId="0">
      <alignment horizontal="left"/>
    </xf>
    <xf numFmtId="0" fontId="28" fillId="0" borderId="4" applyAlignment="1" pivotButton="0" quotePrefix="0" xfId="0">
      <alignment horizontal="left" indent="1"/>
    </xf>
    <xf numFmtId="0" fontId="31" fillId="25" borderId="4" applyAlignment="1" pivotButton="0" quotePrefix="0" xfId="0">
      <alignment horizontal="left" indent="1"/>
    </xf>
    <xf numFmtId="0" fontId="31" fillId="25" borderId="6" applyAlignment="1" pivotButton="0" quotePrefix="0" xfId="0">
      <alignment horizontal="left"/>
    </xf>
    <xf numFmtId="0" fontId="28" fillId="0" borderId="4" applyAlignment="1" pivotButton="0" quotePrefix="0" xfId="0">
      <alignment horizontal="center"/>
    </xf>
    <xf numFmtId="0" fontId="31" fillId="25" borderId="6" applyAlignment="1" pivotButton="0" quotePrefix="0" xfId="0">
      <alignment horizontal="center"/>
    </xf>
    <xf numFmtId="0" fontId="33" fillId="0" borderId="0" pivotButton="0" quotePrefix="0" xfId="0"/>
    <xf numFmtId="0" fontId="34" fillId="0" borderId="0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3" fontId="35" fillId="4" borderId="0" applyAlignment="1" pivotButton="0" quotePrefix="0" xfId="0">
      <alignment horizontal="center"/>
    </xf>
    <xf numFmtId="3" fontId="34" fillId="0" borderId="0" pivotButton="0" quotePrefix="0" xfId="0"/>
    <xf numFmtId="165" fontId="34" fillId="0" borderId="0" pivotButton="0" quotePrefix="0" xfId="0"/>
    <xf numFmtId="166" fontId="34" fillId="0" borderId="0" pivotButton="0" quotePrefix="0" xfId="0"/>
    <xf numFmtId="3" fontId="35" fillId="0" borderId="0" pivotButton="0" quotePrefix="0" xfId="0"/>
    <xf numFmtId="166" fontId="35" fillId="0" borderId="0" pivotButton="0" quotePrefix="0" xfId="0"/>
    <xf numFmtId="0" fontId="36" fillId="2" borderId="0" pivotButton="0" quotePrefix="0" xfId="0"/>
    <xf numFmtId="0" fontId="34" fillId="2" borderId="0" pivotButton="0" quotePrefix="0" xfId="0"/>
    <xf numFmtId="165" fontId="35" fillId="5" borderId="0" pivotButton="0" quotePrefix="0" xfId="0"/>
    <xf numFmtId="164" fontId="35" fillId="5" borderId="0" pivotButton="0" quotePrefix="0" xfId="0"/>
    <xf numFmtId="0" fontId="34" fillId="0" borderId="0" applyAlignment="1" pivotButton="0" quotePrefix="0" xfId="0">
      <alignment horizontal="left" vertical="top" wrapText="1"/>
    </xf>
    <xf numFmtId="0" fontId="37" fillId="0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right" vertical="top" wrapText="1"/>
    </xf>
    <xf numFmtId="0" fontId="34" fillId="0" borderId="2" applyAlignment="1" pivotButton="0" quotePrefix="0" xfId="0">
      <alignment horizontal="left" vertical="top" wrapText="1"/>
    </xf>
    <xf numFmtId="0" fontId="37" fillId="0" borderId="2" applyAlignment="1" pivotButton="0" quotePrefix="0" xfId="0">
      <alignment vertical="top" wrapText="1"/>
    </xf>
    <xf numFmtId="170" fontId="34" fillId="0" borderId="2" applyAlignment="1" pivotButton="0" quotePrefix="0" xfId="0">
      <alignment horizontal="right" vertical="top" wrapText="1"/>
    </xf>
    <xf numFmtId="0" fontId="36" fillId="20" borderId="2" applyAlignment="1" pivotButton="0" quotePrefix="0" xfId="0">
      <alignment horizontal="center" vertical="top" wrapText="1"/>
    </xf>
    <xf numFmtId="0" fontId="36" fillId="20" borderId="2" applyAlignment="1" pivotButton="0" quotePrefix="0" xfId="0">
      <alignment horizontal="right" vertical="top" wrapText="1"/>
    </xf>
    <xf numFmtId="0" fontId="36" fillId="20" borderId="2" applyAlignment="1" pivotButton="0" quotePrefix="0" xfId="0">
      <alignment horizontal="left" vertical="top" wrapText="1"/>
    </xf>
    <xf numFmtId="0" fontId="34" fillId="0" borderId="2" applyAlignment="1" pivotButton="0" quotePrefix="0" xfId="0">
      <alignment vertical="top" wrapText="1"/>
    </xf>
    <xf numFmtId="0" fontId="37" fillId="0" borderId="0" pivotButton="0" quotePrefix="0" xfId="0"/>
    <xf numFmtId="0" fontId="34" fillId="0" borderId="0" applyAlignment="1" pivotButton="0" quotePrefix="0" xfId="0">
      <alignment horizontal="left"/>
    </xf>
    <xf numFmtId="0" fontId="36" fillId="13" borderId="0" pivotButton="0" quotePrefix="0" xfId="0"/>
    <xf numFmtId="0" fontId="36" fillId="13" borderId="0" applyAlignment="1" pivotButton="0" quotePrefix="0" xfId="0">
      <alignment horizontal="left"/>
    </xf>
    <xf numFmtId="170" fontId="34" fillId="0" borderId="0" applyAlignment="1" pivotButton="0" quotePrefix="0" xfId="0">
      <alignment horizontal="left"/>
    </xf>
    <xf numFmtId="165" fontId="34" fillId="0" borderId="0" applyAlignment="1" pivotButton="0" quotePrefix="0" xfId="0">
      <alignment horizontal="left"/>
    </xf>
    <xf numFmtId="1" fontId="34" fillId="0" borderId="0" applyAlignment="1" pivotButton="0" quotePrefix="0" xfId="0">
      <alignment horizontal="left"/>
    </xf>
    <xf numFmtId="173" fontId="34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center"/>
    </xf>
    <xf numFmtId="0" fontId="36" fillId="16" borderId="0" pivotButton="0" quotePrefix="0" xfId="0"/>
    <xf numFmtId="0" fontId="34" fillId="16" borderId="0" pivotButton="0" quotePrefix="0" xfId="0"/>
    <xf numFmtId="0" fontId="35" fillId="17" borderId="0" pivotButton="0" quotePrefix="0" xfId="0"/>
    <xf numFmtId="0" fontId="35" fillId="17" borderId="0" applyAlignment="1" pivotButton="0" quotePrefix="0" xfId="0">
      <alignment vertical="top" wrapText="1"/>
    </xf>
    <xf numFmtId="0" fontId="38" fillId="0" borderId="0" pivotButton="0" quotePrefix="0" xfId="0"/>
    <xf numFmtId="0" fontId="35" fillId="24" borderId="0" pivotButton="0" quotePrefix="0" xfId="0"/>
    <xf numFmtId="0" fontId="35" fillId="24" borderId="0" applyAlignment="1" pivotButton="0" quotePrefix="0" xfId="0">
      <alignment horizontal="center"/>
    </xf>
    <xf numFmtId="0" fontId="37" fillId="24" borderId="0" pivotButton="0" quotePrefix="0" xfId="0"/>
    <xf numFmtId="0" fontId="36" fillId="22" borderId="0" pivotButton="0" quotePrefix="0" xfId="0"/>
    <xf numFmtId="172" fontId="34" fillId="0" borderId="0" pivotButton="0" quotePrefix="0" xfId="0"/>
    <xf numFmtId="171" fontId="35" fillId="3" borderId="0" pivotButton="0" quotePrefix="0" xfId="0"/>
    <xf numFmtId="171" fontId="35" fillId="5" borderId="0" pivotButton="0" quotePrefix="0" xfId="0"/>
    <xf numFmtId="0" fontId="35" fillId="25" borderId="0" pivotButton="0" quotePrefix="0" xfId="0"/>
    <xf numFmtId="165" fontId="35" fillId="25" borderId="0" pivotButton="0" quotePrefix="0" xfId="0"/>
    <xf numFmtId="0" fontId="37" fillId="25" borderId="0" pivotButton="0" quotePrefix="0" xfId="0"/>
    <xf numFmtId="165" fontId="37" fillId="25" borderId="0" pivotButton="0" quotePrefix="0" xfId="0"/>
    <xf numFmtId="172" fontId="37" fillId="25" borderId="0" pivotButton="0" quotePrefix="0" xfId="0"/>
    <xf numFmtId="165" fontId="37" fillId="0" borderId="0" pivotButton="0" quotePrefix="0" xfId="0"/>
    <xf numFmtId="0" fontId="36" fillId="22" borderId="0" applyAlignment="1" pivotButton="0" quotePrefix="0" xfId="0">
      <alignment horizontal="center"/>
    </xf>
    <xf numFmtId="165" fontId="36" fillId="22" borderId="0" applyAlignment="1" pivotButton="0" quotePrefix="0" xfId="0">
      <alignment horizontal="center"/>
    </xf>
    <xf numFmtId="165" fontId="34" fillId="0" borderId="0" applyAlignment="1" pivotButton="0" quotePrefix="0" xfId="0">
      <alignment horizontal="center"/>
    </xf>
    <xf numFmtId="172" fontId="34" fillId="0" borderId="0" applyAlignment="1" pivotButton="0" quotePrefix="0" xfId="0">
      <alignment horizontal="center"/>
    </xf>
    <xf numFmtId="171" fontId="34" fillId="0" borderId="0" applyAlignment="1" pivotButton="0" quotePrefix="0" xfId="0">
      <alignment horizontal="center"/>
    </xf>
    <xf numFmtId="171" fontId="39" fillId="24" borderId="0" pivotButton="0" quotePrefix="0" xfId="0"/>
    <xf numFmtId="165" fontId="39" fillId="24" borderId="0" pivotButton="0" quotePrefix="0" xfId="0"/>
    <xf numFmtId="172" fontId="39" fillId="24" borderId="0" pivotButton="0" quotePrefix="0" xfId="0"/>
    <xf numFmtId="1" fontId="0" fillId="0" borderId="0" applyAlignment="1" pivotButton="0" quotePrefix="0" xfId="0">
      <alignment horizontal="left"/>
    </xf>
    <xf numFmtId="0" fontId="37" fillId="0" borderId="7" applyAlignment="1" pivotButton="0" quotePrefix="0" xfId="0">
      <alignment vertical="top" wrapText="1"/>
    </xf>
    <xf numFmtId="0" fontId="34" fillId="0" borderId="7" applyAlignment="1" pivotButton="0" quotePrefix="0" xfId="0">
      <alignment vertical="top" wrapText="1"/>
    </xf>
    <xf numFmtId="170" fontId="34" fillId="0" borderId="7" applyAlignment="1" pivotButton="0" quotePrefix="0" xfId="0">
      <alignment horizontal="right" vertical="top" wrapText="1"/>
    </xf>
    <xf numFmtId="0" fontId="34" fillId="0" borderId="7" applyAlignment="1" pivotButton="0" quotePrefix="0" xfId="0">
      <alignment horizontal="left" vertical="top" wrapText="1"/>
    </xf>
    <xf numFmtId="0" fontId="36" fillId="20" borderId="8" applyAlignment="1" pivotButton="0" quotePrefix="0" xfId="0">
      <alignment horizontal="center" vertical="top" wrapText="1"/>
    </xf>
    <xf numFmtId="172" fontId="36" fillId="20" borderId="8" applyAlignment="1" pivotButton="0" quotePrefix="0" xfId="0">
      <alignment horizontal="center" vertical="top" wrapText="1"/>
    </xf>
    <xf numFmtId="172" fontId="36" fillId="20" borderId="8" applyAlignment="1" pivotButton="0" quotePrefix="0" xfId="0">
      <alignment horizontal="right" vertical="top" wrapText="1"/>
    </xf>
    <xf numFmtId="172" fontId="36" fillId="20" borderId="8" applyAlignment="1" pivotButton="0" quotePrefix="0" xfId="0">
      <alignment horizontal="left" vertical="top" wrapText="1"/>
    </xf>
    <xf numFmtId="0" fontId="40" fillId="24" borderId="0" applyAlignment="1" pivotButton="0" quotePrefix="0" xfId="0">
      <alignment horizontal="center" vertical="top"/>
    </xf>
    <xf numFmtId="0" fontId="0" fillId="0" borderId="3" applyAlignment="1" pivotButton="0" quotePrefix="0" xfId="0">
      <alignment vertical="top"/>
    </xf>
    <xf numFmtId="171" fontId="0" fillId="0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171" fontId="0" fillId="0" borderId="4" applyAlignment="1" pivotButton="0" quotePrefix="0" xfId="0">
      <alignment vertical="top"/>
    </xf>
    <xf numFmtId="165" fontId="0" fillId="0" borderId="4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172" fontId="0" fillId="0" borderId="5" applyAlignment="1" pivotButton="0" quotePrefix="0" xfId="0">
      <alignment vertical="top"/>
    </xf>
    <xf numFmtId="172" fontId="0" fillId="0" borderId="4" applyAlignment="1" pivotButton="0" quotePrefix="0" xfId="0">
      <alignment vertical="top"/>
    </xf>
    <xf numFmtId="0" fontId="42" fillId="0" borderId="0" applyAlignment="1" pivotButton="0" quotePrefix="0" xfId="0">
      <alignment vertical="top"/>
    </xf>
    <xf numFmtId="0" fontId="40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165" fontId="26" fillId="0" borderId="0" applyAlignment="1" pivotButton="0" quotePrefix="0" xfId="4">
      <alignment horizontal="left"/>
    </xf>
    <xf numFmtId="0" fontId="0" fillId="0" borderId="0" applyAlignment="1" pivotButton="0" quotePrefix="0" xfId="0">
      <alignment horizontal="left" vertical="center"/>
    </xf>
    <xf numFmtId="0" fontId="18" fillId="22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5" fontId="0" fillId="3" borderId="10" applyAlignment="1" pivotButton="0" quotePrefix="0" xfId="0">
      <alignment vertical="top"/>
    </xf>
    <xf numFmtId="3" fontId="0" fillId="3" borderId="10" applyAlignment="1" pivotButton="0" quotePrefix="0" xfId="0">
      <alignment vertical="top"/>
    </xf>
    <xf numFmtId="0" fontId="2" fillId="22" borderId="10" applyAlignment="1" pivotButton="0" quotePrefix="0" xfId="0">
      <alignment vertical="top"/>
    </xf>
    <xf numFmtId="0" fontId="0" fillId="28" borderId="10" applyAlignment="1" pivotButton="0" quotePrefix="0" xfId="0">
      <alignment horizontal="left" vertical="center" wrapText="1"/>
    </xf>
    <xf numFmtId="0" fontId="0" fillId="28" borderId="10" applyAlignment="1" pivotButton="0" quotePrefix="0" xfId="0">
      <alignment wrapText="1"/>
    </xf>
    <xf numFmtId="171" fontId="0" fillId="28" borderId="10" applyAlignment="1" pivotButton="0" quotePrefix="0" xfId="0">
      <alignment horizontal="left" wrapText="1"/>
    </xf>
    <xf numFmtId="172" fontId="0" fillId="28" borderId="10" applyAlignment="1" pivotButton="0" quotePrefix="0" xfId="0">
      <alignment horizontal="left" wrapText="1"/>
    </xf>
    <xf numFmtId="165" fontId="0" fillId="28" borderId="10" applyAlignment="1" pivotButton="0" quotePrefix="0" xfId="0">
      <alignment horizontal="left" wrapText="1"/>
    </xf>
    <xf numFmtId="0" fontId="0" fillId="28" borderId="10" applyAlignment="1" pivotButton="0" quotePrefix="0" xfId="0">
      <alignment horizontal="left" wrapText="1"/>
    </xf>
    <xf numFmtId="0" fontId="15" fillId="23" borderId="10" applyAlignment="1" pivotButton="0" quotePrefix="0" xfId="0">
      <alignment wrapText="1"/>
    </xf>
    <xf numFmtId="171" fontId="15" fillId="23" borderId="10" applyAlignment="1" pivotButton="0" quotePrefix="0" xfId="0">
      <alignment horizontal="left" wrapText="1"/>
    </xf>
    <xf numFmtId="0" fontId="0" fillId="0" borderId="11" applyAlignment="1" pivotButton="0" quotePrefix="0" xfId="0">
      <alignment vertical="top"/>
    </xf>
    <xf numFmtId="3" fontId="3" fillId="0" borderId="11" applyAlignment="1" pivotButton="0" quotePrefix="0" xfId="0">
      <alignment vertical="top"/>
    </xf>
    <xf numFmtId="3" fontId="0" fillId="3" borderId="11" applyAlignment="1" pivotButton="0" quotePrefix="0" xfId="0">
      <alignment vertical="top"/>
    </xf>
    <xf numFmtId="165" fontId="0" fillId="3" borderId="11" applyAlignment="1" pivotButton="0" quotePrefix="0" xfId="0">
      <alignment vertical="top"/>
    </xf>
    <xf numFmtId="3" fontId="13" fillId="12" borderId="10" applyAlignment="1" pivotButton="0" quotePrefix="0" xfId="0">
      <alignment vertical="top"/>
    </xf>
    <xf numFmtId="0" fontId="40" fillId="24" borderId="10" applyAlignment="1" pivotButton="0" quotePrefix="0" xfId="0">
      <alignment horizontal="left" wrapText="1"/>
    </xf>
    <xf numFmtId="3" fontId="0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13" fillId="0" borderId="0" applyAlignment="1" pivotButton="0" quotePrefix="0" xfId="0">
      <alignment vertical="top"/>
    </xf>
    <xf numFmtId="1" fontId="41" fillId="0" borderId="0" applyAlignment="1" pivotButton="0" quotePrefix="0" xfId="0">
      <alignment horizontal="left" vertical="top" wrapText="1"/>
    </xf>
    <xf numFmtId="165" fontId="46" fillId="0" borderId="0" applyAlignment="1" pivotButton="0" quotePrefix="0" xfId="0">
      <alignment horizontal="center" vertical="top"/>
    </xf>
    <xf numFmtId="9" fontId="46" fillId="0" borderId="0" applyAlignment="1" pivotButton="0" quotePrefix="0" xfId="4">
      <alignment horizontal="center"/>
    </xf>
    <xf numFmtId="165" fontId="46" fillId="0" borderId="0" applyAlignment="1" pivotButton="0" quotePrefix="0" xfId="4">
      <alignment horizontal="center"/>
    </xf>
    <xf numFmtId="0" fontId="41" fillId="0" borderId="0" applyAlignment="1" pivotButton="0" quotePrefix="0" xfId="0">
      <alignment vertical="top"/>
    </xf>
    <xf numFmtId="0" fontId="35" fillId="0" borderId="0" applyAlignment="1" pivotButton="0" quotePrefix="0" xfId="0">
      <alignment horizontal="left" vertical="top" wrapText="1"/>
    </xf>
    <xf numFmtId="0" fontId="34" fillId="0" borderId="0" applyAlignment="1" pivotButton="0" quotePrefix="0" xfId="0">
      <alignment wrapText="1"/>
    </xf>
    <xf numFmtId="165" fontId="34" fillId="18" borderId="0" applyAlignment="1" pivotButton="0" quotePrefix="0" xfId="0">
      <alignment horizontal="center" vertical="center"/>
    </xf>
    <xf numFmtId="165" fontId="35" fillId="19" borderId="0" applyAlignment="1" pivotButton="0" quotePrefix="0" xfId="0">
      <alignment horizontal="center" vertical="center"/>
    </xf>
    <xf numFmtId="165" fontId="34" fillId="18" borderId="0" applyAlignment="1" pivotButton="0" quotePrefix="0" xfId="0">
      <alignment horizontal="center"/>
    </xf>
    <xf numFmtId="165" fontId="35" fillId="19" borderId="0" applyAlignment="1" pivotButton="0" quotePrefix="0" xfId="0">
      <alignment horizontal="center"/>
    </xf>
    <xf numFmtId="166" fontId="34" fillId="18" borderId="0" applyAlignment="1" pivotButton="0" quotePrefix="0" xfId="0">
      <alignment horizontal="center"/>
    </xf>
    <xf numFmtId="166" fontId="35" fillId="19" borderId="0" applyAlignment="1" pivotButton="0" quotePrefix="0" xfId="0">
      <alignment horizontal="center"/>
    </xf>
    <xf numFmtId="0" fontId="35" fillId="17" borderId="0" applyAlignment="1" pivotButton="0" quotePrefix="0" xfId="0">
      <alignment vertical="top"/>
    </xf>
    <xf numFmtId="0" fontId="35" fillId="17" borderId="0" applyAlignment="1" pivotButton="0" quotePrefix="0" xfId="0">
      <alignment horizontal="center"/>
    </xf>
    <xf numFmtId="0" fontId="35" fillId="17" borderId="0" applyAlignment="1" pivotButton="0" quotePrefix="0" xfId="0">
      <alignment horizontal="center" vertical="top" wrapText="1"/>
    </xf>
    <xf numFmtId="10" fontId="34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3" fontId="34" fillId="0" borderId="0" applyAlignment="1" pivotButton="0" quotePrefix="0" xfId="0">
      <alignment horizontal="center"/>
    </xf>
    <xf numFmtId="10" fontId="35" fillId="19" borderId="0" applyAlignment="1" pivotButton="0" quotePrefix="0" xfId="0">
      <alignment horizontal="center"/>
    </xf>
    <xf numFmtId="3" fontId="35" fillId="19" borderId="0" applyAlignment="1" pivotButton="0" quotePrefix="0" xfId="0">
      <alignment horizontal="center"/>
    </xf>
    <xf numFmtId="0" fontId="47" fillId="29" borderId="0" pivotButton="0" quotePrefix="0" xfId="0"/>
    <xf numFmtId="3" fontId="47" fillId="29" borderId="0" pivotButton="0" quotePrefix="0" xfId="0"/>
    <xf numFmtId="0" fontId="48" fillId="29" borderId="0" pivotButton="0" quotePrefix="0" xfId="0"/>
    <xf numFmtId="0" fontId="18" fillId="22" borderId="1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40" fillId="26" borderId="9" applyAlignment="1" pivotButton="0" quotePrefix="0" xfId="0">
      <alignment vertical="top"/>
    </xf>
    <xf numFmtId="0" fontId="40" fillId="26" borderId="9" applyAlignment="1" pivotButton="0" quotePrefix="0" xfId="0">
      <alignment horizontal="left" vertical="center"/>
    </xf>
    <xf numFmtId="0" fontId="18" fillId="22" borderId="13" applyAlignment="1" pivotButton="0" quotePrefix="0" xfId="0">
      <alignment horizontal="center" vertical="center" wrapText="1"/>
    </xf>
    <xf numFmtId="165" fontId="43" fillId="26" borderId="12" applyAlignment="1" pivotButton="0" quotePrefix="0" xfId="0">
      <alignment horizontal="center" vertical="top"/>
    </xf>
    <xf numFmtId="0" fontId="2" fillId="22" borderId="10" applyAlignment="1" pivotButton="0" quotePrefix="0" xfId="0">
      <alignment vertical="center"/>
    </xf>
    <xf numFmtId="0" fontId="46" fillId="0" borderId="0" applyAlignment="1" pivotButton="0" quotePrefix="0" xfId="0">
      <alignment horizontal="center" vertical="center"/>
    </xf>
    <xf numFmtId="0" fontId="0" fillId="28" borderId="10" applyAlignment="1" pivotButton="0" quotePrefix="0" xfId="0">
      <alignment vertical="center" wrapText="1"/>
    </xf>
    <xf numFmtId="172" fontId="0" fillId="28" borderId="10" applyAlignment="1" pivotButton="0" quotePrefix="0" xfId="0">
      <alignment horizontal="left" vertical="center" wrapText="1"/>
    </xf>
    <xf numFmtId="9" fontId="14" fillId="27" borderId="0" applyAlignment="1" pivotButton="0" quotePrefix="0" xfId="4">
      <alignment horizontal="center"/>
    </xf>
    <xf numFmtId="165" fontId="14" fillId="27" borderId="0" applyAlignment="1" pivotButton="0" quotePrefix="0" xfId="4">
      <alignment horizontal="center"/>
    </xf>
    <xf numFmtId="165" fontId="15" fillId="27" borderId="14" applyAlignment="1" pivotButton="0" quotePrefix="0" xfId="4">
      <alignment horizontal="center"/>
    </xf>
    <xf numFmtId="0" fontId="15" fillId="30" borderId="10" applyAlignment="1" pivotButton="0" quotePrefix="0" xfId="0">
      <alignment wrapText="1"/>
    </xf>
    <xf numFmtId="165" fontId="49" fillId="26" borderId="10" applyAlignment="1" pivotButton="0" quotePrefix="0" xfId="0">
      <alignment vertical="top"/>
    </xf>
    <xf numFmtId="164" fontId="49" fillId="26" borderId="10" applyAlignment="1" pivotButton="0" quotePrefix="0" xfId="0">
      <alignment vertical="top"/>
    </xf>
    <xf numFmtId="0" fontId="42" fillId="0" borderId="10" applyAlignment="1" pivotButton="0" quotePrefix="0" xfId="0">
      <alignment vertical="top" wrapText="1"/>
    </xf>
    <xf numFmtId="165" fontId="10" fillId="0" borderId="1" applyAlignment="1" pivotButton="0" quotePrefix="0" xfId="3">
      <alignment horizontal="right" vertical="center"/>
    </xf>
    <xf numFmtId="165" fontId="4" fillId="8" borderId="0" pivotButton="0" quotePrefix="0" xfId="1"/>
    <xf numFmtId="164" fontId="10" fillId="0" borderId="1" applyAlignment="1" pivotButton="0" quotePrefix="0" xfId="2">
      <alignment horizontal="right" vertical="center"/>
    </xf>
    <xf numFmtId="164" fontId="10" fillId="10" borderId="1" applyAlignment="1" pivotButton="0" quotePrefix="0" xfId="1">
      <alignment horizontal="right" vertical="center"/>
    </xf>
    <xf numFmtId="164" fontId="4" fillId="8" borderId="0" pivotButton="0" quotePrefix="0" xfId="1"/>
    <xf numFmtId="165" fontId="11" fillId="0" borderId="1" applyAlignment="1" pivotButton="0" quotePrefix="0" xfId="3">
      <alignment horizontal="right" vertical="center"/>
    </xf>
    <xf numFmtId="165" fontId="12" fillId="8" borderId="0" pivotButton="0" quotePrefix="0" xfId="1"/>
    <xf numFmtId="169" fontId="10" fillId="0" borderId="1" applyAlignment="1" pivotButton="0" quotePrefix="0" xfId="2">
      <alignment horizontal="right" vertical="center"/>
    </xf>
    <xf numFmtId="169" fontId="10" fillId="10" borderId="1" applyAlignment="1" pivotButton="0" quotePrefix="0" xfId="1">
      <alignment horizontal="right" vertical="center"/>
    </xf>
    <xf numFmtId="169" fontId="4" fillId="8" borderId="0" pivotButton="0" quotePrefix="0" xfId="1"/>
    <xf numFmtId="164" fontId="9" fillId="9" borderId="1" applyAlignment="1" pivotButton="0" quotePrefix="0" xfId="1">
      <alignment horizontal="right" vertical="center"/>
    </xf>
    <xf numFmtId="164" fontId="4" fillId="10" borderId="1" pivotButton="0" quotePrefix="0" xfId="1"/>
    <xf numFmtId="0" fontId="50" fillId="24" borderId="1" applyAlignment="1" pivotButton="0" quotePrefix="0" xfId="1">
      <alignment horizontal="center" vertical="center" wrapText="1"/>
    </xf>
    <xf numFmtId="3" fontId="49" fillId="26" borderId="10" applyAlignment="1" pivotButton="0" quotePrefix="0" xfId="0">
      <alignment vertical="top"/>
    </xf>
    <xf numFmtId="0" fontId="0" fillId="0" borderId="10" applyAlignment="1" pivotButton="0" quotePrefix="0" xfId="0">
      <alignment vertical="top" wrapText="1"/>
    </xf>
    <xf numFmtId="0" fontId="42" fillId="31" borderId="10" applyAlignment="1" pivotButton="0" quotePrefix="0" xfId="0">
      <alignment vertical="top" wrapText="1"/>
    </xf>
    <xf numFmtId="0" fontId="52" fillId="32" borderId="10" applyAlignment="1" pivotButton="0" quotePrefix="0" xfId="0">
      <alignment vertical="top"/>
    </xf>
    <xf numFmtId="165" fontId="51" fillId="32" borderId="10" applyAlignment="1" pivotButton="0" quotePrefix="0" xfId="0">
      <alignment vertical="top"/>
    </xf>
    <xf numFmtId="0" fontId="52" fillId="32" borderId="11" applyAlignment="1" pivotButton="0" quotePrefix="0" xfId="0">
      <alignment vertical="top"/>
    </xf>
    <xf numFmtId="3" fontId="51" fillId="32" borderId="11" applyAlignment="1" pivotButton="0" quotePrefix="0" xfId="0">
      <alignment vertical="top"/>
    </xf>
    <xf numFmtId="3" fontId="51" fillId="32" borderId="10" applyAlignment="1" pivotButton="0" quotePrefix="0" xfId="0">
      <alignment vertical="top"/>
    </xf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0" borderId="0" pivotButton="0" quotePrefix="0" xfId="0"/>
    <xf numFmtId="1" fontId="0" fillId="33" borderId="0" pivotButton="0" quotePrefix="0" xfId="0"/>
    <xf numFmtId="0" fontId="57" fillId="0" borderId="0" pivotButton="0" quotePrefix="0" xfId="0"/>
    <xf numFmtId="174" fontId="0" fillId="33" borderId="0" pivotButton="0" quotePrefix="0" xfId="0"/>
    <xf numFmtId="165" fontId="0" fillId="33" borderId="0" pivotButton="0" quotePrefix="0" xfId="0"/>
    <xf numFmtId="174" fontId="58" fillId="0" borderId="0" pivotButton="0" quotePrefix="0" xfId="0"/>
    <xf numFmtId="174" fontId="0" fillId="0" borderId="0" pivotButton="0" quotePrefix="0" xfId="0"/>
    <xf numFmtId="1" fontId="0" fillId="0" borderId="0" pivotButton="0" quotePrefix="0" xfId="0"/>
    <xf numFmtId="175" fontId="60" fillId="0" borderId="0" pivotButton="0" quotePrefix="0" xfId="0"/>
    <xf numFmtId="175" fontId="0" fillId="0" borderId="0" pivotButton="0" quotePrefix="0" xfId="0"/>
    <xf numFmtId="165" fontId="58" fillId="0" borderId="0" pivotButton="0" quotePrefix="0" xfId="0"/>
    <xf numFmtId="165" fontId="60" fillId="0" borderId="0" pivotButton="0" quotePrefix="0" xfId="0"/>
    <xf numFmtId="0" fontId="58" fillId="0" borderId="0" pivotButton="0" quotePrefix="0" xfId="0"/>
    <xf numFmtId="0" fontId="61" fillId="0" borderId="0" pivotButton="0" quotePrefix="0" xfId="0"/>
    <xf numFmtId="174" fontId="60" fillId="0" borderId="0" pivotButton="0" quotePrefix="0" xfId="0"/>
    <xf numFmtId="174" fontId="59" fillId="0" borderId="0" pivotButton="0" quotePrefix="0" xfId="0"/>
    <xf numFmtId="1" fontId="60" fillId="0" borderId="0" pivotButton="0" quotePrefix="0" xfId="0"/>
    <xf numFmtId="0" fontId="58" fillId="34" borderId="0" applyAlignment="1" pivotButton="0" quotePrefix="0" xfId="0">
      <alignment horizontal="center" wrapText="1"/>
    </xf>
    <xf numFmtId="165" fontId="0" fillId="33" borderId="0" applyAlignment="1" pivotButton="0" quotePrefix="0" xfId="0">
      <alignment horizontal="center"/>
    </xf>
    <xf numFmtId="1" fontId="41" fillId="23" borderId="10" applyAlignment="1" pivotButton="0" quotePrefix="0" xfId="0">
      <alignment horizontal="left" vertical="top" wrapText="1"/>
    </xf>
    <xf numFmtId="0" fontId="0" fillId="0" borderId="16" pivotButton="0" quotePrefix="0" xfId="0"/>
    <xf numFmtId="0" fontId="45" fillId="22" borderId="1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18" fillId="22" borderId="0" applyAlignment="1" pivotButton="0" quotePrefix="0" xfId="0">
      <alignment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/>
    </xf>
    <xf numFmtId="0" fontId="42" fillId="24" borderId="0" applyAlignment="1" pivotButton="0" quotePrefix="0" xfId="0">
      <alignment vertical="top" wrapText="1"/>
    </xf>
    <xf numFmtId="0" fontId="44" fillId="22" borderId="0" applyAlignment="1" pivotButton="0" quotePrefix="0" xfId="0">
      <alignment vertical="top"/>
    </xf>
    <xf numFmtId="0" fontId="36" fillId="21" borderId="4" applyAlignment="1" pivotButton="0" quotePrefix="0" xfId="0">
      <alignment vertical="top" wrapText="1"/>
    </xf>
    <xf numFmtId="0" fontId="0" fillId="0" borderId="4" pivotButton="0" quotePrefix="0" xfId="0"/>
    <xf numFmtId="0" fontId="36" fillId="21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30" fillId="23" borderId="4" applyAlignment="1" pivotButton="0" quotePrefix="0" xfId="0">
      <alignment wrapText="1"/>
    </xf>
    <xf numFmtId="0" fontId="32" fillId="22" borderId="4" pivotButton="0" quotePrefix="0" xfId="0"/>
    <xf numFmtId="0" fontId="29" fillId="22" borderId="3" applyAlignment="1" pivotButton="0" quotePrefix="0" xfId="0">
      <alignment wrapText="1"/>
    </xf>
    <xf numFmtId="0" fontId="0" fillId="0" borderId="3" pivotButton="0" quotePrefix="0" xfId="0"/>
    <xf numFmtId="0" fontId="34" fillId="0" borderId="0" applyAlignment="1" pivotButton="0" quotePrefix="0" xfId="0">
      <alignment horizontal="left" vertical="top" wrapText="1"/>
    </xf>
    <xf numFmtId="0" fontId="35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vertical="top" wrapText="1"/>
    </xf>
    <xf numFmtId="0" fontId="24" fillId="1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18" fillId="13" borderId="0" applyAlignment="1" pivotButton="0" quotePrefix="0" xfId="0">
      <alignment horizontal="left" wrapText="1"/>
    </xf>
    <xf numFmtId="0" fontId="0" fillId="0" borderId="0" applyAlignment="1" pivotButton="0" quotePrefix="0" xfId="0">
      <alignment vertical="top" wrapText="1"/>
    </xf>
    <xf numFmtId="0" fontId="0" fillId="14" borderId="0" applyAlignment="1" pivotButton="0" quotePrefix="0" xfId="0">
      <alignment horizontal="left" vertical="top" wrapText="1"/>
    </xf>
    <xf numFmtId="0" fontId="0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horizontal="left" vertical="top"/>
    </xf>
    <xf numFmtId="0" fontId="17" fillId="0" borderId="0" applyAlignment="1" pivotButton="0" quotePrefix="0" xfId="0">
      <alignment vertical="top"/>
    </xf>
    <xf numFmtId="0" fontId="57" fillId="0" borderId="0" pivotButton="0" quotePrefix="0" xfId="0"/>
    <xf numFmtId="0" fontId="62" fillId="35" borderId="0" applyAlignment="1" pivotButton="0" quotePrefix="0" xfId="0">
      <alignment vertical="center" indent="1"/>
    </xf>
    <xf numFmtId="0" fontId="63" fillId="36" borderId="17" pivotButton="0" quotePrefix="0" xfId="0"/>
    <xf numFmtId="176" fontId="64" fillId="0" borderId="0" pivotButton="0" quotePrefix="0" xfId="0"/>
    <xf numFmtId="0" fontId="65" fillId="0" borderId="0" pivotButton="0" quotePrefix="0" xfId="0"/>
    <xf numFmtId="0" fontId="64" fillId="0" borderId="0" pivotButton="0" quotePrefix="0" xfId="0"/>
    <xf numFmtId="177" fontId="64" fillId="0" borderId="0" pivotButton="0" quotePrefix="0" xfId="0"/>
    <xf numFmtId="0" fontId="66" fillId="0" borderId="0" pivotButton="0" quotePrefix="0" xfId="0"/>
    <xf numFmtId="0" fontId="15" fillId="0" borderId="0" pivotButton="0" quotePrefix="0" xfId="0"/>
    <xf numFmtId="0" fontId="44" fillId="37" borderId="0" pivotButton="0" quotePrefix="0" xfId="0"/>
    <xf numFmtId="0" fontId="67" fillId="0" borderId="0" pivotButton="0" quotePrefix="0" xfId="0"/>
    <xf numFmtId="0" fontId="15" fillId="38" borderId="0" pivotButton="0" quotePrefix="0" xfId="0"/>
    <xf numFmtId="0" fontId="15" fillId="26" borderId="0" pivotButton="0" quotePrefix="0" xfId="0"/>
    <xf numFmtId="0" fontId="15" fillId="39" borderId="0" pivotButton="0" quotePrefix="0" xfId="0"/>
    <xf numFmtId="0" fontId="68" fillId="0" borderId="0" pivotButton="0" quotePrefix="0" xfId="0"/>
    <xf numFmtId="0" fontId="18" fillId="37" borderId="0" pivotButton="0" quotePrefix="0" xfId="0"/>
    <xf numFmtId="0" fontId="15" fillId="38" borderId="0" pivotButton="0" quotePrefix="0" xfId="0"/>
    <xf numFmtId="2" fontId="0" fillId="0" borderId="0" pivotButton="0" quotePrefix="0" xfId="0"/>
    <xf numFmtId="0" fontId="15" fillId="40" borderId="0" pivotButton="0" quotePrefix="0" xfId="0"/>
    <xf numFmtId="169" fontId="0" fillId="0" borderId="0" pivotButton="0" quotePrefix="0" xfId="0"/>
    <xf numFmtId="0" fontId="15" fillId="26" borderId="0" pivotButton="0" quotePrefix="0" xfId="0"/>
    <xf numFmtId="0" fontId="15" fillId="41" borderId="0" pivotButton="0" quotePrefix="0" xfId="0"/>
    <xf numFmtId="0" fontId="15" fillId="42" borderId="0" pivotButton="0" quotePrefix="0" xfId="0"/>
    <xf numFmtId="178" fontId="0" fillId="0" borderId="0" pivotButton="0" quotePrefix="0" xfId="0"/>
    <xf numFmtId="0" fontId="15" fillId="39" borderId="0" pivotButton="0" quotePrefix="0" xfId="0"/>
    <xf numFmtId="0" fontId="15" fillId="43" borderId="0" pivotButton="0" quotePrefix="0" xfId="0"/>
    <xf numFmtId="0" fontId="44" fillId="44" borderId="0" pivotButton="0" quotePrefix="0" xfId="0"/>
    <xf numFmtId="0" fontId="15" fillId="45" borderId="0" pivotButton="0" quotePrefix="0" xfId="0"/>
    <xf numFmtId="9" fontId="0" fillId="0" borderId="0" pivotButton="0" quotePrefix="0" xfId="0"/>
    <xf numFmtId="170" fontId="0" fillId="0" borderId="0" pivotButton="0" quotePrefix="0" xfId="0"/>
    <xf numFmtId="9" fontId="15" fillId="39" borderId="0" pivotButton="0" quotePrefix="0" xfId="0"/>
    <xf numFmtId="0" fontId="69" fillId="37" borderId="0" pivotButton="0" quotePrefix="0" xfId="0"/>
    <xf numFmtId="0" fontId="69" fillId="21" borderId="0" pivotButton="0" quotePrefix="0" xfId="0"/>
    <xf numFmtId="10" fontId="0" fillId="0" borderId="0" pivotButton="0" quotePrefix="0" xfId="0"/>
    <xf numFmtId="0" fontId="0" fillId="46" borderId="0" pivotButton="0" quotePrefix="0" xfId="0"/>
    <xf numFmtId="9" fontId="0" fillId="46" borderId="0" pivotButton="0" quotePrefix="0" xfId="0"/>
    <xf numFmtId="10" fontId="0" fillId="46" borderId="0" pivotButton="0" quotePrefix="0" xfId="0"/>
    <xf numFmtId="0" fontId="0" fillId="47" borderId="0" pivotButton="0" quotePrefix="0" xfId="0"/>
    <xf numFmtId="179" fontId="0" fillId="0" borderId="0" pivotButton="0" quotePrefix="0" xfId="0"/>
    <xf numFmtId="180" fontId="0" fillId="0" borderId="0" pivotButton="0" quotePrefix="0" xfId="0"/>
    <xf numFmtId="181" fontId="0" fillId="0" borderId="0" pivotButton="0" quotePrefix="0" xfId="0"/>
    <xf numFmtId="3" fontId="70" fillId="0" borderId="0" applyAlignment="1" pivotButton="0" quotePrefix="0" xfId="0">
      <alignment vertical="top"/>
    </xf>
    <xf numFmtId="0" fontId="70" fillId="0" borderId="0" pivotButton="0" quotePrefix="0" xfId="0"/>
  </cellXfs>
  <cellStyles count="5">
    <cellStyle name="Normal" xfId="0" builtinId="0"/>
    <cellStyle name="Normal 2" xfId="1"/>
    <cellStyle name="Comma 2" xfId="2"/>
    <cellStyle name="Per cent 2" xfId="3"/>
    <cellStyle name="Per cent" xfId="4" builtinId="5"/>
  </cellStyles>
  <dxfs count="5"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Model v2</author>
    <author>Admin</author>
    <author>Model v3</author>
  </authors>
  <commentList>
    <comment ref="B11" authorId="0" shapeId="0">
      <text>
        <t>Incoming partner (your nominated entity + partner) buys this % of NewCo, the portfolio-owning vehicle.</t>
      </text>
    </comment>
    <comment ref="B15" authorId="0" shapeId="0">
      <text>
        <t>Consideration for 50% of NewCo. Proceeds go to the CURRENT OWNER (share sale), NOT retained in NewCo.</t>
      </text>
    </comment>
    <comment ref="B19" authorId="0" shapeId="0">
      <text>
        <t>DEPRECATED — not referenced by any cell. Legacy portfolio-wide occupancy, superseded by per-villa 'avg annual nights booked %' inputs B30 (ASV), B34 (Remington), B37 (Winchester). Editing this has no effect.</t>
      </text>
    </comment>
    <comment ref="B21" authorId="0" shapeId="0">
      <text>
        <t>MEMO ONLY — not referenced by any cell. The projection length is fixed at 20 years (hardcoded year columns in each P&amp;L). Changing this does not extend or shorten the model. KPI snapshot shows 5 / 10 / 15 / 20-year holds.</t>
      </text>
    </comment>
    <comment ref="B24" authorId="0" shapeId="0">
      <text>
        <t>PLACEHOLDER — not referenced by any cell. VAT logic is not wired into any P&amp;L. This toggle currently has no effect. Gated to accountant before activation.</t>
      </text>
    </comment>
    <comment ref="B25" authorId="1" shapeId="0">
      <text>
        <t>Admin:
PLACEHOLDER — not referenced by any cell. VAT is not applied anywhere in the model. Has no effect until VAT logic is wired in.</t>
      </text>
    </comment>
    <comment ref="B39" authorId="0" shapeId="0">
      <text>
        <t>Not built yet; contributes revenue only from this year onward.</t>
      </text>
    </comment>
    <comment ref="B40" authorId="0" shapeId="0">
      <text>
        <t>Spent the year BEFORE it goes online; funded from NewCo cash, so it reduces that year's distribution.</t>
      </text>
    </comment>
    <comment ref="B46" authorId="2" shapeId="0">
      <text>
        <t>Driven by the 'Tour Forecast' sheet (sum of all 14 experiences, cell O27). Edit tours there, not here.</t>
      </text>
    </comment>
    <comment ref="B47" authorId="2" shapeId="0">
      <text>
        <t>Driven by the 'Tour Forecast' sheet (sum of all supplier costs, cell P27).</t>
      </text>
    </comment>
    <comment ref="B55" authorId="0" shapeId="0">
      <text>
        <t>Feb–Nov long-term; Dec–Jan nightly holiday lets.</t>
      </text>
    </comment>
    <comment ref="B70" authorId="0" shapeId="0">
      <text>
        <t>Memo. African Sky income is largely OPERATING (holiday-let + F&amp;B + tours); it is valued on comparable/cost, not by capitalising operating profit.</t>
      </text>
    </comment>
    <comment ref="B79" authorId="0" shapeId="0">
      <text>
        <t>Property income yield used by the growth engine and for new acquisitions.</t>
      </text>
    </comment>
  </commentList>
</comments>
</file>

<file path=xl/comments/comment2.xml><?xml version="1.0" encoding="utf-8"?>
<comments xmlns="http://schemas.openxmlformats.org/spreadsheetml/2006/main">
  <authors>
    <author>Model v2</author>
  </authors>
  <commentList>
    <comment ref="A7" authorId="0" shapeId="0">
      <text>
        <t>African Sky's figure is shown for CONTRAST only — capitalising operating profit at a property cap rate massively overstates a 3-villa asset. NOT adopted for African Sky.</t>
      </text>
    </comment>
    <comment ref="A9" authorId="0" shapeId="0">
      <text>
        <t>African Sky: comparable/cost (operating income not capitalised). Beachside &amp; Menlyn: income approach — both sit ABOVE their cost basis, so the income method corroborates rather than inflates.</t>
      </text>
    </comment>
    <comment ref="A11" authorId="0" shapeId="0">
      <text>
        <t>For Beachside &amp; Menlyn this is ≥1: the independent income valuation supports MORE than the adopted value.</t>
      </text>
    </comment>
    <comment ref="A13" authorId="0" shapeId="0">
      <text>
        <t>Holiday-let F&amp;B and tours are an operating business (goodwill), valued on a modest earnings multiple — NOT part of the property NAV. Shown so the enterprise value isn't understated.</t>
      </text>
    </comment>
  </commentList>
</comments>
</file>

<file path=xl/comments/comment3.xml><?xml version="1.0" encoding="utf-8"?>
<comments xmlns="http://schemas.openxmlformats.org/spreadsheetml/2006/main">
  <authors>
    <author>Model v2</author>
  </authors>
  <commentList>
    <comment ref="A6" authorId="0" shapeId="0">
      <text>
        <t>Available unit-nights (365) × occupancy. 'Unit-night' = one villa let for one night.</t>
      </text>
    </comment>
    <comment ref="A9" authorId="0" shapeId="0">
      <text>
        <t>Contributes only from its online year (Control §4). Sleeps 2, no extra-guest charge.</t>
      </text>
    </comment>
    <comment ref="A11" authorId="0" shapeId="0">
      <text>
        <t>Guest-nights = occupied unit-nights × guests per unit (ASV &amp; Remington 2.8; Winchester 2).</t>
      </text>
    </comment>
    <comment ref="A13" authorId="0" shapeId="0">
      <text>
        <t>Breakfast R150 + Dinner R375 = R525 per cover. 75% of guest-nights take both meals.</t>
      </text>
    </comment>
  </commentList>
</comments>
</file>

<file path=xl/comments/comment4.xml><?xml version="1.0" encoding="utf-8"?>
<comments xmlns="http://schemas.openxmlformats.org/spreadsheetml/2006/main">
  <authors>
    <author>Model v2</author>
  </authors>
  <commentList>
    <comment ref="A14" authorId="0" shapeId="0">
      <text>
        <t>R500k spent the year before Winchester goes online, funded from NewCo cash.</t>
      </text>
    </comment>
  </commentList>
</comments>
</file>

<file path=xl/comments/comment5.xml><?xml version="1.0" encoding="utf-8"?>
<comments xmlns="http://schemas.openxmlformats.org/spreadsheetml/2006/main">
  <authors>
    <author>Model v2</author>
  </authors>
  <commentList>
    <comment ref="B25" authorId="0" shapeId="0">
      <text>
        <t>First year the partner's cumulative distributions recover the full buy-in.</t>
      </text>
    </comment>
  </commentList>
</comments>
</file>

<file path=xl/comments/comment6.xml><?xml version="1.0" encoding="utf-8"?>
<comments xmlns="http://schemas.openxmlformats.org/spreadsheetml/2006/main">
  <authors>
    <author>Model v2</author>
  </authors>
  <commentList>
    <comment ref="B3" authorId="0" shapeId="0">
      <text>
        <t>Illustrative stabilised property income yield used for the growth engine (defaults to the acquisition cap rate). Kept separate from the operating-heavy NPAT so the growth path stays a property, not a business, return.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B20"/>
  <sheetViews>
    <sheetView topLeftCell="A5" workbookViewId="0">
      <selection activeCell="A6" sqref="A6:XFD6"/>
    </sheetView>
  </sheetViews>
  <sheetFormatPr baseColWidth="8" defaultRowHeight="14.4"/>
  <cols>
    <col width="30" customWidth="1" style="303" min="1" max="1"/>
    <col width="121" customWidth="1" style="303" min="2" max="2"/>
    <col width="8.88671875" customWidth="1" style="303" min="3" max="6"/>
    <col width="8.88671875" customWidth="1" style="303" min="7" max="16384"/>
  </cols>
  <sheetData>
    <row r="1" ht="18" customHeight="1" s="313">
      <c r="A1" s="18" t="inlineStr">
        <is>
          <t>READ ME — how this model works</t>
        </is>
      </c>
    </row>
    <row r="2" ht="28.8" customHeight="1" s="313">
      <c r="A2" s="20" t="inlineStr">
        <is>
          <t>Purpose</t>
        </is>
      </c>
      <c r="B2" s="324" t="inlineStr">
        <is>
          <t>Investor-facing model to sell 50% of a 3-property (+ tours) portfolio into NewCo. Shows independent property valuation, after-tax cash returns, total return and a leverage/growth path. DRAFT — accountant/attorney sign-off pending.</t>
        </is>
      </c>
    </row>
    <row r="3" ht="43.2" customHeight="1" s="313">
      <c r="A3" s="20" t="inlineStr">
        <is>
          <t>Structure</t>
        </is>
      </c>
      <c r="B3" s="324" t="inlineStr">
        <is>
          <t>NewCo owns 100% of the included properties. The incoming Property Partner can hold a different % per property via Control share-offer inputs. Buy-in is consideration paid to the current owner (share sale), not retained as working capital in NewCo.</t>
        </is>
      </c>
    </row>
    <row r="4" ht="28.8" customHeight="1" s="313">
      <c r="A4" s="20" t="inlineStr">
        <is>
          <t>How to use</t>
        </is>
      </c>
      <c r="B4" s="324" t="inlineStr">
        <is>
          <t>Edit only the shaded (yellow) input cells on the Control sheet. Every other sheet recalculates. Open in Excel or Google Sheets so formulas compute.</t>
        </is>
      </c>
    </row>
    <row r="5" ht="28.8" customHeight="1" s="313">
      <c r="A5" s="20" t="inlineStr">
        <is>
          <t>Sheets</t>
        </is>
      </c>
      <c r="B5" s="324" t="inlineStr">
        <is>
          <t>Control (inputs) · 3 property P&amp;Ls · Portfolio NewCo (consolidated) · Valuation (independent) · Investor KPIs · Property KPIs · Leverage &amp; Growth · Change Log.</t>
        </is>
      </c>
    </row>
    <row r="6">
      <c r="A6" s="20" t="n"/>
      <c r="B6" s="324" t="n"/>
    </row>
    <row r="7">
      <c r="A7" s="20" t="inlineStr">
        <is>
          <t>TERMINOLOGY (SA hospitality standard):</t>
        </is>
      </c>
      <c r="B7" s="324" t="n"/>
    </row>
    <row r="8">
      <c r="A8" s="303" t="inlineStr">
        <is>
          <t xml:space="preserve">  Unit</t>
        </is>
      </c>
      <c r="B8" s="324" t="inlineStr">
        <is>
          <t>One lettable villa/apartment (African Sky Villa, Remington, Winchester). Whole-unit lets, not per-room.</t>
        </is>
      </c>
    </row>
    <row r="9">
      <c r="A9" s="303" t="inlineStr">
        <is>
          <t xml:space="preserve">  Available unit-night</t>
        </is>
      </c>
      <c r="B9" s="324" t="inlineStr">
        <is>
          <t>One unit available for one night. Units × 365 = available unit-nights per year.</t>
        </is>
      </c>
    </row>
    <row r="10">
      <c r="A10" s="303" t="inlineStr">
        <is>
          <t xml:space="preserve">  Occupied unit-night</t>
        </is>
      </c>
      <c r="B10" s="324" t="inlineStr">
        <is>
          <t>One unit actually let for one night. Occupancy % = occupied ÷ available.</t>
        </is>
      </c>
    </row>
    <row r="11">
      <c r="A11" s="303" t="inlineStr">
        <is>
          <t xml:space="preserve">  ADR</t>
        </is>
      </c>
      <c r="B11" s="324" t="inlineStr">
        <is>
          <t>Average Daily Rate — the gross nightly rate per unit (base covers 2 guests; extra guests add per-guest).</t>
        </is>
      </c>
    </row>
    <row r="12">
      <c r="A12" s="303" t="inlineStr">
        <is>
          <t xml:space="preserve">  Guest-night</t>
        </is>
      </c>
      <c r="B12" s="324" t="inlineStr">
        <is>
          <t>One guest staying one night = occupied unit-nights × guests per unit. Drives meals.</t>
        </is>
      </c>
    </row>
    <row r="13">
      <c r="A13" s="303" t="inlineStr">
        <is>
          <t xml:space="preserve">  Meal cover</t>
        </is>
      </c>
      <c r="B13" s="324" t="inlineStr">
        <is>
          <t>One guest taking meals on one night. 75% of guest-nights take both breakfast + dinner.</t>
        </is>
      </c>
    </row>
    <row r="14">
      <c r="A14" s="303" t="inlineStr">
        <is>
          <t xml:space="preserve">  NOI</t>
        </is>
      </c>
      <c r="B14" s="324" t="inlineStr">
        <is>
          <t>Net Operating Income — revenue less operating expenses (incl. FF&amp;E reserve), before tax and finance. Basis for income valuation.</t>
        </is>
      </c>
    </row>
    <row r="15">
      <c r="A15" s="303" t="inlineStr">
        <is>
          <t xml:space="preserve">  Cap rate</t>
        </is>
      </c>
      <c r="B15" s="324" t="inlineStr">
        <is>
          <t>Capitalisation rate — NOI ÷ property value. Lower cap rate = higher value. Used for residential income valuation.</t>
        </is>
      </c>
    </row>
    <row r="16">
      <c r="A16" s="303" t="inlineStr">
        <is>
          <t xml:space="preserve">  MOIC / IRR</t>
        </is>
      </c>
      <c r="B16" s="324" t="inlineStr">
        <is>
          <t>MOIC = money multiple (total received ÷ invested). IRR = annualised return accounting for timing.</t>
        </is>
      </c>
    </row>
    <row r="17" ht="43.2" customHeight="1" s="313">
      <c r="A17" s="20" t="inlineStr">
        <is>
          <t>VALUATION METHOD</t>
        </is>
      </c>
      <c r="B17" s="324" t="inlineStr">
        <is>
          <t>Beachside &amp; Menlyn are valued by income capitalisation (NOI ÷ market cap rate), which corroborates their cost basis. African Sky is valued on comparable/cost because its income is largely OPERATING (holiday-let + F&amp;B + tours) — capitalising that at a property cap rate would massively overstate 3 villas. Adopted NAV is deliberately conservative; the income approach sits above it.</t>
        </is>
      </c>
    </row>
    <row r="18" ht="86.40000000000001" customHeight="1" s="313">
      <c r="A18" s="20" t="inlineStr">
        <is>
          <t>OPEN FLAGS (gated)</t>
        </is>
      </c>
      <c r="B18" s="324" t="inlineStr">
        <is>
          <t>• VAT: combined revenue is over the R1m compulsory-registration threshold — short-term accommodation is taxable, long-term residential exempt (mixed supply). Default keeps the gross basis; confirm with the accountant. • Transfer of properties into NewCo triggers transfer duty / VAT / CGT, and a s42 asset-for-share roll-over carries an 18-month de-grouping clawback if 50% is sold at/near formation — attorney + accountant. • Selling 50% equity may engage Companies Act offer-to-public / FAIS rules. • Cap rates and the African Sky comparable value are assumptions to confirm with a registered valuer. • Winchester is not built — its revenue is phased from its online year and its R500k build is funded from NewCo cash.</t>
        </is>
      </c>
    </row>
    <row r="19" ht="28.8" customHeight="1" s="313">
      <c r="A19" s="20" t="inlineStr">
        <is>
          <t>Status</t>
        </is>
      </c>
      <c r="B19" s="324" t="inlineStr">
        <is>
          <t>DRAFT · unaudited · ZAR · rebuilt 2026-07-10. Not an offer to the public; subject to MOI/shareholders agreement and professional sign-off. Nothing here is legal, tax or investment advice.</t>
        </is>
      </c>
    </row>
    <row r="20" ht="43.95" customHeight="1" s="313">
      <c r="A20" s="46" t="inlineStr">
        <is>
          <t>TOURS (v3)</t>
        </is>
      </c>
      <c r="B20" s="324" t="inlineStr">
        <is>
          <t>African Sky tour income and supplier cost are now driven by the 'ASKY Tours Calcs' sheet — 14 experiences (safaris, day tours, river adventures, transfers) each with per-pax retail (fixed from the live site), supplier cost and take-up. The Control tour cells link to its totals (revenue O27, cost P27); edit tours on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:A1048576"/>
    </sheetView>
  </sheetViews>
  <sheetFormatPr baseColWidth="8" defaultRowHeight="14.4"/>
  <cols>
    <col width="83.109375" bestFit="1" customWidth="1" style="79" min="1" max="1"/>
    <col width="36.109375" bestFit="1" customWidth="1" style="79" min="2" max="2"/>
    <col width="26.44140625" bestFit="1" customWidth="1" style="79" min="3" max="3"/>
    <col width="87.33203125" bestFit="1" customWidth="1" style="79" min="4" max="4"/>
    <col width="8.88671875" customWidth="1" style="79" min="5" max="7"/>
    <col width="8.88671875" customWidth="1" style="79" min="8" max="16384"/>
  </cols>
  <sheetData>
    <row r="1" ht="21" customHeight="1" s="313">
      <c r="A1" s="84" t="inlineStr">
        <is>
          <t>KEY ASSUMPTIONS &amp; SOURCES</t>
        </is>
      </c>
      <c r="B1" s="80" t="n"/>
      <c r="C1" s="80" t="n"/>
      <c r="D1" s="80" t="n"/>
    </row>
    <row r="2">
      <c r="A2" s="80" t="inlineStr">
        <is>
          <t>Plain-English source sheet for proposal review. All model items are live linked where relevant.</t>
        </is>
      </c>
      <c r="B2" s="80" t="n"/>
      <c r="C2" s="80" t="n"/>
      <c r="D2" s="80" t="n"/>
    </row>
    <row r="3">
      <c r="A3" s="80" t="n"/>
      <c r="B3" s="80" t="n"/>
      <c r="C3" s="80" t="n"/>
      <c r="D3" s="80" t="n"/>
    </row>
    <row r="4">
      <c r="A4" s="81" t="inlineStr">
        <is>
          <t>Category</t>
        </is>
      </c>
      <c r="B4" s="81" t="inlineStr">
        <is>
          <t>Assumption</t>
        </is>
      </c>
      <c r="C4" s="81" t="inlineStr">
        <is>
          <t>Value</t>
        </is>
      </c>
      <c r="D4" s="81" t="inlineStr">
        <is>
          <t>Source / explanation</t>
        </is>
      </c>
    </row>
    <row r="5">
      <c r="A5" s="80" t="inlineStr">
        <is>
          <t>Scenario</t>
        </is>
      </c>
      <c r="B5" s="80" t="inlineStr">
        <is>
          <t>African Sky partner share %</t>
        </is>
      </c>
      <c r="C5" s="189" t="n">
        <v>0.5</v>
      </c>
      <c r="D5" s="80" t="inlineStr">
        <is>
          <t>0% excludes property; &gt;0% includes at selected share</t>
        </is>
      </c>
    </row>
    <row r="6">
      <c r="A6" s="80" t="inlineStr">
        <is>
          <t>Scenario</t>
        </is>
      </c>
      <c r="B6" s="80" t="inlineStr">
        <is>
          <t>Winchester expansion option</t>
        </is>
      </c>
      <c r="C6" s="82" t="inlineStr">
        <is>
          <t>N</t>
        </is>
      </c>
      <c r="D6" s="80" t="inlineStr">
        <is>
          <t>Y/N; only active if African Sky share &gt; 0%</t>
        </is>
      </c>
    </row>
    <row r="7">
      <c r="A7" s="80" t="inlineStr">
        <is>
          <t>Scenario</t>
        </is>
      </c>
      <c r="B7" s="80" t="inlineStr">
        <is>
          <t>Beachside partner share %</t>
        </is>
      </c>
      <c r="C7" s="83" t="n">
        <v>0.5</v>
      </c>
      <c r="D7" s="80" t="inlineStr">
        <is>
          <t>0% excludes property; &gt;0% includes at selected share</t>
        </is>
      </c>
    </row>
    <row r="8">
      <c r="A8" s="80" t="inlineStr">
        <is>
          <t>Scenario</t>
        </is>
      </c>
      <c r="B8" s="80" t="inlineStr">
        <is>
          <t>Menlyn partner share %</t>
        </is>
      </c>
      <c r="C8" s="83" t="n">
        <v>0.5</v>
      </c>
      <c r="D8" s="80" t="inlineStr">
        <is>
          <t>0% excludes property; &gt;0% includes at selected share</t>
        </is>
      </c>
    </row>
    <row r="9">
      <c r="A9" s="80" t="inlineStr">
        <is>
          <t>Guests</t>
        </is>
      </c>
      <c r="B9" s="80" t="inlineStr">
        <is>
          <t>ASV avg guests per occupied unit-night</t>
        </is>
      </c>
      <c r="C9" s="85" t="n">
        <v>2.8</v>
      </c>
      <c r="D9" s="80" t="inlineStr">
        <is>
          <t>Control!B31</t>
        </is>
      </c>
    </row>
    <row r="10">
      <c r="A10" s="80" t="inlineStr">
        <is>
          <t>Pricing</t>
        </is>
      </c>
      <c r="B10" s="80" t="inlineStr">
        <is>
          <t>ASV base ADR incl. 2 guests</t>
        </is>
      </c>
      <c r="C10" s="82" t="n">
        <v>4500</v>
      </c>
      <c r="D10" s="80" t="inlineStr">
        <is>
          <t>Control!B28</t>
        </is>
      </c>
    </row>
    <row r="11">
      <c r="A11" s="80" t="inlineStr">
        <is>
          <t>Pricing</t>
        </is>
      </c>
      <c r="B11" s="80" t="inlineStr">
        <is>
          <t>ASV extra guest rate</t>
        </is>
      </c>
      <c r="C11" s="82" t="n">
        <v>1000</v>
      </c>
      <c r="D11" s="80" t="inlineStr">
        <is>
          <t>Control!B29</t>
        </is>
      </c>
    </row>
    <row r="12">
      <c r="A12" s="80" t="inlineStr">
        <is>
          <t>Pricing</t>
        </is>
      </c>
      <c r="B12" s="80" t="inlineStr">
        <is>
          <t>Remington base ADR incl. 2 guests</t>
        </is>
      </c>
      <c r="C12" s="82">
        <f>Control!$B$32</f>
        <v/>
      </c>
      <c r="D12" s="80" t="inlineStr">
        <is>
          <t>Control!B32</t>
        </is>
      </c>
    </row>
    <row r="13">
      <c r="A13" s="80" t="inlineStr">
        <is>
          <t>Pricing</t>
        </is>
      </c>
      <c r="B13" s="80" t="inlineStr">
        <is>
          <t>Remington extra guest rate</t>
        </is>
      </c>
      <c r="C13" s="82">
        <f>Control!$B$33</f>
        <v/>
      </c>
      <c r="D13" s="80" t="inlineStr">
        <is>
          <t>Control!B33</t>
        </is>
      </c>
    </row>
    <row r="14">
      <c r="A14" s="80" t="inlineStr">
        <is>
          <t>Tours</t>
        </is>
      </c>
      <c r="B14" s="80" t="inlineStr">
        <is>
          <t>Tour revenue Year 1</t>
        </is>
      </c>
      <c r="C14" s="85" t="n">
        <v>2071762.35625</v>
      </c>
      <c r="D14" s="80" t="inlineStr">
        <is>
          <t>Linked from ASKY Tours Calcs totals</t>
        </is>
      </c>
    </row>
    <row r="15">
      <c r="A15" s="80" t="inlineStr">
        <is>
          <t>Tours</t>
        </is>
      </c>
      <c r="B15" s="80" t="inlineStr">
        <is>
          <t>Tour supplier cost Year 1</t>
        </is>
      </c>
      <c r="C15" s="85" t="n">
        <v>1512882.82425</v>
      </c>
      <c r="D15" s="80" t="inlineStr">
        <is>
          <t>Linked from ASKY Tours Calcs totals</t>
        </is>
      </c>
    </row>
    <row r="16">
      <c r="A16" s="80" t="inlineStr">
        <is>
          <t>Stay duration</t>
        </is>
      </c>
      <c r="B16" s="80" t="inlineStr">
        <is>
          <t>ASV avg nights / booking</t>
        </is>
      </c>
      <c r="C16" s="85" t="n">
        <v>0</v>
      </c>
      <c r="D16" s="80" t="inlineStr">
        <is>
          <t>Realised booking analysis in ASKY Stay Calc</t>
        </is>
      </c>
    </row>
    <row r="17">
      <c r="A17" s="80" t="inlineStr">
        <is>
          <t>Stay duration</t>
        </is>
      </c>
      <c r="B17" s="80" t="inlineStr">
        <is>
          <t>Remington avg nights / booking</t>
        </is>
      </c>
      <c r="C17" s="85" t="n">
        <v>0</v>
      </c>
      <c r="D17" s="80" t="inlineStr">
        <is>
          <t>Realised booking analysis in ASKY Stay Calc</t>
        </is>
      </c>
    </row>
    <row r="18">
      <c r="A18" s="80" t="inlineStr">
        <is>
          <t>Valuation</t>
        </is>
      </c>
      <c r="B18" s="80" t="inlineStr">
        <is>
          <t>Adopted property value</t>
        </is>
      </c>
      <c r="C18" s="82" t="n">
        <v>12800000</v>
      </c>
      <c r="D18" s="80" t="inlineStr">
        <is>
          <t>Valuation!F9</t>
        </is>
      </c>
    </row>
    <row r="19">
      <c r="A19" s="80" t="inlineStr">
        <is>
          <t>Valuation</t>
        </is>
      </c>
      <c r="B19" s="80" t="inlineStr">
        <is>
          <t>Partner NAV today</t>
        </is>
      </c>
      <c r="C19" s="86" t="n">
        <v>6400000</v>
      </c>
      <c r="D19" s="80" t="inlineStr">
        <is>
          <t>Valuation!F10</t>
        </is>
      </c>
    </row>
    <row r="20">
      <c r="A20" s="80" t="inlineStr">
        <is>
          <t>Exit</t>
        </is>
      </c>
      <c r="B20" s="80" t="inlineStr">
        <is>
          <t>Property value growth p.a.</t>
        </is>
      </c>
      <c r="C20" s="87" t="n">
        <v>0.05</v>
      </c>
      <c r="D20" s="80" t="inlineStr">
        <is>
          <t>Control!B68 linked to Control!B74</t>
        </is>
      </c>
    </row>
    <row r="21">
      <c r="A21" s="80" t="inlineStr">
        <is>
          <t>Tax / legal</t>
        </is>
      </c>
      <c r="B21" s="80" t="inlineStr">
        <is>
          <t>Open flags</t>
        </is>
      </c>
      <c r="C21" s="80" t="inlineStr">
        <is>
          <t>See Read Me &amp; Glossary!B18</t>
        </is>
      </c>
      <c r="D21" s="80" t="inlineStr">
        <is>
          <t>Accountant/attorney sign-off required</t>
        </is>
      </c>
    </row>
    <row r="22">
      <c r="A22" s="79" t="inlineStr">
        <is>
          <t>Optional asset</t>
        </is>
      </c>
      <c r="B22" s="79" t="inlineStr">
        <is>
          <t>Winchester development expansion toggle</t>
        </is>
      </c>
      <c r="C22" s="168" t="inlineStr">
        <is>
          <t>N</t>
        </is>
      </c>
      <c r="D22" s="79" t="inlineStr">
        <is>
          <t>Y includes Winchester revenue, build capex and value; N excludes it. Only active if African Sky toggle is 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G84"/>
  <sheetViews>
    <sheetView tabSelected="1" topLeftCell="A2" zoomScale="85" zoomScaleNormal="85" workbookViewId="0">
      <selection activeCell="B5" sqref="B5"/>
    </sheetView>
  </sheetViews>
  <sheetFormatPr baseColWidth="8" defaultRowHeight="14.4"/>
  <cols>
    <col width="60.77734375" bestFit="1" customWidth="1" style="303" min="1" max="1"/>
    <col width="12.77734375" bestFit="1" customWidth="1" style="303" min="2" max="2"/>
    <col width="15" bestFit="1" customWidth="1" style="303" min="3" max="3"/>
    <col width="1.5546875" customWidth="1" style="303" min="4" max="4"/>
    <col width="37.44140625" bestFit="1" customWidth="1" style="303" min="5" max="5"/>
    <col width="12" bestFit="1" customWidth="1" style="306" min="6" max="6"/>
    <col width="69.44140625" bestFit="1" customWidth="1" style="306" min="7" max="7"/>
    <col width="17.5546875" customWidth="1" style="303" min="8" max="11"/>
    <col width="8.88671875" customWidth="1" style="303" min="12" max="13"/>
    <col width="8.88671875" customWidth="1" style="303" min="14" max="16384"/>
  </cols>
  <sheetData>
    <row r="1" ht="18" customHeight="1" s="313">
      <c r="A1" s="18" t="inlineStr">
        <is>
          <t>CONTROL — edit only the shaded (yellow) input cells</t>
        </is>
      </c>
    </row>
    <row r="2">
      <c r="A2" s="302" t="inlineStr">
        <is>
          <t>ZAR · DRAFT · all sheets link here. Terminology follows SA hospitality/property convention — see 'Read Me &amp; Glossary'.</t>
        </is>
      </c>
    </row>
    <row r="3"/>
    <row r="4" ht="29.4" customFormat="1" customHeight="1" s="322" thickBot="1">
      <c r="A4" s="238" t="inlineStr">
        <is>
          <t>0 · PARTNER SHARE OFFER</t>
        </is>
      </c>
      <c r="B4" s="242" t="inlineStr">
        <is>
          <t xml:space="preserve">Partner Offer
Prop % </t>
        </is>
      </c>
      <c r="C4" s="242" t="inlineStr">
        <is>
          <t>Distribution allocation %</t>
        </is>
      </c>
      <c r="D4" s="239" t="n"/>
      <c r="E4" s="300" t="inlineStr">
        <is>
          <t>INVESTOR KPI SNAPSHOT — ACTIVE PORTFOLIO</t>
        </is>
      </c>
      <c r="F4" s="301" t="n"/>
      <c r="G4" s="299" t="n"/>
    </row>
    <row r="5" ht="15" customHeight="1" s="313" thickBot="1">
      <c r="A5" s="240" t="inlineStr">
        <is>
          <t>African Sky partner share %</t>
        </is>
      </c>
      <c r="B5" s="243" t="n">
        <v>0.5</v>
      </c>
      <c r="C5" s="243">
        <f>B5</f>
        <v/>
      </c>
      <c r="D5" s="370" t="inlineStr">
        <is>
          <t>follows Offer % (edit col B)</t>
        </is>
      </c>
      <c r="E5" s="209" t="inlineStr">
        <is>
          <t>KPI</t>
        </is>
      </c>
      <c r="F5" s="209" t="inlineStr">
        <is>
          <t>Value</t>
        </is>
      </c>
      <c r="G5" s="209" t="inlineStr">
        <is>
          <t>What it shows</t>
        </is>
      </c>
    </row>
    <row r="6" ht="15" customFormat="1" customHeight="1" s="190" thickBot="1">
      <c r="A6" s="241" t="inlineStr">
        <is>
          <t>Winchester expansion? (Y/N; active if African Sky share &gt; 0%)</t>
        </is>
      </c>
      <c r="B6" s="243" t="inlineStr">
        <is>
          <t>N</t>
        </is>
      </c>
      <c r="C6" s="243" t="n"/>
      <c r="D6" s="210" t="n"/>
      <c r="E6" s="196">
        <f>_xlfn.TEXTJOIN(", ",TRUE,IF($B$5&gt;0,"African Sky",""),IF(AND($B$5&gt;0,$B$6="Y"),"Winchester expansion",""),IF($B$7&gt;0,"Beachside",""),IF($B$8&gt;0,"Menlyn",""))</f>
        <v/>
      </c>
      <c r="F6" s="196" t="n"/>
      <c r="G6" s="196" t="inlineStr">
        <is>
          <t>Properties with share % &gt; 0 are included; Winchester is separate option</t>
        </is>
      </c>
    </row>
    <row r="7" ht="15" customHeight="1" s="313" thickBot="1">
      <c r="A7" s="240" t="inlineStr">
        <is>
          <t>Beachside partner share %</t>
        </is>
      </c>
      <c r="B7" s="243" t="n">
        <v>0.5</v>
      </c>
      <c r="C7" s="243">
        <f>B7</f>
        <v/>
      </c>
      <c r="D7" s="371" t="inlineStr">
        <is>
          <t>follows Offer % (edit col B)</t>
        </is>
      </c>
      <c r="E7" s="197" t="inlineStr">
        <is>
          <t>Active portfolio value</t>
        </is>
      </c>
      <c r="F7" s="198">
        <f>Valuation!$F$9</f>
        <v/>
      </c>
      <c r="G7" s="197" t="inlineStr">
        <is>
          <t>100% adopted value of active properties</t>
        </is>
      </c>
    </row>
    <row r="8" ht="15" customHeight="1" s="313" thickBot="1">
      <c r="A8" s="240" t="inlineStr">
        <is>
          <t>Menlyn partner share %</t>
        </is>
      </c>
      <c r="B8" s="243" t="n">
        <v>0.5</v>
      </c>
      <c r="C8" s="243">
        <f>B8</f>
        <v/>
      </c>
      <c r="D8" s="371" t="inlineStr">
        <is>
          <t>follows Offer % (edit col B)</t>
        </is>
      </c>
      <c r="E8" s="197" t="inlineStr">
        <is>
          <t>Partner buy-in</t>
        </is>
      </c>
      <c r="F8" s="198">
        <f>Control!$B$15</f>
        <v/>
      </c>
      <c r="G8" s="197" t="inlineStr">
        <is>
          <t>Cash consideration based on active properties and property-specific partner %</t>
        </is>
      </c>
    </row>
    <row r="9">
      <c r="A9" s="186" t="n"/>
      <c r="B9" s="187" t="n"/>
      <c r="D9" s="187" t="n"/>
      <c r="E9" s="197" t="inlineStr">
        <is>
          <t>Partner NAV today</t>
        </is>
      </c>
      <c r="F9" s="198">
        <f>Valuation!$F$10</f>
        <v/>
      </c>
      <c r="G9" s="197" t="inlineStr">
        <is>
          <t>Partner NAV using property-specific partner % by property</t>
        </is>
      </c>
    </row>
    <row r="10" ht="28.8" customFormat="1" customHeight="1" s="322">
      <c r="A10" s="244" t="inlineStr">
        <is>
          <t>1 · DEAL &amp; STRUCTURE</t>
        </is>
      </c>
      <c r="B10" s="238" t="n"/>
      <c r="C10" s="242" t="inlineStr">
        <is>
          <t>10Y Avg Annual Cash Yield</t>
        </is>
      </c>
      <c r="D10" s="245" t="n"/>
      <c r="E10" s="246" t="inlineStr">
        <is>
          <t>Offer vs NAV</t>
        </is>
      </c>
      <c r="F10" s="247">
        <f>IFERROR(Control!$B$15/Valuation!$F$10,"")</f>
        <v/>
      </c>
      <c r="G10" s="246" t="inlineStr">
        <is>
          <t>1.0x = buy-in equals NAV</t>
        </is>
      </c>
    </row>
    <row r="11">
      <c r="A11" s="192" t="inlineStr">
        <is>
          <t>Reference % for listed buy-in pricing</t>
        </is>
      </c>
      <c r="B11" s="193" t="n">
        <v>0.5</v>
      </c>
      <c r="C11" s="248" t="n"/>
      <c r="D11" s="215" t="n"/>
      <c r="E11" s="197" t="inlineStr">
        <is>
          <t>Year 1 partner distribution</t>
        </is>
      </c>
      <c r="F11" s="198">
        <f>'Portfolio NewCo'!B16</f>
        <v/>
      </c>
      <c r="G11" s="197" t="inlineStr">
        <is>
          <t>Projected first-year cash distribution using Control distribution allocation %</t>
        </is>
      </c>
    </row>
    <row r="12">
      <c r="A12" s="192" t="inlineStr">
        <is>
          <t>African Sky — buy-in at reference % (ZAR)</t>
        </is>
      </c>
      <c r="B12" s="194" t="n">
        <v>3000000</v>
      </c>
      <c r="C12" s="249">
        <f>IFERROR(('Portfolio NewCo'!K25/10)/IF($B$5&gt;0,$B$12/$B$11*$B$5,0),"")</f>
        <v/>
      </c>
      <c r="D12" s="216" t="n"/>
      <c r="E12" s="197" t="inlineStr">
        <is>
          <t>Year 1 cash yield</t>
        </is>
      </c>
      <c r="F12" s="200">
        <f>IFERROR('Portfolio NewCo'!B16/Control!$B$15,"")</f>
        <v/>
      </c>
      <c r="G12" s="197" t="inlineStr">
        <is>
          <t>Year 1 distribution ÷ partner buy-in</t>
        </is>
      </c>
    </row>
    <row r="13">
      <c r="A13" s="192" t="inlineStr">
        <is>
          <t>Beachside — buy-in at reference % (ZAR)</t>
        </is>
      </c>
      <c r="B13" s="194" t="n">
        <v>2000000</v>
      </c>
      <c r="C13" s="249">
        <f>IFERROR(('Portfolio NewCo'!K26/10)/IF($B$7&gt;0,$B$13/$B$11*$B$7,0),"")</f>
        <v/>
      </c>
      <c r="D13" s="215" t="n"/>
      <c r="E13" s="197" t="inlineStr">
        <is>
          <t>Cash payback year</t>
        </is>
      </c>
      <c r="F13" s="201">
        <f>'INV - Investor KPIs'!B25</f>
        <v/>
      </c>
      <c r="G13" s="197" t="inlineStr">
        <is>
          <t>Year cumulative distributions recover buy-in</t>
        </is>
      </c>
    </row>
    <row r="14">
      <c r="A14" s="192" t="inlineStr">
        <is>
          <t>Menlyn — buy-in at reference % (ZAR)</t>
        </is>
      </c>
      <c r="B14" s="194" t="n">
        <v>1400000</v>
      </c>
      <c r="C14" s="249">
        <f>IFERROR(('Portfolio NewCo'!K27/10)/IF($B$8&gt;0,$B$14/$B$11*$B$8,0),"")</f>
        <v/>
      </c>
      <c r="D14" s="215" t="n"/>
      <c r="E14" s="202" t="inlineStr">
        <is>
          <t>5Y Total Partner Distributions</t>
        </is>
      </c>
      <c r="F14" s="203">
        <f>'INV - Investor KPIs'!G7</f>
        <v/>
      </c>
      <c r="G14" s="202" t="inlineStr">
        <is>
          <t>Cumulative partner distributions received through Year 5</t>
        </is>
      </c>
    </row>
    <row r="15">
      <c r="A15" s="204" t="inlineStr">
        <is>
          <t>Total active partner buy-in (share-offer %)</t>
        </is>
      </c>
      <c r="B15" s="205">
        <f>IF($B$5&gt;0,$B$12/$B$11*$B$5,0)+IF($B$7&gt;0,$B$13/$B$11*$B$7,0)+IF($B$8&gt;0,$B$14/$B$11*$B$8,0)</f>
        <v/>
      </c>
      <c r="C15" s="250">
        <f>IFERROR(('Portfolio NewCo'!K17/10)/$B$15,"")</f>
        <v/>
      </c>
      <c r="D15" s="217" t="n"/>
      <c r="E15" s="251" t="inlineStr">
        <is>
          <t>5Y Total Partner Value if Exit in Year 5</t>
        </is>
      </c>
      <c r="F15" s="203">
        <f>'INV - Investor KPIs'!G12</f>
        <v/>
      </c>
      <c r="G15" s="202" t="inlineStr">
        <is>
          <t>Cumulative distributions + exit NAV — Total Partner Value if Exit in Year 5</t>
        </is>
      </c>
    </row>
    <row r="16">
      <c r="A16" s="195" t="inlineStr">
        <is>
          <t>2 · FORECAST DRIVERS</t>
        </is>
      </c>
      <c r="B16" s="191" t="n"/>
      <c r="C16" s="211" t="n"/>
      <c r="E16" s="197" t="inlineStr">
        <is>
          <t>5Y Total IRR</t>
        </is>
      </c>
      <c r="F16" s="200">
        <f>'INV - Investor KPIs'!C18</f>
        <v/>
      </c>
      <c r="G16" s="197" t="inlineStr">
        <is>
          <t>Includes cash distributions + exit NAV</t>
        </is>
      </c>
    </row>
    <row r="17">
      <c r="A17" s="192" t="inlineStr">
        <is>
          <t>Room-rate (ADR) escalation p.a.</t>
        </is>
      </c>
      <c r="B17" s="193" t="n">
        <v>0.05</v>
      </c>
      <c r="C17" s="188" t="n"/>
      <c r="D17" s="188" t="n"/>
      <c r="E17" s="197" t="inlineStr">
        <is>
          <t>5Y Total MOIC</t>
        </is>
      </c>
      <c r="F17" s="199">
        <f>'INV - Investor KPIs'!C20</f>
        <v/>
      </c>
      <c r="G17" s="197" t="inlineStr">
        <is>
          <t>Total value received ÷ buy-in</t>
        </is>
      </c>
    </row>
    <row r="18">
      <c r="A18" s="192" t="inlineStr">
        <is>
          <t>Expense inflation p.a.</t>
        </is>
      </c>
      <c r="B18" s="193" t="n">
        <v>0.05</v>
      </c>
      <c r="C18" s="188" t="n"/>
      <c r="D18" s="188" t="n"/>
      <c r="E18" s="202" t="inlineStr">
        <is>
          <t>10Y Total Partner Distributions</t>
        </is>
      </c>
      <c r="F18" s="203">
        <f>'INV - Investor KPIs'!L7</f>
        <v/>
      </c>
      <c r="G18" s="202" t="inlineStr">
        <is>
          <t>Cumulative partner distributions received through Year 10</t>
        </is>
      </c>
    </row>
    <row r="19">
      <c r="A19" s="271" t="inlineStr">
        <is>
          <t>Occupancy — short-let units (%) — DEPRECATED: replaced by per-villa occupancy (B30 / B34 / B37)</t>
        </is>
      </c>
      <c r="B19" s="272" t="n">
        <v>0.75</v>
      </c>
      <c r="C19" s="188" t="n"/>
      <c r="D19" s="188" t="n"/>
      <c r="E19" s="202" t="inlineStr">
        <is>
          <t>10Y Total Partner Value if Exit in Year 10</t>
        </is>
      </c>
      <c r="F19" s="203">
        <f>'INV - Investor KPIs'!L12</f>
        <v/>
      </c>
      <c r="G19" s="202" t="inlineStr">
        <is>
          <t>Cumulative distributions + exit NAV — Total Partner Value if Exit in Year 10</t>
        </is>
      </c>
    </row>
    <row r="20">
      <c r="A20" s="192" t="inlineStr">
        <is>
          <t>Available nights per year</t>
        </is>
      </c>
      <c r="B20" s="194" t="n">
        <v>365</v>
      </c>
      <c r="C20" s="210" t="n"/>
      <c r="D20" s="210" t="n"/>
      <c r="E20" s="197" t="inlineStr">
        <is>
          <t>10Y Total IRR</t>
        </is>
      </c>
      <c r="F20" s="200">
        <f>'INV - Investor KPIs'!D18</f>
        <v/>
      </c>
      <c r="G20" s="197" t="inlineStr">
        <is>
          <t>Includes cash distributions + exit NAV</t>
        </is>
      </c>
    </row>
    <row r="21">
      <c r="A21" s="273" t="inlineStr">
        <is>
          <t>Model horizon (years) — DISPLAY MEMO ONLY: projection is fixed at 20 years</t>
        </is>
      </c>
      <c r="B21" s="274" t="n">
        <v>20</v>
      </c>
      <c r="C21" s="210" t="n"/>
      <c r="D21" s="210" t="n"/>
      <c r="E21" s="197" t="inlineStr">
        <is>
          <t>10Y Total MOIC</t>
        </is>
      </c>
      <c r="F21" s="199">
        <f>'INV - Investor KPIs'!D20</f>
        <v/>
      </c>
      <c r="G21" s="197" t="inlineStr">
        <is>
          <t>Total value received ÷ buy-in</t>
        </is>
      </c>
    </row>
    <row r="22">
      <c r="A22" s="195" t="inlineStr">
        <is>
          <t>3 · TAX, VAT &amp; RESERVES</t>
        </is>
      </c>
      <c r="B22" s="191" t="n"/>
      <c r="C22" s="211" t="n"/>
      <c r="E22" s="202" t="inlineStr">
        <is>
          <t>15Y Total Partner Distributions</t>
        </is>
      </c>
      <c r="F22" s="203">
        <f>'INV - Investor KPIs'!Q7</f>
        <v/>
      </c>
      <c r="G22" s="202" t="inlineStr">
        <is>
          <t>Cumulative partner distributions received through Year 15</t>
        </is>
      </c>
    </row>
    <row r="23">
      <c r="A23" s="192" t="inlineStr">
        <is>
          <t>Corporate income tax rate</t>
        </is>
      </c>
      <c r="B23" s="193" t="n">
        <v>0.27</v>
      </c>
      <c r="C23" s="188" t="n"/>
      <c r="D23" s="188" t="n"/>
      <c r="E23" s="202" t="inlineStr">
        <is>
          <t>15Y Total Partner Value if Exit in Year 15</t>
        </is>
      </c>
      <c r="F23" s="203">
        <f>'INV - Investor KPIs'!Q12</f>
        <v/>
      </c>
      <c r="G23" s="202" t="inlineStr">
        <is>
          <t>Cumulative distributions + exit NAV — Total Partner Value if Exit in Year 15</t>
        </is>
      </c>
    </row>
    <row r="24">
      <c r="A24" s="271" t="inlineStr">
        <is>
          <t>Apply output VAT to short-let accommodation? (1=Yes/0=No) — PLACEHOLDER: VAT not yet wired; gated to accountant</t>
        </is>
      </c>
      <c r="B24" s="275" t="n">
        <v>0</v>
      </c>
      <c r="C24" s="210" t="n"/>
      <c r="D24" s="210" t="n"/>
      <c r="E24" s="197" t="inlineStr">
        <is>
          <t>15Y Total IRR</t>
        </is>
      </c>
      <c r="F24" s="200">
        <f>'INV - Investor KPIs'!E18</f>
        <v/>
      </c>
      <c r="G24" s="197" t="inlineStr">
        <is>
          <t>Includes cash distributions + exit NAV</t>
        </is>
      </c>
    </row>
    <row r="25">
      <c r="A25" s="271" t="inlineStr">
        <is>
          <t>VAT rate — PLACEHOLDER: not yet wired</t>
        </is>
      </c>
      <c r="B25" s="272" t="n">
        <v>0.15</v>
      </c>
      <c r="C25" s="188" t="n"/>
      <c r="D25" s="188" t="n"/>
      <c r="E25" s="197" t="inlineStr">
        <is>
          <t>15Y Total MOIC</t>
        </is>
      </c>
      <c r="F25" s="199">
        <f>'INV - Investor KPIs'!E20</f>
        <v/>
      </c>
      <c r="G25" s="197" t="inlineStr">
        <is>
          <t>Total value received ÷ buy-in</t>
        </is>
      </c>
    </row>
    <row r="26">
      <c r="A26" s="204" t="inlineStr">
        <is>
          <t>FF&amp;E / capex reserve (% of accommodation revenue)</t>
        </is>
      </c>
      <c r="B26" s="207" t="n">
        <v>0.04</v>
      </c>
      <c r="C26" s="188" t="n"/>
      <c r="D26" s="188" t="n"/>
      <c r="E26" s="202" t="inlineStr">
        <is>
          <t>20Y Total Partner Distributions</t>
        </is>
      </c>
      <c r="F26" s="203">
        <f>'INV - Investor KPIs'!V7</f>
        <v/>
      </c>
      <c r="G26" s="202" t="inlineStr">
        <is>
          <t>Cumulative partner distributions received through Year 20</t>
        </is>
      </c>
    </row>
    <row r="27">
      <c r="A27" s="195" t="inlineStr">
        <is>
          <t>4 · AFRICAN SKY VILLAS — 3 units + meals + tours</t>
        </is>
      </c>
      <c r="B27" s="191" t="n"/>
      <c r="C27" s="211" t="n"/>
      <c r="E27" s="202" t="inlineStr">
        <is>
          <t>20Y Total Partner Value if Exit in Year 20</t>
        </is>
      </c>
      <c r="F27" s="203">
        <f>'INV - Investor KPIs'!V12</f>
        <v/>
      </c>
      <c r="G27" s="202" t="inlineStr">
        <is>
          <t>Cumulative distributions + exit NAV — Total Partner Value if Exit in Year 20</t>
        </is>
      </c>
    </row>
    <row r="28">
      <c r="A28" s="269" t="inlineStr">
        <is>
          <t>African Sky Villa — ADR incl. 2 guests (ZAR/night)</t>
        </is>
      </c>
      <c r="B28" s="268" t="n">
        <v>4500</v>
      </c>
      <c r="C28" s="210" t="n"/>
      <c r="D28" s="210" t="n"/>
      <c r="E28" s="197" t="inlineStr">
        <is>
          <t>20Y Total IRR</t>
        </is>
      </c>
      <c r="F28" s="200">
        <f>'INV - Investor KPIs'!F18</f>
        <v/>
      </c>
      <c r="G28" s="197" t="inlineStr">
        <is>
          <t>Includes cash distributions + exit NAV</t>
        </is>
      </c>
    </row>
    <row r="29">
      <c r="A29" s="269" t="inlineStr">
        <is>
          <t>African Sky Villa — extra-guest rate (ZAR/guest/night)</t>
        </is>
      </c>
      <c r="B29" s="268" t="n">
        <v>1000</v>
      </c>
      <c r="C29" s="210" t="n"/>
      <c r="D29" s="210" t="n"/>
      <c r="E29" s="197" t="inlineStr">
        <is>
          <t>20Y Total MOIC</t>
        </is>
      </c>
      <c r="F29" s="199">
        <f>'INV - Investor KPIs'!F20</f>
        <v/>
      </c>
      <c r="G29" s="197" t="inlineStr">
        <is>
          <t>Total value received ÷ buy-in</t>
        </is>
      </c>
    </row>
    <row r="30">
      <c r="A30" s="269" t="inlineStr">
        <is>
          <t>African Sky Villa — avg annual nights booked (%)</t>
        </is>
      </c>
      <c r="B30" s="252">
        <f>'ASKY Bookings'!C390</f>
        <v/>
      </c>
      <c r="C30" s="210" t="n"/>
      <c r="D30" s="210" t="n"/>
      <c r="F30" s="79" t="n"/>
    </row>
    <row r="31">
      <c r="A31" s="269" t="inlineStr">
        <is>
          <t>African Sky Villa — avg guests per occupied unit-night</t>
        </is>
      </c>
      <c r="B31" s="253">
        <f>'ASKY Bookings'!C409</f>
        <v/>
      </c>
      <c r="C31" s="210" t="n"/>
      <c r="D31" s="210" t="n"/>
    </row>
    <row r="32">
      <c r="A32" s="269" t="inlineStr">
        <is>
          <t>Remington Villa — ADR incl. 2 guests (ZAR/night)</t>
        </is>
      </c>
      <c r="B32" s="268" t="n">
        <v>3700</v>
      </c>
      <c r="C32" s="210" t="n"/>
      <c r="D32" s="210" t="n"/>
    </row>
    <row r="33">
      <c r="A33" s="254" t="inlineStr">
        <is>
          <t>Remington Villa — extra-guest rate (ZAR/guest/night)</t>
        </is>
      </c>
      <c r="B33" s="268" t="n">
        <v>750</v>
      </c>
      <c r="C33" s="210" t="n"/>
      <c r="D33" s="210" t="n"/>
    </row>
    <row r="34">
      <c r="A34" s="254" t="inlineStr">
        <is>
          <t>Remington Villa — avg annual nights booked (%)</t>
        </is>
      </c>
      <c r="B34" s="252">
        <f>'ASKY Bookings'!D390</f>
        <v/>
      </c>
      <c r="C34" s="210" t="n"/>
      <c r="D34" s="210" t="n"/>
    </row>
    <row r="35">
      <c r="A35" s="254" t="inlineStr">
        <is>
          <t>Remington Villa — avg guests per occupied unit-night</t>
        </is>
      </c>
      <c r="B35" s="253">
        <f>'ASKY Bookings'!D409</f>
        <v/>
      </c>
      <c r="C35" s="210" t="n"/>
      <c r="D35" s="210" t="n"/>
    </row>
    <row r="36">
      <c r="A36" s="270" t="inlineStr">
        <is>
          <t>Winchester (planned) — ADR, sleeps 2 (ZAR/night)</t>
        </is>
      </c>
      <c r="B36" s="268" t="n">
        <v>3500</v>
      </c>
      <c r="C36" s="210" t="n"/>
      <c r="D36" s="210" t="n"/>
    </row>
    <row r="37">
      <c r="A37" s="270" t="inlineStr">
        <is>
          <t>Winchester — avg annual nights booked (%)</t>
        </is>
      </c>
      <c r="B37" s="252" t="n">
        <v>0.52</v>
      </c>
      <c r="C37" s="210" t="n"/>
      <c r="D37" s="210" t="n"/>
    </row>
    <row r="38">
      <c r="A38" s="270" t="inlineStr">
        <is>
          <t>Winchester — avg guests per occupied unit-night</t>
        </is>
      </c>
      <c r="B38" s="253" t="n">
        <v>2</v>
      </c>
      <c r="C38" s="212" t="n"/>
      <c r="D38" s="212" t="n"/>
    </row>
    <row r="39">
      <c r="A39" s="270" t="inlineStr">
        <is>
          <t>Winchester — online from year</t>
        </is>
      </c>
      <c r="B39" s="268" t="n">
        <v>2</v>
      </c>
      <c r="C39" s="210" t="n"/>
      <c r="D39" s="210" t="n"/>
    </row>
    <row r="40">
      <c r="A40" s="270" t="inlineStr">
        <is>
          <t>Winchester — construction cost (ZAR, one-off)</t>
        </is>
      </c>
      <c r="B40" s="268" t="n">
        <v>500000</v>
      </c>
      <c r="C40" s="210" t="n"/>
      <c r="D40" s="210" t="n"/>
    </row>
    <row r="41">
      <c r="A41" s="192" t="inlineStr">
        <is>
          <t>Meal take-up — guests taking both meals (%)</t>
        </is>
      </c>
      <c r="B41" s="193" t="n">
        <v>0.75</v>
      </c>
      <c r="C41" s="188" t="n"/>
      <c r="D41" s="188" t="n"/>
    </row>
    <row r="42">
      <c r="A42" s="192" t="inlineStr">
        <is>
          <t>Breakfast price (ZAR/guest)</t>
        </is>
      </c>
      <c r="B42" s="194" t="n">
        <v>150</v>
      </c>
      <c r="C42" s="210" t="n"/>
      <c r="D42" s="210" t="n"/>
    </row>
    <row r="43">
      <c r="A43" s="192" t="inlineStr">
        <is>
          <t>Breakfast cost (ZAR/guest)</t>
        </is>
      </c>
      <c r="B43" s="194" t="n">
        <v>100</v>
      </c>
      <c r="C43" s="210" t="n"/>
      <c r="D43" s="210" t="n"/>
    </row>
    <row r="44">
      <c r="A44" s="192" t="inlineStr">
        <is>
          <t>Dinner price (ZAR/guest)</t>
        </is>
      </c>
      <c r="B44" s="194" t="n">
        <v>375</v>
      </c>
      <c r="C44" s="210" t="n"/>
      <c r="D44" s="210" t="n"/>
    </row>
    <row r="45">
      <c r="A45" s="192" t="inlineStr">
        <is>
          <t>Dinner cost (ZAR/guest)</t>
        </is>
      </c>
      <c r="B45" s="194" t="n">
        <v>200</v>
      </c>
      <c r="C45" s="210" t="n"/>
      <c r="D45" s="210" t="n"/>
    </row>
    <row r="46">
      <c r="A46" s="192" t="inlineStr">
        <is>
          <t>Tours &amp; activities revenue (ZAR/yr) — linked from ASKY Tours Calcs</t>
        </is>
      </c>
      <c r="B46" s="208">
        <f>'ASKY Tours Calcs'!O27</f>
        <v/>
      </c>
      <c r="C46" s="213" t="n"/>
      <c r="D46" s="213" t="n"/>
    </row>
    <row r="47">
      <c r="A47" s="192" t="inlineStr">
        <is>
          <t>Tours &amp; activities cost (ZAR/yr) — linked from ASKY Tours Calcs</t>
        </is>
      </c>
      <c r="B47" s="208">
        <f>'ASKY Tours Calcs'!P27</f>
        <v/>
      </c>
      <c r="C47" s="213" t="n"/>
      <c r="D47" s="213" t="n"/>
    </row>
    <row r="48">
      <c r="A48" s="192" t="inlineStr">
        <is>
          <t>African Sky — salaries &amp; wages (ZAR/month)</t>
        </is>
      </c>
      <c r="B48" s="194" t="n">
        <v>30000</v>
      </c>
      <c r="C48" s="210" t="n"/>
      <c r="D48" s="210" t="n"/>
    </row>
    <row r="49">
      <c r="A49" s="192" t="inlineStr">
        <is>
          <t>African Sky — utilities &amp; municipal (ZAR/month)</t>
        </is>
      </c>
      <c r="B49" s="194" t="n">
        <v>6800</v>
      </c>
      <c r="C49" s="210" t="n"/>
      <c r="D49" s="210" t="n"/>
    </row>
    <row r="50">
      <c r="A50" s="192" t="inlineStr">
        <is>
          <t>African Sky — repairs &amp; maintenance (ZAR/month)</t>
        </is>
      </c>
      <c r="B50" s="194" t="n">
        <v>3500</v>
      </c>
      <c r="C50" s="210" t="n"/>
      <c r="D50" s="210" t="n"/>
    </row>
    <row r="51">
      <c r="A51" s="192" t="inlineStr">
        <is>
          <t>African Sky — other operating (ZAR/month)</t>
        </is>
      </c>
      <c r="B51" s="194" t="n">
        <v>5000</v>
      </c>
      <c r="C51" s="210" t="n"/>
      <c r="D51" s="210" t="n"/>
    </row>
    <row r="52">
      <c r="A52" s="204" t="inlineStr">
        <is>
          <t>African Sky — channel commission (% of accommodation)</t>
        </is>
      </c>
      <c r="B52" s="207" t="n">
        <v>0.2</v>
      </c>
      <c r="C52" s="188" t="n"/>
      <c r="D52" s="188" t="n"/>
    </row>
    <row r="53">
      <c r="A53" s="195" t="inlineStr">
        <is>
          <t>5 · BEACHSIDE ESCAPE — Big Bay</t>
        </is>
      </c>
      <c r="B53" s="191" t="n"/>
      <c r="C53" s="211" t="n"/>
    </row>
    <row r="54">
      <c r="A54" s="192" t="inlineStr">
        <is>
          <t>Long-term rent (ZAR/month)</t>
        </is>
      </c>
      <c r="B54" s="194" t="n">
        <v>30000</v>
      </c>
      <c r="C54" s="210" t="n"/>
      <c r="D54" s="210" t="n"/>
    </row>
    <row r="55">
      <c r="A55" s="192" t="inlineStr">
        <is>
          <t>Long-term months per year</t>
        </is>
      </c>
      <c r="B55" s="194" t="n">
        <v>10</v>
      </c>
      <c r="C55" s="210" t="n"/>
      <c r="D55" s="210" t="n"/>
    </row>
    <row r="56">
      <c r="A56" s="192" t="inlineStr">
        <is>
          <t>Peak holiday ADR (ZAR/night)</t>
        </is>
      </c>
      <c r="B56" s="194" t="n">
        <v>4500</v>
      </c>
      <c r="C56" s="210" t="n"/>
      <c r="D56" s="210" t="n"/>
    </row>
    <row r="57">
      <c r="A57" s="192" t="inlineStr">
        <is>
          <t>Peak months per year (Dec+Jan)</t>
        </is>
      </c>
      <c r="B57" s="194" t="n">
        <v>2</v>
      </c>
      <c r="C57" s="210" t="n"/>
      <c r="D57" s="210" t="n"/>
    </row>
    <row r="58">
      <c r="A58" s="192" t="inlineStr">
        <is>
          <t>Nights per peak month</t>
        </is>
      </c>
      <c r="B58" s="194" t="n">
        <v>30</v>
      </c>
      <c r="C58" s="210" t="n"/>
      <c r="D58" s="210" t="n"/>
    </row>
    <row r="59">
      <c r="A59" s="192" t="inlineStr">
        <is>
          <t>Peak-season occupancy (%)</t>
        </is>
      </c>
      <c r="B59" s="193" t="n">
        <v>0.9</v>
      </c>
      <c r="C59" s="188" t="n"/>
      <c r="D59" s="188" t="n"/>
    </row>
    <row r="60">
      <c r="A60" s="192" t="inlineStr">
        <is>
          <t>Commission on nightly lets (%)</t>
        </is>
      </c>
      <c r="B60" s="193" t="n">
        <v>0.2</v>
      </c>
      <c r="C60" s="188" t="n"/>
      <c r="D60" s="188" t="n"/>
    </row>
    <row r="61">
      <c r="A61" s="192" t="inlineStr">
        <is>
          <t>Utilities &amp; municipal (ZAR/month)</t>
        </is>
      </c>
      <c r="B61" s="194" t="n">
        <v>1000</v>
      </c>
      <c r="C61" s="210" t="n"/>
      <c r="D61" s="210" t="n"/>
    </row>
    <row r="62">
      <c r="A62" s="192" t="inlineStr">
        <is>
          <t>Repairs &amp; maintenance (ZAR/month)</t>
        </is>
      </c>
      <c r="B62" s="194" t="n">
        <v>1000</v>
      </c>
      <c r="C62" s="210" t="n"/>
      <c r="D62" s="210" t="n"/>
    </row>
    <row r="63">
      <c r="A63" s="204" t="inlineStr">
        <is>
          <t>Levies (ZAR/month)</t>
        </is>
      </c>
      <c r="B63" s="206" t="n">
        <v>3800</v>
      </c>
      <c r="C63" s="210" t="n"/>
      <c r="D63" s="210" t="n"/>
    </row>
    <row r="64">
      <c r="A64" s="195" t="inlineStr">
        <is>
          <t>6 · MENLYN MAIN — long-term rental</t>
        </is>
      </c>
      <c r="B64" s="191" t="n"/>
      <c r="C64" s="211" t="n"/>
    </row>
    <row r="65">
      <c r="A65" s="192" t="inlineStr">
        <is>
          <t>Rental income (ZAR/month)</t>
        </is>
      </c>
      <c r="B65" s="194" t="n">
        <v>28000</v>
      </c>
      <c r="C65" s="210" t="n"/>
      <c r="D65" s="210" t="n"/>
    </row>
    <row r="66">
      <c r="A66" s="192" t="inlineStr">
        <is>
          <t>Utilities &amp; municipal (ZAR/month)</t>
        </is>
      </c>
      <c r="B66" s="194" t="n">
        <v>900</v>
      </c>
      <c r="C66" s="210" t="n"/>
      <c r="D66" s="210" t="n"/>
    </row>
    <row r="67">
      <c r="A67" s="192" t="inlineStr">
        <is>
          <t>Repairs &amp; maintenance (ZAR/month)</t>
        </is>
      </c>
      <c r="B67" s="194" t="n">
        <v>1000</v>
      </c>
      <c r="C67" s="210" t="n"/>
      <c r="D67" s="210" t="n"/>
    </row>
    <row r="68">
      <c r="A68" s="204" t="inlineStr">
        <is>
          <t>Levies / rates (ZAR/month)</t>
        </is>
      </c>
      <c r="B68" s="206" t="n">
        <v>3500</v>
      </c>
      <c r="C68" s="210" t="n"/>
      <c r="D68" s="210" t="n"/>
    </row>
    <row r="69">
      <c r="A69" s="195" t="inlineStr">
        <is>
          <t>7 · VALUATION (independent — income &amp; comparable)</t>
        </is>
      </c>
      <c r="B69" s="191" t="n"/>
      <c r="C69" s="211" t="n"/>
    </row>
    <row r="70">
      <c r="A70" s="192" t="inlineStr">
        <is>
          <t>African Sky — hospitality cap rate (memo only)</t>
        </is>
      </c>
      <c r="B70" s="193" t="n">
        <v>0.1</v>
      </c>
      <c r="C70" s="188" t="n"/>
      <c r="D70" s="188" t="n"/>
    </row>
    <row r="71">
      <c r="A71" s="192" t="inlineStr">
        <is>
          <t>Beachside — residential cap rate</t>
        </is>
      </c>
      <c r="B71" s="193" t="n">
        <v>0.075</v>
      </c>
      <c r="C71" s="188" t="n"/>
      <c r="D71" s="188" t="n"/>
    </row>
    <row r="72">
      <c r="A72" s="192" t="inlineStr">
        <is>
          <t>Menlyn — residential cap rate</t>
        </is>
      </c>
      <c r="B72" s="193" t="n">
        <v>0.08500000000000001</v>
      </c>
      <c r="C72" s="188" t="n"/>
      <c r="D72" s="188" t="n"/>
    </row>
    <row r="73">
      <c r="A73" s="192" t="inlineStr">
        <is>
          <t>African Sky — property value, 2 built units (comparable/cost, ZAR)</t>
        </is>
      </c>
      <c r="B73" s="194" t="n">
        <v>6000000</v>
      </c>
      <c r="C73" s="210" t="n"/>
      <c r="D73" s="210" t="n"/>
    </row>
    <row r="74">
      <c r="A74" s="192" t="inlineStr">
        <is>
          <t>Property value growth p.a. (exit)</t>
        </is>
      </c>
      <c r="B74" s="193">
        <f>B80</f>
        <v/>
      </c>
      <c r="C74" s="188" t="n"/>
      <c r="D74" s="188" t="n"/>
    </row>
    <row r="75">
      <c r="A75" s="204" t="inlineStr">
        <is>
          <t>Sale friction / exit costs (%)</t>
        </is>
      </c>
      <c r="B75" s="207" t="n">
        <v>0.06</v>
      </c>
      <c r="C75" s="188" t="n"/>
      <c r="D75" s="188" t="n"/>
    </row>
    <row r="76">
      <c r="A76" s="195" t="inlineStr">
        <is>
          <t>8 · LEVERAGE &amp; GROWTH ENGINE</t>
        </is>
      </c>
      <c r="B76" s="191" t="n"/>
      <c r="C76" s="211" t="n"/>
    </row>
    <row r="77">
      <c r="A77" s="192" t="inlineStr">
        <is>
          <t>Target loan-to-value on portfolio (%)</t>
        </is>
      </c>
      <c r="B77" s="193" t="n">
        <v>0.6</v>
      </c>
      <c r="C77" s="188" t="n"/>
      <c r="D77" s="188" t="n"/>
    </row>
    <row r="78">
      <c r="A78" s="192" t="inlineStr">
        <is>
          <t>Debt interest rate p.a. (%)</t>
        </is>
      </c>
      <c r="B78" s="193" t="n">
        <v>0.115</v>
      </c>
      <c r="C78" s="188" t="n"/>
      <c r="D78" s="188" t="n"/>
    </row>
    <row r="79">
      <c r="A79" s="192" t="inlineStr">
        <is>
          <t>Stabilised / acquisition income yield (%)</t>
        </is>
      </c>
      <c r="B79" s="193" t="n">
        <v>0.09</v>
      </c>
      <c r="C79" s="188" t="n"/>
      <c r="D79" s="188" t="n"/>
    </row>
    <row r="80">
      <c r="A80" s="192" t="inlineStr">
        <is>
          <t>Property appreciation p.a. (%)</t>
        </is>
      </c>
      <c r="B80" s="193" t="n">
        <v>0.05</v>
      </c>
      <c r="C80" s="188" t="n"/>
      <c r="D80" s="188" t="n"/>
    </row>
    <row r="81">
      <c r="A81" s="192" t="inlineStr">
        <is>
          <t>Share of free cashflow reinvested (%)</t>
        </is>
      </c>
      <c r="B81" s="193" t="n">
        <v>1</v>
      </c>
      <c r="C81" s="188" t="n"/>
      <c r="D81" s="188" t="n"/>
    </row>
    <row r="82">
      <c r="B82" s="188" t="n"/>
      <c r="C82" s="188" t="n"/>
      <c r="D82" s="188" t="n"/>
    </row>
    <row r="83">
      <c r="A83" s="191" t="inlineStr">
        <is>
          <t>Display note</t>
        </is>
      </c>
      <c r="B83" s="191" t="n"/>
      <c r="C83" s="211" t="n"/>
      <c r="D83" s="218" t="n"/>
    </row>
    <row r="84">
      <c r="A84" s="298" t="inlineStr">
        <is>
          <t>If a property share % is 0%, the property remains visible for context but numeric values/outputs are visually blanked. Underlying inputs/formulas are preserved and reappear when share % is above 0%.</t>
        </is>
      </c>
      <c r="B84" s="299" t="n"/>
      <c r="C84" s="214" t="n"/>
      <c r="D84" s="214" t="n"/>
    </row>
  </sheetData>
  <mergeCells count="3">
    <mergeCell ref="A84:B84"/>
    <mergeCell ref="E4:G4"/>
    <mergeCell ref="A2:C2"/>
  </mergeCells>
  <conditionalFormatting sqref="B12 B28:D52">
    <cfRule type="expression" priority="4" dxfId="0">
      <formula>$B$5=0</formula>
    </cfRule>
  </conditionalFormatting>
  <conditionalFormatting sqref="B13 B54:D63">
    <cfRule type="expression" priority="6" dxfId="0">
      <formula>$B$7=0</formula>
    </cfRule>
  </conditionalFormatting>
  <conditionalFormatting sqref="B14 B65:D68">
    <cfRule type="expression" priority="8" dxfId="0">
      <formula>$B$8=0</formula>
    </cfRule>
  </conditionalFormatting>
  <conditionalFormatting sqref="B36:D40">
    <cfRule type="expression" priority="9" dxfId="0">
      <formula>OR($B$5=0,$B$6="N")</formula>
    </cfRule>
  </conditionalFormatting>
  <conditionalFormatting sqref="D4:D6">
    <cfRule type="expression" priority="1" dxfId="0">
      <formula>$B$5=0</formula>
    </cfRule>
  </conditionalFormatting>
  <dataValidations count="2">
    <dataValidation sqref="B6 B9 D9" showDropDown="0" showInputMessage="1" showErrorMessage="1" allowBlank="1" type="list">
      <formula1>"Y,N"</formula1>
    </dataValidation>
    <dataValidation sqref="B5:C5 B7:C8" showDropDown="0" showInputMessage="1" showErrorMessage="1" allowBlank="1" type="decimal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/>
  </sheetPr>
  <dimension ref="A1:E45"/>
  <sheetViews>
    <sheetView workbookViewId="0">
      <selection activeCell="B8" sqref="B8"/>
    </sheetView>
  </sheetViews>
  <sheetFormatPr baseColWidth="8" defaultRowHeight="14.4"/>
  <cols>
    <col width="36.109375" bestFit="1" customWidth="1" style="90" min="1" max="1"/>
    <col width="38" bestFit="1" customWidth="1" style="303" min="2" max="2"/>
    <col width="25" bestFit="1" customWidth="1" style="305" min="3" max="3"/>
    <col width="22.33203125" bestFit="1" customWidth="1" style="305" min="4" max="4"/>
    <col width="25" bestFit="1" customWidth="1" style="306" min="5" max="5"/>
    <col width="8.88671875" customWidth="1" style="303" min="6" max="7"/>
    <col width="8.88671875" customWidth="1" style="303" min="8" max="16384"/>
  </cols>
  <sheetData>
    <row r="1" ht="18" customHeight="1" s="313">
      <c r="A1" s="308" t="inlineStr">
        <is>
          <t>PROPERTY OVERVIEW + PROPERTY-SPECIFIC PARTNER ECONOMICS</t>
        </is>
      </c>
    </row>
    <row r="2">
      <c r="A2" s="307" t="inlineStr">
        <is>
          <t>Scenario share inputs include/exclude each property: 0% excludes, &gt;0% includes at selected partner share. Winchester follows African Sky and its expansion option.</t>
        </is>
      </c>
    </row>
    <row r="3">
      <c r="A3" s="303" t="n"/>
      <c r="C3" s="303" t="n"/>
      <c r="D3" s="303" t="n"/>
      <c r="E3" s="303" t="n"/>
    </row>
    <row r="4">
      <c r="A4" s="304" t="inlineStr">
        <is>
          <t>TABLE 1 — PROPERTY / ASSET METRICS</t>
        </is>
      </c>
    </row>
    <row r="5" customFormat="1" s="302">
      <c r="A5" s="177" t="inlineStr">
        <is>
          <t>Metric</t>
        </is>
      </c>
      <c r="B5" s="177" t="inlineStr">
        <is>
          <t>African Sky Villas</t>
        </is>
      </c>
      <c r="C5" s="177" t="inlineStr">
        <is>
          <t>Beachside Escape</t>
        </is>
      </c>
      <c r="D5" s="177" t="inlineStr">
        <is>
          <t>Menlyn Main</t>
        </is>
      </c>
      <c r="E5" s="177" t="inlineStr">
        <is>
          <t>Portfolio</t>
        </is>
      </c>
    </row>
    <row r="6" ht="57.6" customHeight="1" s="313">
      <c r="A6" s="303" t="inlineStr">
        <is>
          <t>Description</t>
        </is>
      </c>
      <c r="B6" s="324" t="inlineStr">
        <is>
          <t>3-villa short-let / hospitality asset: African Sky Villa, Remington Villa and planned Winchester, with meals plus tours &amp; activities.</t>
        </is>
      </c>
      <c r="C6" s="324" t="inlineStr">
        <is>
          <t>Big Bay property with mixed long-term rental plus peak holiday letting during Dec/Jan.</t>
        </is>
      </c>
      <c r="D6" s="324" t="inlineStr">
        <is>
          <t>Long-term residential rental apartment with recurring monthly rental income.</t>
        </is>
      </c>
      <c r="E6" s="324" t="inlineStr">
        <is>
          <t>Combined NewCo property portfolio.</t>
        </is>
      </c>
    </row>
    <row r="7" ht="28.8" customHeight="1" s="313">
      <c r="A7" s="303" t="inlineStr">
        <is>
          <t>Revenue basis</t>
        </is>
      </c>
      <c r="B7" s="324" t="inlineStr">
        <is>
          <t>Accommodation + meals + tours &amp; activities.</t>
        </is>
      </c>
      <c r="C7" s="324" t="inlineStr">
        <is>
          <t>10 months long-term rent + 2 peak holiday months.</t>
        </is>
      </c>
      <c r="D7" s="324" t="inlineStr">
        <is>
          <t>Monthly long-term rental.</t>
        </is>
      </c>
      <c r="E7" s="324" t="inlineStr">
        <is>
          <t>All property revenue streams consolidated.</t>
        </is>
      </c>
    </row>
    <row r="8">
      <c r="A8" s="178" t="inlineStr">
        <is>
          <t>Adopted property value (100%)</t>
        </is>
      </c>
      <c r="B8" s="179">
        <f>Valuation!C9</f>
        <v/>
      </c>
      <c r="C8" s="179">
        <f>Valuation!D9</f>
        <v/>
      </c>
      <c r="D8" s="179">
        <f>Valuation!E9</f>
        <v/>
      </c>
      <c r="E8" s="179">
        <f>Valuation!F9</f>
        <v/>
      </c>
    </row>
    <row r="9">
      <c r="A9" s="180" t="inlineStr">
        <is>
          <t>Year 1 NOI</t>
        </is>
      </c>
      <c r="B9" s="181">
        <f>'Portfolio NewCo'!B6</f>
        <v/>
      </c>
      <c r="C9" s="181">
        <f>'Portfolio NewCo'!B7</f>
        <v/>
      </c>
      <c r="D9" s="181">
        <f>'Portfolio NewCo'!B8</f>
        <v/>
      </c>
      <c r="E9" s="181">
        <f>'Portfolio NewCo'!B9</f>
        <v/>
      </c>
    </row>
    <row r="10">
      <c r="A10" s="180" t="inlineStr">
        <is>
          <t>NOI yield on adopted value</t>
        </is>
      </c>
      <c r="B10" s="182">
        <f>'INV - Property KPIs'!B9</f>
        <v/>
      </c>
      <c r="C10" s="182">
        <f>'INV - Property KPIs'!C9</f>
        <v/>
      </c>
      <c r="D10" s="182">
        <f>'INV - Property KPIs'!D9</f>
        <v/>
      </c>
      <c r="E10" s="182">
        <f>'INV - Property KPIs'!F9</f>
        <v/>
      </c>
    </row>
    <row r="11">
      <c r="A11" s="183" t="inlineStr">
        <is>
          <t>Implied value / NOI multiple</t>
        </is>
      </c>
      <c r="B11" s="184">
        <f>'INV - Property KPIs'!B10</f>
        <v/>
      </c>
      <c r="C11" s="184">
        <f>'INV - Property KPIs'!C10</f>
        <v/>
      </c>
      <c r="D11" s="184">
        <f>'INV - Property KPIs'!D10</f>
        <v/>
      </c>
      <c r="E11" s="184">
        <f>'INV - Property KPIs'!F10</f>
        <v/>
      </c>
    </row>
    <row r="12">
      <c r="A12" s="303" t="n"/>
      <c r="C12" s="303" t="n"/>
      <c r="D12" s="303" t="n"/>
      <c r="E12" s="303" t="n"/>
    </row>
    <row r="13">
      <c r="A13" s="304" t="inlineStr">
        <is>
          <t>TABLE 2 — PROPERTY-SPECIFIC PARTNER / INVESTOR ECONOMICS</t>
        </is>
      </c>
    </row>
    <row r="14">
      <c r="A14" s="177" t="inlineStr">
        <is>
          <t>Metric</t>
        </is>
      </c>
      <c r="B14" s="177" t="inlineStr">
        <is>
          <t>African Sky Villas</t>
        </is>
      </c>
      <c r="C14" s="177" t="inlineStr">
        <is>
          <t>Beachside Escape</t>
        </is>
      </c>
      <c r="D14" s="177" t="inlineStr">
        <is>
          <t>Menlyn Main</t>
        </is>
      </c>
      <c r="E14" s="177" t="inlineStr">
        <is>
          <t>Portfolio</t>
        </is>
      </c>
    </row>
    <row r="15">
      <c r="A15" s="178" t="inlineStr">
        <is>
          <t>Partner share / NAV @ property-specific %</t>
        </is>
      </c>
      <c r="B15" s="179">
        <f>Valuation!C10</f>
        <v/>
      </c>
      <c r="C15" s="179">
        <f>Valuation!D10</f>
        <v/>
      </c>
      <c r="D15" s="179">
        <f>Valuation!E10</f>
        <v/>
      </c>
      <c r="E15" s="179">
        <f>Valuation!F10</f>
        <v/>
      </c>
    </row>
    <row r="16">
      <c r="A16" s="180" t="inlineStr">
        <is>
          <t>Partner buy-in component</t>
        </is>
      </c>
      <c r="B16" s="181">
        <f>'INV - Property KPIs'!B5</f>
        <v/>
      </c>
      <c r="C16" s="181">
        <f>'INV - Property KPIs'!C5</f>
        <v/>
      </c>
      <c r="D16" s="181">
        <f>'INV - Property KPIs'!D5</f>
        <v/>
      </c>
      <c r="E16" s="181">
        <f>'INV - Property KPIs'!F5</f>
        <v/>
      </c>
    </row>
    <row r="17">
      <c r="A17" s="180" t="inlineStr">
        <is>
          <t>5-year total IRR</t>
        </is>
      </c>
      <c r="B17" s="182">
        <f>'INV - Property KPIs'!B13</f>
        <v/>
      </c>
      <c r="C17" s="182">
        <f>'INV - Property KPIs'!C13</f>
        <v/>
      </c>
      <c r="D17" s="182">
        <f>'INV - Property KPIs'!D13</f>
        <v/>
      </c>
      <c r="E17" s="182">
        <f>'INV - Property KPIs'!F13</f>
        <v/>
      </c>
    </row>
    <row r="18">
      <c r="A18" s="180" t="inlineStr">
        <is>
          <t>5-year total MOIC</t>
        </is>
      </c>
      <c r="B18" s="185">
        <f>'INV - Property KPIs'!B12</f>
        <v/>
      </c>
      <c r="C18" s="185">
        <f>'INV - Property KPIs'!C12</f>
        <v/>
      </c>
      <c r="D18" s="185">
        <f>'INV - Property KPIs'!D12</f>
        <v/>
      </c>
      <c r="E18" s="185">
        <f>'INV - Property KPIs'!F12</f>
        <v/>
      </c>
    </row>
    <row r="19">
      <c r="A19" s="180" t="inlineStr">
        <is>
          <t>10-year total IRR</t>
        </is>
      </c>
      <c r="B19" s="182">
        <f>'INV - Property KPIs'!B16</f>
        <v/>
      </c>
      <c r="C19" s="182">
        <f>'INV - Property KPIs'!C16</f>
        <v/>
      </c>
      <c r="D19" s="182">
        <f>'INV - Property KPIs'!D16</f>
        <v/>
      </c>
      <c r="E19" s="182">
        <f>'INV - Property KPIs'!F16</f>
        <v/>
      </c>
    </row>
    <row r="20">
      <c r="A20" s="180" t="inlineStr">
        <is>
          <t>10-year total MOIC</t>
        </is>
      </c>
      <c r="B20" s="185">
        <f>'INV - Property KPIs'!B15</f>
        <v/>
      </c>
      <c r="C20" s="185">
        <f>'INV - Property KPIs'!C15</f>
        <v/>
      </c>
      <c r="D20" s="185">
        <f>'INV - Property KPIs'!D15</f>
        <v/>
      </c>
      <c r="E20" s="185">
        <f>'INV - Property KPIs'!F15</f>
        <v/>
      </c>
    </row>
    <row r="21">
      <c r="A21" s="180" t="inlineStr">
        <is>
          <t>15-year total IRR</t>
        </is>
      </c>
      <c r="B21" s="182">
        <f>'INV - Property KPIs'!B19</f>
        <v/>
      </c>
      <c r="C21" s="182">
        <f>'INV - Property KPIs'!C19</f>
        <v/>
      </c>
      <c r="D21" s="182">
        <f>'INV - Property KPIs'!D19</f>
        <v/>
      </c>
      <c r="E21" s="182">
        <f>'INV - Property KPIs'!F19</f>
        <v/>
      </c>
    </row>
    <row r="22">
      <c r="A22" s="180" t="inlineStr">
        <is>
          <t>15-year total MOIC</t>
        </is>
      </c>
      <c r="B22" s="185">
        <f>'INV - Property KPIs'!B18</f>
        <v/>
      </c>
      <c r="C22" s="185">
        <f>'INV - Property KPIs'!C18</f>
        <v/>
      </c>
      <c r="D22" s="185">
        <f>'INV - Property KPIs'!D18</f>
        <v/>
      </c>
      <c r="E22" s="185">
        <f>'INV - Property KPIs'!F18</f>
        <v/>
      </c>
    </row>
    <row r="23">
      <c r="A23" s="309" t="inlineStr">
        <is>
          <t>20-year total IRR</t>
        </is>
      </c>
      <c r="B23" s="310" t="n"/>
      <c r="C23" s="310" t="n"/>
      <c r="D23" s="310" t="n"/>
      <c r="E23" s="310" t="n"/>
    </row>
    <row r="24">
      <c r="A24" s="173" t="inlineStr">
        <is>
          <t>20-year total MOIC</t>
        </is>
      </c>
      <c r="B24" s="174">
        <f>'INV - Property KPIs'!B21</f>
        <v/>
      </c>
      <c r="C24" s="175">
        <f>'INV - Property KPIs'!C21</f>
        <v/>
      </c>
      <c r="D24" s="175">
        <f>'INV - Property KPIs'!D21</f>
        <v/>
      </c>
      <c r="E24" s="176">
        <f>'INV - Property KPIs'!F21</f>
        <v/>
      </c>
    </row>
    <row r="25">
      <c r="A25" s="169" t="inlineStr">
        <is>
          <t>African Sky Villa accommodation</t>
        </is>
      </c>
      <c r="B25" s="170" t="inlineStr">
        <is>
          <t>Occupied unit-nights × ADR incl. extra guests</t>
        </is>
      </c>
      <c r="C25" s="171">
        <f>'African Sky P&amp;L'!C7</f>
        <v/>
      </c>
      <c r="D25" s="171">
        <f>'African Sky P&amp;L'!D7</f>
        <v/>
      </c>
      <c r="E25" s="172" t="inlineStr">
        <is>
          <t>Short-let villa revenue</t>
        </is>
      </c>
    </row>
    <row r="26">
      <c r="A26" s="127" t="inlineStr">
        <is>
          <t>Remington Villa accommodation</t>
        </is>
      </c>
      <c r="B26" s="132" t="inlineStr">
        <is>
          <t>Occupied unit-nights × ADR incl. extra guests</t>
        </is>
      </c>
      <c r="C26" s="128">
        <f>'African Sky P&amp;L'!C8</f>
        <v/>
      </c>
      <c r="D26" s="128">
        <f>'African Sky P&amp;L'!D8</f>
        <v/>
      </c>
      <c r="E26" s="126" t="inlineStr">
        <is>
          <t>Short-let villa revenue</t>
        </is>
      </c>
    </row>
    <row r="27" ht="27.6" customHeight="1" s="313">
      <c r="A27" s="127" t="inlineStr">
        <is>
          <t>Winchester accommodation</t>
        </is>
      </c>
      <c r="B27" s="132" t="inlineStr">
        <is>
          <t>Online-from-year × ADR</t>
        </is>
      </c>
      <c r="C27" s="128">
        <f>'African Sky P&amp;L'!C9</f>
        <v/>
      </c>
      <c r="D27" s="128">
        <f>'African Sky P&amp;L'!D9</f>
        <v/>
      </c>
      <c r="E27" s="126" t="inlineStr">
        <is>
          <t>Planned unit online from model year</t>
        </is>
      </c>
    </row>
    <row r="28" ht="27.6" customHeight="1" s="313">
      <c r="A28" s="127" t="inlineStr">
        <is>
          <t>Meals income</t>
        </is>
      </c>
      <c r="B28" s="132" t="inlineStr">
        <is>
          <t>Guest-nights × meal take-up × breakfast/dinner pricing</t>
        </is>
      </c>
      <c r="C28" s="128">
        <f>'African Sky P&amp;L'!C13</f>
        <v/>
      </c>
      <c r="D28" s="128">
        <f>'African Sky P&amp;L'!D13</f>
        <v/>
      </c>
      <c r="E28" s="126" t="inlineStr">
        <is>
          <t>Breakfast + dinner income</t>
        </is>
      </c>
    </row>
    <row r="29" ht="27.6" customHeight="1" s="313">
      <c r="A29" s="127" t="inlineStr">
        <is>
          <t>Tours &amp; activities income</t>
        </is>
      </c>
      <c r="B29" s="132" t="inlineStr">
        <is>
          <t>Linked tour revenue assumptions</t>
        </is>
      </c>
      <c r="C29" s="128">
        <f>'African Sky P&amp;L'!C14</f>
        <v/>
      </c>
      <c r="D29" s="128">
        <f>'African Sky P&amp;L'!D14</f>
        <v/>
      </c>
      <c r="E29" s="126" t="inlineStr">
        <is>
          <t>Linked from ASKY Tours Calcs</t>
        </is>
      </c>
    </row>
    <row r="30">
      <c r="A30" s="127" t="inlineStr">
        <is>
          <t>Total gross revenue</t>
        </is>
      </c>
      <c r="B30" s="132" t="inlineStr">
        <is>
          <t>Sum of above streams</t>
        </is>
      </c>
      <c r="C30" s="128">
        <f>'African Sky P&amp;L'!C15</f>
        <v/>
      </c>
      <c r="D30" s="128">
        <f>'African Sky P&amp;L'!D15</f>
        <v/>
      </c>
      <c r="E30" s="126" t="inlineStr">
        <is>
          <t>Before operating expenses</t>
        </is>
      </c>
    </row>
    <row r="31">
      <c r="A31" s="124" t="n"/>
      <c r="B31" s="111" t="n"/>
      <c r="C31" s="125" t="n"/>
      <c r="D31" s="125" t="n"/>
      <c r="E31" s="318" t="n"/>
    </row>
    <row r="32">
      <c r="A32" s="311" t="inlineStr">
        <is>
          <t>BEACHSIDE ESCAPE — revenue streams</t>
        </is>
      </c>
    </row>
    <row r="33">
      <c r="A33" s="129" t="inlineStr">
        <is>
          <t>Revenue stream / driver</t>
        </is>
      </c>
      <c r="B33" s="129" t="inlineStr">
        <is>
          <t>Basis</t>
        </is>
      </c>
      <c r="C33" s="130" t="inlineStr">
        <is>
          <t>Year 1</t>
        </is>
      </c>
      <c r="D33" s="130" t="inlineStr">
        <is>
          <t>Year 2</t>
        </is>
      </c>
      <c r="E33" s="131" t="inlineStr">
        <is>
          <t>Notes</t>
        </is>
      </c>
    </row>
    <row r="34" ht="27.6" customHeight="1" s="313">
      <c r="A34" s="127" t="inlineStr">
        <is>
          <t>Long-term rent</t>
        </is>
      </c>
      <c r="B34" s="132" t="inlineStr">
        <is>
          <t>Monthly rent × long-term months</t>
        </is>
      </c>
      <c r="C34" s="128">
        <f>Control!B54*Control!B55</f>
        <v/>
      </c>
      <c r="D34" s="128">
        <f>C34*(1+Control!B17)</f>
        <v/>
      </c>
      <c r="E34" s="126" t="inlineStr">
        <is>
          <t>10 long-term months per year</t>
        </is>
      </c>
    </row>
    <row r="35" ht="27.6" customHeight="1" s="313">
      <c r="A35" s="127" t="inlineStr">
        <is>
          <t>Peak holiday lets</t>
        </is>
      </c>
      <c r="B35" s="132" t="inlineStr">
        <is>
          <t>Peak ADR × peak months × nights/month × occupancy</t>
        </is>
      </c>
      <c r="C35" s="128">
        <f>Control!B56*Control!B57*Control!B58*Control!B59</f>
        <v/>
      </c>
      <c r="D35" s="128">
        <f>C35*(1+Control!B17)</f>
        <v/>
      </c>
      <c r="E35" s="126" t="inlineStr">
        <is>
          <t>Dec/Jan holiday letting</t>
        </is>
      </c>
    </row>
    <row r="36" ht="27.6" customHeight="1" s="313">
      <c r="A36" s="127" t="inlineStr">
        <is>
          <t>Estimated gross revenue</t>
        </is>
      </c>
      <c r="B36" s="132" t="inlineStr">
        <is>
          <t>Long-term rent + peak holiday lets</t>
        </is>
      </c>
      <c r="C36" s="128">
        <f>SUM(C34:C35)</f>
        <v/>
      </c>
      <c r="D36" s="128">
        <f>SUM(D34:D35)</f>
        <v/>
      </c>
      <c r="E36" s="126" t="inlineStr">
        <is>
          <t>Before commission and operating expenses</t>
        </is>
      </c>
    </row>
    <row r="37">
      <c r="A37" s="127" t="inlineStr">
        <is>
          <t>Year 1 NOI</t>
        </is>
      </c>
      <c r="B37" s="132" t="inlineStr">
        <is>
          <t>Portfolio NewCo Beachside NOI</t>
        </is>
      </c>
      <c r="C37" s="128">
        <f>'Portfolio NewCo'!B7</f>
        <v/>
      </c>
      <c r="D37" s="128">
        <f>'Portfolio NewCo'!C7</f>
        <v/>
      </c>
      <c r="E37" s="126" t="inlineStr">
        <is>
          <t>After model operating costs</t>
        </is>
      </c>
    </row>
    <row r="38">
      <c r="A38" s="124" t="n"/>
      <c r="B38" s="111" t="n"/>
      <c r="C38" s="125" t="n"/>
      <c r="D38" s="125" t="n"/>
      <c r="E38" s="318" t="n"/>
    </row>
    <row r="39">
      <c r="A39" s="124" t="inlineStr">
        <is>
          <t>MENLYN MAIN — revenue streams</t>
        </is>
      </c>
      <c r="B39" s="111" t="n"/>
      <c r="C39" s="125" t="n"/>
      <c r="D39" s="125" t="n"/>
      <c r="E39" s="318" t="n"/>
    </row>
    <row r="40">
      <c r="A40" s="311" t="inlineStr">
        <is>
          <t>Revenue stream / driver</t>
        </is>
      </c>
    </row>
    <row r="41">
      <c r="A41" s="129" t="inlineStr">
        <is>
          <t>Long-term rental income</t>
        </is>
      </c>
      <c r="B41" s="129" t="inlineStr">
        <is>
          <t>Monthly rent × 12</t>
        </is>
      </c>
      <c r="C41" s="130" t="n"/>
      <c r="D41" s="130" t="n"/>
      <c r="E41" s="131" t="inlineStr">
        <is>
          <t>Recurring monthly rental</t>
        </is>
      </c>
    </row>
    <row r="42">
      <c r="A42" s="127" t="inlineStr">
        <is>
          <t>Estimated gross revenue</t>
        </is>
      </c>
      <c r="B42" s="132" t="inlineStr">
        <is>
          <t>Long-term rental income</t>
        </is>
      </c>
      <c r="C42" s="128">
        <f>Control!B65*12</f>
        <v/>
      </c>
      <c r="D42" s="128">
        <f>C42*(1+Control!B17)</f>
        <v/>
      </c>
      <c r="E42" s="126" t="inlineStr">
        <is>
          <t>Before operating expenses</t>
        </is>
      </c>
    </row>
    <row r="43">
      <c r="A43" s="127" t="inlineStr">
        <is>
          <t>Year 1 NOI</t>
        </is>
      </c>
      <c r="B43" s="132" t="inlineStr">
        <is>
          <t>Portfolio NewCo Menlyn NOI</t>
        </is>
      </c>
      <c r="C43" s="128">
        <f>C42</f>
        <v/>
      </c>
      <c r="D43" s="128">
        <f>D42</f>
        <v/>
      </c>
      <c r="E43" s="126" t="inlineStr">
        <is>
          <t>After model operating costs</t>
        </is>
      </c>
    </row>
    <row r="44">
      <c r="A44" s="127" t="n"/>
      <c r="B44" s="132" t="n"/>
      <c r="C44" s="128">
        <f>'Portfolio NewCo'!B8</f>
        <v/>
      </c>
      <c r="D44" s="128">
        <f>'Portfolio NewCo'!C8</f>
        <v/>
      </c>
      <c r="E44" s="126" t="n"/>
    </row>
    <row r="45">
      <c r="A45" s="320" t="n"/>
      <c r="B45" s="324" t="n"/>
      <c r="C45" s="89" t="n"/>
      <c r="D45" s="89" t="n"/>
      <c r="E45" s="302" t="n"/>
    </row>
  </sheetData>
  <mergeCells count="7">
    <mergeCell ref="A4:E4"/>
    <mergeCell ref="A2:E2"/>
    <mergeCell ref="A1:E1"/>
    <mergeCell ref="A23:E23"/>
    <mergeCell ref="A32:E32"/>
    <mergeCell ref="A13:E13"/>
    <mergeCell ref="A40:E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A9D08E"/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4"/>
  <cols>
    <col width="102.21875" bestFit="1" customWidth="1" style="313" min="1" max="1"/>
    <col width="10.44140625" bestFit="1" customWidth="1" style="313" min="3" max="3"/>
    <col width="9.44140625" bestFit="1" customWidth="1" style="313" min="4" max="4"/>
    <col width="8.88671875" bestFit="1" customWidth="1" style="313" min="5" max="5"/>
    <col width="9.88671875" bestFit="1" customWidth="1" style="313" min="6" max="6"/>
  </cols>
  <sheetData>
    <row r="1" ht="18" customHeight="1" s="313">
      <c r="A1" s="1" t="inlineStr">
        <is>
          <t>PROPERTY VALUATION — independent (income &amp; comparable, NOT back-solved from buy-in)</t>
        </is>
      </c>
    </row>
    <row r="2">
      <c r="A2" s="312" t="inlineStr">
        <is>
          <t>Two industry methods per asset. Partner share % inputs on Control include/exclude each property from investor economics; 0% excludes, &gt;0% includes. Winchester is a development expansion option and only activates if African Sky share &gt; 0%.</t>
        </is>
      </c>
    </row>
    <row r="3"/>
    <row r="4">
      <c r="A4" s="4" t="inlineStr">
        <is>
          <t>Valuation basis</t>
        </is>
      </c>
      <c r="B4" s="4" t="n"/>
      <c r="C4" s="4" t="inlineStr">
        <is>
          <t>African Sky</t>
        </is>
      </c>
      <c r="D4" s="4" t="inlineStr">
        <is>
          <t>Beachside</t>
        </is>
      </c>
      <c r="E4" s="4" t="inlineStr">
        <is>
          <t>Menlyn</t>
        </is>
      </c>
      <c r="F4" s="4" t="inlineStr">
        <is>
          <t>Portfolio</t>
        </is>
      </c>
    </row>
    <row r="5">
      <c r="A5" t="inlineStr">
        <is>
          <t>In-place annual NOI (active properties only; AS reflects Winchester only if expansion is active)</t>
        </is>
      </c>
      <c r="C5" s="8">
        <f>'African Sky P&amp;L'!D26</f>
        <v/>
      </c>
      <c r="D5" s="8">
        <f>'Beachside P&amp;L'!C16</f>
        <v/>
      </c>
      <c r="E5" s="8">
        <f>'Menlyn P&amp;L'!C13</f>
        <v/>
      </c>
      <c r="F5" s="8">
        <f>SUM(C5:E5)</f>
        <v/>
      </c>
    </row>
    <row r="6">
      <c r="A6" t="inlineStr">
        <is>
          <t>Market cap rate (income approach)</t>
        </is>
      </c>
      <c r="C6" s="13">
        <f>Control!$B$70</f>
        <v/>
      </c>
      <c r="D6" s="13">
        <f>Control!$B$71</f>
        <v/>
      </c>
      <c r="E6" s="13">
        <f>Control!$B$72</f>
        <v/>
      </c>
    </row>
    <row r="7">
      <c r="A7" t="inlineStr">
        <is>
          <t>Income-capitalised value (NOI ÷ cap rate)</t>
        </is>
      </c>
      <c r="C7" s="14">
        <f>IFERROR(C5/C6,0)</f>
        <v/>
      </c>
      <c r="D7" s="8">
        <f>IFERROR(D5/D6,0)</f>
        <v/>
      </c>
      <c r="E7" s="8">
        <f>IFERROR(E5/E6,0)</f>
        <v/>
      </c>
    </row>
    <row r="8">
      <c r="A8" t="inlineStr">
        <is>
          <t>Independent comparable value (CMA input — editable; income approach corroborates below)</t>
        </is>
      </c>
      <c r="C8" s="8">
        <f>IF(Control!$B$5&gt;0,Control!$B$73+IF(AND(Control!$B$6="Y",Control!$B$5&gt;0),Control!$B$40,0),0)</f>
        <v/>
      </c>
      <c r="D8" s="8">
        <f>IF(Control!$B$7&gt;0,4000000,0)</f>
        <v/>
      </c>
      <c r="E8" s="8">
        <f>IF(Control!$B$8&gt;0,2900000,0)</f>
        <v/>
      </c>
      <c r="F8" s="8">
        <f>SUM(C8:E8)</f>
        <v/>
      </c>
    </row>
    <row r="9">
      <c r="A9" s="11" t="inlineStr">
        <is>
          <t>ADOPTED property value (conservative)</t>
        </is>
      </c>
      <c r="C9" s="12">
        <f>C8</f>
        <v/>
      </c>
      <c r="D9" s="12">
        <f>D8</f>
        <v/>
      </c>
      <c r="E9" s="12">
        <f>E8</f>
        <v/>
      </c>
      <c r="F9" s="12">
        <f>SUM(C9:E9)</f>
        <v/>
      </c>
    </row>
    <row r="10">
      <c r="A10" s="11" t="inlineStr">
        <is>
          <t>Partner NAV @ property-specific %</t>
        </is>
      </c>
      <c r="C10" s="12">
        <f>C9*Control!$B$5</f>
        <v/>
      </c>
      <c r="D10" s="12">
        <f>D9*Control!$B$7</f>
        <v/>
      </c>
      <c r="E10" s="12">
        <f>E9*Control!$B$8</f>
        <v/>
      </c>
      <c r="F10" s="12">
        <f>SUM(C10:E10)</f>
        <v/>
      </c>
    </row>
    <row r="11">
      <c r="A11" t="inlineStr">
        <is>
          <t>Income approach vs adopted (×, &gt;1 = conservative)</t>
        </is>
      </c>
      <c r="C11" s="15">
        <f>IFERROR(C7/C9,0)</f>
        <v/>
      </c>
      <c r="D11" s="15">
        <f>IFERROR(D7/D9,0)</f>
        <v/>
      </c>
      <c r="E11" s="15">
        <f>IFERROR(E7/E9,0)</f>
        <v/>
      </c>
    </row>
    <row r="12">
      <c r="A12" t="inlineStr">
        <is>
          <t>NOI yield on adopted value</t>
        </is>
      </c>
      <c r="C12" s="13">
        <f>IFERROR(C5/C9,0)</f>
        <v/>
      </c>
      <c r="D12" s="13">
        <f>IFERROR(D5/D9,0)</f>
        <v/>
      </c>
      <c r="E12" s="13">
        <f>IFERROR(E5/E9,0)</f>
        <v/>
      </c>
    </row>
    <row r="13">
      <c r="A13" t="inlineStr">
        <is>
          <t>Memo: African Sky operating-business value (meals+tours net × 3, indicative)</t>
        </is>
      </c>
      <c r="C13" s="8">
        <f>IF(Control!$B$5&gt;0,(('African Sky P&amp;L'!D13-'African Sky P&amp;L'!D18)+('African Sky P&amp;L'!D14-'African Sky P&amp;L'!D19))*3,0)</f>
        <v/>
      </c>
    </row>
    <row r="14"/>
    <row r="15">
      <c r="A15" t="inlineStr">
        <is>
          <t>v7.8 note: Beachside &amp; Menlyn adopted values are now independent CMA inputs (D8/E8), no longer buy-in×2. Income-capitalised values (row 7) corroborate higher. Internal estimates pending a registered (SACPVP) valuation.</t>
        </is>
      </c>
    </row>
  </sheetData>
  <mergeCells count="1">
    <mergeCell ref="A2:E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9BC2E6"/>
    <outlinePr summaryBelow="1" summaryRight="1"/>
    <pageSetUpPr/>
  </sheetPr>
  <dimension ref="A1:V28"/>
  <sheetViews>
    <sheetView workbookViewId="0">
      <selection activeCell="A1" sqref="A1:A1048576"/>
    </sheetView>
  </sheetViews>
  <sheetFormatPr baseColWidth="8" defaultRowHeight="14.4"/>
  <cols>
    <col width="45.5546875" customWidth="1" style="313" min="1" max="1"/>
    <col width="8.88671875" bestFit="1" customWidth="1" style="313" min="3" max="12"/>
    <col width="9.5546875" bestFit="1" customWidth="1" style="313" min="13" max="14"/>
    <col width="9.88671875" bestFit="1" customWidth="1" style="313" min="15" max="22"/>
  </cols>
  <sheetData>
    <row r="1" ht="18" customHeight="1" s="313">
      <c r="A1" s="1" t="inlineStr">
        <is>
          <t>AFRICAN SKY VILLAS — P&amp;L (annual, 20-year)</t>
        </is>
      </c>
    </row>
    <row r="2">
      <c r="A2" s="303" t="inlineStr">
        <is>
          <t>3 units (African Sky Villa · Remington · Winchester) + meals + tours. Winchester phases in from its online year. After FF&amp;E reserve, after tax.</t>
        </is>
      </c>
    </row>
    <row r="3"/>
    <row r="4">
      <c r="A4" s="2" t="inlineStr">
        <is>
          <t>Year</t>
        </is>
      </c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6" t="n">
        <v>9</v>
      </c>
      <c r="L4" s="6" t="n">
        <v>10</v>
      </c>
      <c r="M4" s="6" t="n">
        <v>11</v>
      </c>
      <c r="N4" s="6" t="n">
        <v>12</v>
      </c>
      <c r="O4" s="6" t="n">
        <v>13</v>
      </c>
      <c r="P4" s="6" t="n">
        <v>14</v>
      </c>
      <c r="Q4" s="6" t="n">
        <v>15</v>
      </c>
      <c r="R4" s="6" t="n">
        <v>16</v>
      </c>
      <c r="S4" s="6" t="n">
        <v>17</v>
      </c>
      <c r="T4" s="6" t="n">
        <v>18</v>
      </c>
      <c r="U4" s="6" t="n">
        <v>19</v>
      </c>
      <c r="V4" s="6" t="n">
        <v>20</v>
      </c>
    </row>
    <row r="5"/>
    <row r="6">
      <c r="A6" t="inlineStr">
        <is>
          <t>Occupied unit-nights / unit</t>
        </is>
      </c>
      <c r="C6" s="7">
        <f>IF(Control!$B$5&gt;0,Control!$B$20*(Control!$B$30+Control!$B$34+IF(Control!$B$6="Y",Control!$B$37,0))/(2+IF(Control!$B$6="Y",1,0)),0)</f>
        <v/>
      </c>
      <c r="D6" s="7">
        <f>IF(Control!$B$5&gt;0,Control!$B$20*(Control!$B$30+Control!$B$34+IF(Control!$B$6="Y",Control!$B$37,0))/(2+IF(Control!$B$6="Y",1,0)),0)</f>
        <v/>
      </c>
      <c r="E6" s="7">
        <f>IF(Control!$B$5&gt;0,Control!$B$20*(Control!$B$30+Control!$B$34+IF(Control!$B$6="Y",Control!$B$37,0))/(2+IF(Control!$B$6="Y",1,0)),0)</f>
        <v/>
      </c>
      <c r="F6" s="7">
        <f>IF(Control!$B$5&gt;0,Control!$B$20*(Control!$B$30+Control!$B$34+IF(Control!$B$6="Y",Control!$B$37,0))/(2+IF(Control!$B$6="Y",1,0)),0)</f>
        <v/>
      </c>
      <c r="G6" s="7">
        <f>IF(Control!$B$5&gt;0,Control!$B$20*(Control!$B$30+Control!$B$34+IF(Control!$B$6="Y",Control!$B$37,0))/(2+IF(Control!$B$6="Y",1,0)),0)</f>
        <v/>
      </c>
      <c r="H6" s="7">
        <f>IF(Control!$B$5&gt;0,Control!$B$20*(Control!$B$30+Control!$B$34+IF(Control!$B$6="Y",Control!$B$37,0))/(2+IF(Control!$B$6="Y",1,0)),0)</f>
        <v/>
      </c>
      <c r="I6" s="7">
        <f>IF(Control!$B$5&gt;0,Control!$B$20*(Control!$B$30+Control!$B$34+IF(Control!$B$6="Y",Control!$B$37,0))/(2+IF(Control!$B$6="Y",1,0)),0)</f>
        <v/>
      </c>
      <c r="J6" s="7">
        <f>IF(Control!$B$5&gt;0,Control!$B$20*(Control!$B$30+Control!$B$34+IF(Control!$B$6="Y",Control!$B$37,0))/(2+IF(Control!$B$6="Y",1,0)),0)</f>
        <v/>
      </c>
      <c r="K6" s="7">
        <f>IF(Control!$B$5&gt;0,Control!$B$20*(Control!$B$30+Control!$B$34+IF(Control!$B$6="Y",Control!$B$37,0))/(2+IF(Control!$B$6="Y",1,0)),0)</f>
        <v/>
      </c>
      <c r="L6" s="7">
        <f>IF(Control!$B$5&gt;0,Control!$B$20*(Control!$B$30+Control!$B$34+IF(Control!$B$6="Y",Control!$B$37,0))/(2+IF(Control!$B$6="Y",1,0)),0)</f>
        <v/>
      </c>
      <c r="M6" s="7">
        <f>IF(Control!$B$5&gt;0,Control!$B$20*(Control!$B$30+Control!$B$34+IF(Control!$B$6="Y",Control!$B$37,0))/(2+IF(Control!$B$6="Y",1,0)),0)</f>
        <v/>
      </c>
      <c r="N6" s="7">
        <f>IF(Control!$B$5&gt;0,Control!$B$20*(Control!$B$30+Control!$B$34+IF(Control!$B$6="Y",Control!$B$37,0))/(2+IF(Control!$B$6="Y",1,0)),0)</f>
        <v/>
      </c>
      <c r="O6" s="7">
        <f>IF(Control!$B$5&gt;0,Control!$B$20*(Control!$B$30+Control!$B$34+IF(Control!$B$6="Y",Control!$B$37,0))/(2+IF(Control!$B$6="Y",1,0)),0)</f>
        <v/>
      </c>
      <c r="P6" s="7">
        <f>IF(Control!$B$5&gt;0,Control!$B$20*(Control!$B$30+Control!$B$34+IF(Control!$B$6="Y",Control!$B$37,0))/(2+IF(Control!$B$6="Y",1,0)),0)</f>
        <v/>
      </c>
      <c r="Q6" s="7">
        <f>IF(Control!$B$5&gt;0,Control!$B$20*(Control!$B$30+Control!$B$34+IF(Control!$B$6="Y",Control!$B$37,0))/(2+IF(Control!$B$6="Y",1,0)),0)</f>
        <v/>
      </c>
      <c r="R6" s="7">
        <f>IF(Control!$B$5&gt;0,Control!$B$20*(Control!$B$30+Control!$B$34+IF(Control!$B$6="Y",Control!$B$37,0))/(2+IF(Control!$B$6="Y",1,0)),0)</f>
        <v/>
      </c>
      <c r="S6" s="7">
        <f>IF(Control!$B$5&gt;0,Control!$B$20*(Control!$B$30+Control!$B$34+IF(Control!$B$6="Y",Control!$B$37,0))/(2+IF(Control!$B$6="Y",1,0)),0)</f>
        <v/>
      </c>
      <c r="T6" s="7">
        <f>IF(Control!$B$5&gt;0,Control!$B$20*(Control!$B$30+Control!$B$34+IF(Control!$B$6="Y",Control!$B$37,0))/(2+IF(Control!$B$6="Y",1,0)),0)</f>
        <v/>
      </c>
      <c r="U6" s="7">
        <f>IF(Control!$B$5&gt;0,Control!$B$20*(Control!$B$30+Control!$B$34+IF(Control!$B$6="Y",Control!$B$37,0))/(2+IF(Control!$B$6="Y",1,0)),0)</f>
        <v/>
      </c>
      <c r="V6" s="7">
        <f>IF(Control!$B$5&gt;0,Control!$B$20*(Control!$B$30+Control!$B$34+IF(Control!$B$6="Y",Control!$B$37,0))/(2+IF(Control!$B$6="Y",1,0)),0)</f>
        <v/>
      </c>
    </row>
    <row r="7">
      <c r="A7" t="inlineStr">
        <is>
          <t>African Sky Villa — accommodation</t>
        </is>
      </c>
      <c r="C7" s="8">
        <f>IF(Control!$B$5&gt;0,(Control!$B$20*Control!$B$30)*(Control!$B$28+Control!$B$29*MAX(0,Control!$B$31-2))*POWER(1+Control!$B$17,C$4-1),0)</f>
        <v/>
      </c>
      <c r="D7" s="8">
        <f>IF(Control!$B$5&gt;0,(Control!$B$20*Control!$B$30)*(Control!$B$28+Control!$B$29*MAX(0,Control!$B$31-2))*POWER(1+Control!$B$17,D$4-1),0)</f>
        <v/>
      </c>
      <c r="E7" s="8">
        <f>IF(Control!$B$5&gt;0,(Control!$B$20*Control!$B$30)*(Control!$B$28+Control!$B$29*MAX(0,Control!$B$31-2))*POWER(1+Control!$B$17,E$4-1),0)</f>
        <v/>
      </c>
      <c r="F7" s="8">
        <f>IF(Control!$B$5&gt;0,(Control!$B$20*Control!$B$30)*(Control!$B$28+Control!$B$29*MAX(0,Control!$B$31-2))*POWER(1+Control!$B$17,F$4-1),0)</f>
        <v/>
      </c>
      <c r="G7" s="8">
        <f>IF(Control!$B$5&gt;0,(Control!$B$20*Control!$B$30)*(Control!$B$28+Control!$B$29*MAX(0,Control!$B$31-2))*POWER(1+Control!$B$17,G$4-1),0)</f>
        <v/>
      </c>
      <c r="H7" s="8">
        <f>IF(Control!$B$5&gt;0,(Control!$B$20*Control!$B$30)*(Control!$B$28+Control!$B$29*MAX(0,Control!$B$31-2))*POWER(1+Control!$B$17,H$4-1),0)</f>
        <v/>
      </c>
      <c r="I7" s="8">
        <f>IF(Control!$B$5&gt;0,(Control!$B$20*Control!$B$30)*(Control!$B$28+Control!$B$29*MAX(0,Control!$B$31-2))*POWER(1+Control!$B$17,I$4-1),0)</f>
        <v/>
      </c>
      <c r="J7" s="8">
        <f>IF(Control!$B$5&gt;0,(Control!$B$20*Control!$B$30)*(Control!$B$28+Control!$B$29*MAX(0,Control!$B$31-2))*POWER(1+Control!$B$17,J$4-1),0)</f>
        <v/>
      </c>
      <c r="K7" s="8">
        <f>IF(Control!$B$5&gt;0,(Control!$B$20*Control!$B$30)*(Control!$B$28+Control!$B$29*MAX(0,Control!$B$31-2))*POWER(1+Control!$B$17,K$4-1),0)</f>
        <v/>
      </c>
      <c r="L7" s="8">
        <f>IF(Control!$B$5&gt;0,(Control!$B$20*Control!$B$30)*(Control!$B$28+Control!$B$29*MAX(0,Control!$B$31-2))*POWER(1+Control!$B$17,L$4-1),0)</f>
        <v/>
      </c>
      <c r="M7" s="8">
        <f>IF(Control!$B$5&gt;0,(Control!$B$20*Control!$B$30)*(Control!$B$28+Control!$B$29*MAX(0,Control!$B$31-2))*POWER(1+Control!$B$17,M$4-1),0)</f>
        <v/>
      </c>
      <c r="N7" s="8">
        <f>IF(Control!$B$5&gt;0,(Control!$B$20*Control!$B$30)*(Control!$B$28+Control!$B$29*MAX(0,Control!$B$31-2))*POWER(1+Control!$B$17,N$4-1),0)</f>
        <v/>
      </c>
      <c r="O7" s="8">
        <f>IF(Control!$B$5&gt;0,(Control!$B$20*Control!$B$30)*(Control!$B$28+Control!$B$29*MAX(0,Control!$B$31-2))*POWER(1+Control!$B$17,O$4-1),0)</f>
        <v/>
      </c>
      <c r="P7" s="8">
        <f>IF(Control!$B$5&gt;0,(Control!$B$20*Control!$B$30)*(Control!$B$28+Control!$B$29*MAX(0,Control!$B$31-2))*POWER(1+Control!$B$17,P$4-1),0)</f>
        <v/>
      </c>
      <c r="Q7" s="8">
        <f>IF(Control!$B$5&gt;0,(Control!$B$20*Control!$B$30)*(Control!$B$28+Control!$B$29*MAX(0,Control!$B$31-2))*POWER(1+Control!$B$17,Q$4-1),0)</f>
        <v/>
      </c>
      <c r="R7" s="8">
        <f>IF(Control!$B$5&gt;0,(Control!$B$20*Control!$B$30)*(Control!$B$28+Control!$B$29*MAX(0,Control!$B$31-2))*POWER(1+Control!$B$17,R$4-1),0)</f>
        <v/>
      </c>
      <c r="S7" s="8">
        <f>IF(Control!$B$5&gt;0,(Control!$B$20*Control!$B$30)*(Control!$B$28+Control!$B$29*MAX(0,Control!$B$31-2))*POWER(1+Control!$B$17,S$4-1),0)</f>
        <v/>
      </c>
      <c r="T7" s="8">
        <f>IF(Control!$B$5&gt;0,(Control!$B$20*Control!$B$30)*(Control!$B$28+Control!$B$29*MAX(0,Control!$B$31-2))*POWER(1+Control!$B$17,T$4-1),0)</f>
        <v/>
      </c>
      <c r="U7" s="8">
        <f>IF(Control!$B$5&gt;0,(Control!$B$20*Control!$B$30)*(Control!$B$28+Control!$B$29*MAX(0,Control!$B$31-2))*POWER(1+Control!$B$17,U$4-1),0)</f>
        <v/>
      </c>
      <c r="V7" s="8">
        <f>IF(Control!$B$5&gt;0,(Control!$B$20*Control!$B$30)*(Control!$B$28+Control!$B$29*MAX(0,Control!$B$31-2))*POWER(1+Control!$B$17,V$4-1),0)</f>
        <v/>
      </c>
    </row>
    <row r="8">
      <c r="A8" t="inlineStr">
        <is>
          <t>Remington Villa — accommodation</t>
        </is>
      </c>
      <c r="C8" s="8">
        <f>IF(Control!$B$5&gt;0,(Control!$B$20*Control!$B$34)*(Control!$B$32+Control!$B$33*MAX(0,Control!$B$35-2))*POWER(1+Control!$B$17,C$4-1),0)</f>
        <v/>
      </c>
      <c r="D8" s="8">
        <f>IF(Control!$B$5&gt;0,(Control!$B$20*Control!$B$34)*(Control!$B$32+Control!$B$33*MAX(0,Control!$B$35-2))*POWER(1+Control!$B$17,D$4-1),0)</f>
        <v/>
      </c>
      <c r="E8" s="8">
        <f>IF(Control!$B$5&gt;0,(Control!$B$20*Control!$B$34)*(Control!$B$32+Control!$B$33*MAX(0,Control!$B$35-2))*POWER(1+Control!$B$17,E$4-1),0)</f>
        <v/>
      </c>
      <c r="F8" s="8">
        <f>IF(Control!$B$5&gt;0,(Control!$B$20*Control!$B$34)*(Control!$B$32+Control!$B$33*MAX(0,Control!$B$35-2))*POWER(1+Control!$B$17,F$4-1),0)</f>
        <v/>
      </c>
      <c r="G8" s="8">
        <f>IF(Control!$B$5&gt;0,(Control!$B$20*Control!$B$34)*(Control!$B$32+Control!$B$33*MAX(0,Control!$B$35-2))*POWER(1+Control!$B$17,G$4-1),0)</f>
        <v/>
      </c>
      <c r="H8" s="8">
        <f>IF(Control!$B$5&gt;0,(Control!$B$20*Control!$B$34)*(Control!$B$32+Control!$B$33*MAX(0,Control!$B$35-2))*POWER(1+Control!$B$17,H$4-1),0)</f>
        <v/>
      </c>
      <c r="I8" s="8">
        <f>IF(Control!$B$5&gt;0,(Control!$B$20*Control!$B$34)*(Control!$B$32+Control!$B$33*MAX(0,Control!$B$35-2))*POWER(1+Control!$B$17,I$4-1),0)</f>
        <v/>
      </c>
      <c r="J8" s="8">
        <f>IF(Control!$B$5&gt;0,(Control!$B$20*Control!$B$34)*(Control!$B$32+Control!$B$33*MAX(0,Control!$B$35-2))*POWER(1+Control!$B$17,J$4-1),0)</f>
        <v/>
      </c>
      <c r="K8" s="8">
        <f>IF(Control!$B$5&gt;0,(Control!$B$20*Control!$B$34)*(Control!$B$32+Control!$B$33*MAX(0,Control!$B$35-2))*POWER(1+Control!$B$17,K$4-1),0)</f>
        <v/>
      </c>
      <c r="L8" s="8">
        <f>IF(Control!$B$5&gt;0,(Control!$B$20*Control!$B$34)*(Control!$B$32+Control!$B$33*MAX(0,Control!$B$35-2))*POWER(1+Control!$B$17,L$4-1),0)</f>
        <v/>
      </c>
      <c r="M8" s="8">
        <f>IF(Control!$B$5&gt;0,(Control!$B$20*Control!$B$34)*(Control!$B$32+Control!$B$33*MAX(0,Control!$B$35-2))*POWER(1+Control!$B$17,M$4-1),0)</f>
        <v/>
      </c>
      <c r="N8" s="8">
        <f>IF(Control!$B$5&gt;0,(Control!$B$20*Control!$B$34)*(Control!$B$32+Control!$B$33*MAX(0,Control!$B$35-2))*POWER(1+Control!$B$17,N$4-1),0)</f>
        <v/>
      </c>
      <c r="O8" s="8">
        <f>IF(Control!$B$5&gt;0,(Control!$B$20*Control!$B$34)*(Control!$B$32+Control!$B$33*MAX(0,Control!$B$35-2))*POWER(1+Control!$B$17,O$4-1),0)</f>
        <v/>
      </c>
      <c r="P8" s="8">
        <f>IF(Control!$B$5&gt;0,(Control!$B$20*Control!$B$34)*(Control!$B$32+Control!$B$33*MAX(0,Control!$B$35-2))*POWER(1+Control!$B$17,P$4-1),0)</f>
        <v/>
      </c>
      <c r="Q8" s="8">
        <f>IF(Control!$B$5&gt;0,(Control!$B$20*Control!$B$34)*(Control!$B$32+Control!$B$33*MAX(0,Control!$B$35-2))*POWER(1+Control!$B$17,Q$4-1),0)</f>
        <v/>
      </c>
      <c r="R8" s="8">
        <f>IF(Control!$B$5&gt;0,(Control!$B$20*Control!$B$34)*(Control!$B$32+Control!$B$33*MAX(0,Control!$B$35-2))*POWER(1+Control!$B$17,R$4-1),0)</f>
        <v/>
      </c>
      <c r="S8" s="8">
        <f>IF(Control!$B$5&gt;0,(Control!$B$20*Control!$B$34)*(Control!$B$32+Control!$B$33*MAX(0,Control!$B$35-2))*POWER(1+Control!$B$17,S$4-1),0)</f>
        <v/>
      </c>
      <c r="T8" s="8">
        <f>IF(Control!$B$5&gt;0,(Control!$B$20*Control!$B$34)*(Control!$B$32+Control!$B$33*MAX(0,Control!$B$35-2))*POWER(1+Control!$B$17,T$4-1),0)</f>
        <v/>
      </c>
      <c r="U8" s="8">
        <f>IF(Control!$B$5&gt;0,(Control!$B$20*Control!$B$34)*(Control!$B$32+Control!$B$33*MAX(0,Control!$B$35-2))*POWER(1+Control!$B$17,U$4-1),0)</f>
        <v/>
      </c>
      <c r="V8" s="8">
        <f>IF(Control!$B$5&gt;0,(Control!$B$20*Control!$B$34)*(Control!$B$32+Control!$B$33*MAX(0,Control!$B$35-2))*POWER(1+Control!$B$17,V$4-1),0)</f>
        <v/>
      </c>
    </row>
    <row r="9">
      <c r="A9" t="inlineStr">
        <is>
          <t>Winchester — accommodation</t>
        </is>
      </c>
      <c r="C9" s="8">
        <f>IF(AND(Control!$B$5&gt;0,Control!$B$6="Y",C$4&gt;=Control!$B$39),(Control!$B$20*Control!$B$37)*Control!$B$36*POWER(1+Control!$B$17,C$4-1),0)</f>
        <v/>
      </c>
      <c r="D9" s="8">
        <f>IF(AND(Control!$B$5&gt;0,Control!$B$6="Y",D$4&gt;=Control!$B$39),(Control!$B$20*Control!$B$37)*Control!$B$36*POWER(1+Control!$B$17,D$4-1),0)</f>
        <v/>
      </c>
      <c r="E9" s="8">
        <f>IF(AND(Control!$B$5&gt;0,Control!$B$6="Y",E$4&gt;=Control!$B$39),(Control!$B$20*Control!$B$37)*Control!$B$36*POWER(1+Control!$B$17,E$4-1),0)</f>
        <v/>
      </c>
      <c r="F9" s="8">
        <f>IF(AND(Control!$B$5&gt;0,Control!$B$6="Y",F$4&gt;=Control!$B$39),(Control!$B$20*Control!$B$37)*Control!$B$36*POWER(1+Control!$B$17,F$4-1),0)</f>
        <v/>
      </c>
      <c r="G9" s="8">
        <f>IF(AND(Control!$B$5&gt;0,Control!$B$6="Y",G$4&gt;=Control!$B$39),(Control!$B$20*Control!$B$37)*Control!$B$36*POWER(1+Control!$B$17,G$4-1),0)</f>
        <v/>
      </c>
      <c r="H9" s="8">
        <f>IF(AND(Control!$B$5&gt;0,Control!$B$6="Y",H$4&gt;=Control!$B$39),(Control!$B$20*Control!$B$37)*Control!$B$36*POWER(1+Control!$B$17,H$4-1),0)</f>
        <v/>
      </c>
      <c r="I9" s="8">
        <f>IF(AND(Control!$B$5&gt;0,Control!$B$6="Y",I$4&gt;=Control!$B$39),(Control!$B$20*Control!$B$37)*Control!$B$36*POWER(1+Control!$B$17,I$4-1),0)</f>
        <v/>
      </c>
      <c r="J9" s="8">
        <f>IF(AND(Control!$B$5&gt;0,Control!$B$6="Y",J$4&gt;=Control!$B$39),(Control!$B$20*Control!$B$37)*Control!$B$36*POWER(1+Control!$B$17,J$4-1),0)</f>
        <v/>
      </c>
      <c r="K9" s="8">
        <f>IF(AND(Control!$B$5&gt;0,Control!$B$6="Y",K$4&gt;=Control!$B$39),(Control!$B$20*Control!$B$37)*Control!$B$36*POWER(1+Control!$B$17,K$4-1),0)</f>
        <v/>
      </c>
      <c r="L9" s="8">
        <f>IF(AND(Control!$B$5&gt;0,Control!$B$6="Y",L$4&gt;=Control!$B$39),(Control!$B$20*Control!$B$37)*Control!$B$36*POWER(1+Control!$B$17,L$4-1),0)</f>
        <v/>
      </c>
      <c r="M9" s="8">
        <f>IF(AND(Control!$B$5&gt;0,Control!$B$6="Y",M$4&gt;=Control!$B$39),(Control!$B$20*Control!$B$37)*Control!$B$36*POWER(1+Control!$B$17,M$4-1),0)</f>
        <v/>
      </c>
      <c r="N9" s="8">
        <f>IF(AND(Control!$B$5&gt;0,Control!$B$6="Y",N$4&gt;=Control!$B$39),(Control!$B$20*Control!$B$37)*Control!$B$36*POWER(1+Control!$B$17,N$4-1),0)</f>
        <v/>
      </c>
      <c r="O9" s="8">
        <f>IF(AND(Control!$B$5&gt;0,Control!$B$6="Y",O$4&gt;=Control!$B$39),(Control!$B$20*Control!$B$37)*Control!$B$36*POWER(1+Control!$B$17,O$4-1),0)</f>
        <v/>
      </c>
      <c r="P9" s="8">
        <f>IF(AND(Control!$B$5&gt;0,Control!$B$6="Y",P$4&gt;=Control!$B$39),(Control!$B$20*Control!$B$37)*Control!$B$36*POWER(1+Control!$B$17,P$4-1),0)</f>
        <v/>
      </c>
      <c r="Q9" s="8">
        <f>IF(AND(Control!$B$5&gt;0,Control!$B$6="Y",Q$4&gt;=Control!$B$39),(Control!$B$20*Control!$B$37)*Control!$B$36*POWER(1+Control!$B$17,Q$4-1),0)</f>
        <v/>
      </c>
      <c r="R9" s="8">
        <f>IF(AND(Control!$B$5&gt;0,Control!$B$6="Y",R$4&gt;=Control!$B$39),(Control!$B$20*Control!$B$37)*Control!$B$36*POWER(1+Control!$B$17,R$4-1),0)</f>
        <v/>
      </c>
      <c r="S9" s="8">
        <f>IF(AND(Control!$B$5&gt;0,Control!$B$6="Y",S$4&gt;=Control!$B$39),(Control!$B$20*Control!$B$37)*Control!$B$36*POWER(1+Control!$B$17,S$4-1),0)</f>
        <v/>
      </c>
      <c r="T9" s="8">
        <f>IF(AND(Control!$B$5&gt;0,Control!$B$6="Y",T$4&gt;=Control!$B$39),(Control!$B$20*Control!$B$37)*Control!$B$36*POWER(1+Control!$B$17,T$4-1),0)</f>
        <v/>
      </c>
      <c r="U9" s="8">
        <f>IF(AND(Control!$B$5&gt;0,Control!$B$6="Y",U$4&gt;=Control!$B$39),(Control!$B$20*Control!$B$37)*Control!$B$36*POWER(1+Control!$B$17,U$4-1),0)</f>
        <v/>
      </c>
      <c r="V9" s="8">
        <f>IF(AND(Control!$B$5&gt;0,Control!$B$6="Y",V$4&gt;=Control!$B$39),(Control!$B$20*Control!$B$37)*Control!$B$36*POWER(1+Control!$B$17,V$4-1),0)</f>
        <v/>
      </c>
    </row>
    <row r="10">
      <c r="A10" s="2" t="inlineStr">
        <is>
          <t>Accommodation revenue — all units</t>
        </is>
      </c>
      <c r="C10" s="5">
        <f>SUM(C7:C9)</f>
        <v/>
      </c>
      <c r="D10" s="5">
        <f>SUM(D7:D9)</f>
        <v/>
      </c>
      <c r="E10" s="5">
        <f>SUM(E7:E9)</f>
        <v/>
      </c>
      <c r="F10" s="5">
        <f>SUM(F7:F9)</f>
        <v/>
      </c>
      <c r="G10" s="5">
        <f>SUM(G7:G9)</f>
        <v/>
      </c>
      <c r="H10" s="5">
        <f>SUM(H7:H9)</f>
        <v/>
      </c>
      <c r="I10" s="5">
        <f>SUM(I7:I9)</f>
        <v/>
      </c>
      <c r="J10" s="5">
        <f>SUM(J7:J9)</f>
        <v/>
      </c>
      <c r="K10" s="5">
        <f>SUM(K7:K9)</f>
        <v/>
      </c>
      <c r="L10" s="5">
        <f>SUM(L7:L9)</f>
        <v/>
      </c>
      <c r="M10" s="5">
        <f>SUM(M7:M9)</f>
        <v/>
      </c>
      <c r="N10" s="5">
        <f>SUM(N7:N9)</f>
        <v/>
      </c>
      <c r="O10" s="5">
        <f>SUM(O7:O9)</f>
        <v/>
      </c>
      <c r="P10" s="5">
        <f>SUM(P7:P9)</f>
        <v/>
      </c>
      <c r="Q10" s="5">
        <f>SUM(Q7:Q9)</f>
        <v/>
      </c>
      <c r="R10" s="5">
        <f>SUM(R7:R9)</f>
        <v/>
      </c>
      <c r="S10" s="5">
        <f>SUM(S7:S9)</f>
        <v/>
      </c>
      <c r="T10" s="5">
        <f>SUM(T7:T9)</f>
        <v/>
      </c>
      <c r="U10" s="5">
        <f>SUM(U7:U9)</f>
        <v/>
      </c>
      <c r="V10" s="5">
        <f>SUM(V7:V9)</f>
        <v/>
      </c>
    </row>
    <row r="11">
      <c r="A11" t="inlineStr">
        <is>
          <t>Guest-nights (meal base)</t>
        </is>
      </c>
      <c r="C11" s="7">
        <f>IF(Control!$B$5&gt;0,Control!$B$20*(Control!$B$30*Control!$B$31+Control!$B$34*Control!$B$35+IF(AND(Control!$B$6="Y",C$4&gt;=Control!$B$39),Control!$B$37*Control!$B$38,0)),0)</f>
        <v/>
      </c>
      <c r="D11" s="7">
        <f>IF(Control!$B$5&gt;0,Control!$B$20*(Control!$B$30*Control!$B$31+Control!$B$34*Control!$B$35+IF(AND(Control!$B$6="Y",D$4&gt;=Control!$B$39),Control!$B$37*Control!$B$38,0)),0)</f>
        <v/>
      </c>
      <c r="E11" s="7">
        <f>IF(Control!$B$5&gt;0,Control!$B$20*(Control!$B$30*Control!$B$31+Control!$B$34*Control!$B$35+IF(AND(Control!$B$6="Y",E$4&gt;=Control!$B$39),Control!$B$37*Control!$B$38,0)),0)</f>
        <v/>
      </c>
      <c r="F11" s="7">
        <f>IF(Control!$B$5&gt;0,Control!$B$20*(Control!$B$30*Control!$B$31+Control!$B$34*Control!$B$35+IF(AND(Control!$B$6="Y",F$4&gt;=Control!$B$39),Control!$B$37*Control!$B$38,0)),0)</f>
        <v/>
      </c>
      <c r="G11" s="7">
        <f>IF(Control!$B$5&gt;0,Control!$B$20*(Control!$B$30*Control!$B$31+Control!$B$34*Control!$B$35+IF(AND(Control!$B$6="Y",G$4&gt;=Control!$B$39),Control!$B$37*Control!$B$38,0)),0)</f>
        <v/>
      </c>
      <c r="H11" s="7">
        <f>IF(Control!$B$5&gt;0,Control!$B$20*(Control!$B$30*Control!$B$31+Control!$B$34*Control!$B$35+IF(AND(Control!$B$6="Y",H$4&gt;=Control!$B$39),Control!$B$37*Control!$B$38,0)),0)</f>
        <v/>
      </c>
      <c r="I11" s="7">
        <f>IF(Control!$B$5&gt;0,Control!$B$20*(Control!$B$30*Control!$B$31+Control!$B$34*Control!$B$35+IF(AND(Control!$B$6="Y",I$4&gt;=Control!$B$39),Control!$B$37*Control!$B$38,0)),0)</f>
        <v/>
      </c>
      <c r="J11" s="7">
        <f>IF(Control!$B$5&gt;0,Control!$B$20*(Control!$B$30*Control!$B$31+Control!$B$34*Control!$B$35+IF(AND(Control!$B$6="Y",J$4&gt;=Control!$B$39),Control!$B$37*Control!$B$38,0)),0)</f>
        <v/>
      </c>
      <c r="K11" s="7">
        <f>IF(Control!$B$5&gt;0,Control!$B$20*(Control!$B$30*Control!$B$31+Control!$B$34*Control!$B$35+IF(AND(Control!$B$6="Y",K$4&gt;=Control!$B$39),Control!$B$37*Control!$B$38,0)),0)</f>
        <v/>
      </c>
      <c r="L11" s="7">
        <f>IF(Control!$B$5&gt;0,Control!$B$20*(Control!$B$30*Control!$B$31+Control!$B$34*Control!$B$35+IF(AND(Control!$B$6="Y",L$4&gt;=Control!$B$39),Control!$B$37*Control!$B$38,0)),0)</f>
        <v/>
      </c>
      <c r="M11" s="7">
        <f>IF(Control!$B$5&gt;0,Control!$B$20*(Control!$B$30*Control!$B$31+Control!$B$34*Control!$B$35+IF(AND(Control!$B$6="Y",M$4&gt;=Control!$B$39),Control!$B$37*Control!$B$38,0)),0)</f>
        <v/>
      </c>
      <c r="N11" s="7">
        <f>IF(Control!$B$5&gt;0,Control!$B$20*(Control!$B$30*Control!$B$31+Control!$B$34*Control!$B$35+IF(AND(Control!$B$6="Y",N$4&gt;=Control!$B$39),Control!$B$37*Control!$B$38,0)),0)</f>
        <v/>
      </c>
      <c r="O11" s="7">
        <f>IF(Control!$B$5&gt;0,Control!$B$20*(Control!$B$30*Control!$B$31+Control!$B$34*Control!$B$35+IF(AND(Control!$B$6="Y",O$4&gt;=Control!$B$39),Control!$B$37*Control!$B$38,0)),0)</f>
        <v/>
      </c>
      <c r="P11" s="7">
        <f>IF(Control!$B$5&gt;0,Control!$B$20*(Control!$B$30*Control!$B$31+Control!$B$34*Control!$B$35+IF(AND(Control!$B$6="Y",P$4&gt;=Control!$B$39),Control!$B$37*Control!$B$38,0)),0)</f>
        <v/>
      </c>
      <c r="Q11" s="7">
        <f>IF(Control!$B$5&gt;0,Control!$B$20*(Control!$B$30*Control!$B$31+Control!$B$34*Control!$B$35+IF(AND(Control!$B$6="Y",Q$4&gt;=Control!$B$39),Control!$B$37*Control!$B$38,0)),0)</f>
        <v/>
      </c>
      <c r="R11" s="7">
        <f>IF(Control!$B$5&gt;0,Control!$B$20*(Control!$B$30*Control!$B$31+Control!$B$34*Control!$B$35+IF(AND(Control!$B$6="Y",R$4&gt;=Control!$B$39),Control!$B$37*Control!$B$38,0)),0)</f>
        <v/>
      </c>
      <c r="S11" s="7">
        <f>IF(Control!$B$5&gt;0,Control!$B$20*(Control!$B$30*Control!$B$31+Control!$B$34*Control!$B$35+IF(AND(Control!$B$6="Y",S$4&gt;=Control!$B$39),Control!$B$37*Control!$B$38,0)),0)</f>
        <v/>
      </c>
      <c r="T11" s="7">
        <f>IF(Control!$B$5&gt;0,Control!$B$20*(Control!$B$30*Control!$B$31+Control!$B$34*Control!$B$35+IF(AND(Control!$B$6="Y",T$4&gt;=Control!$B$39),Control!$B$37*Control!$B$38,0)),0)</f>
        <v/>
      </c>
      <c r="U11" s="7">
        <f>IF(Control!$B$5&gt;0,Control!$B$20*(Control!$B$30*Control!$B$31+Control!$B$34*Control!$B$35+IF(AND(Control!$B$6="Y",U$4&gt;=Control!$B$39),Control!$B$37*Control!$B$38,0)),0)</f>
        <v/>
      </c>
      <c r="V11" s="7">
        <f>IF(Control!$B$5&gt;0,Control!$B$20*(Control!$B$30*Control!$B$31+Control!$B$34*Control!$B$35+IF(AND(Control!$B$6="Y",V$4&gt;=Control!$B$39),Control!$B$37*Control!$B$38,0)),0)</f>
        <v/>
      </c>
    </row>
    <row r="12">
      <c r="A12" t="inlineStr">
        <is>
          <t>Meal covers — both meals taken</t>
        </is>
      </c>
      <c r="C12" s="7">
        <f>C11*Control!$B$41</f>
        <v/>
      </c>
      <c r="D12" s="7">
        <f>D11*Control!$B$41</f>
        <v/>
      </c>
      <c r="E12" s="7">
        <f>E11*Control!$B$41</f>
        <v/>
      </c>
      <c r="F12" s="7">
        <f>F11*Control!$B$41</f>
        <v/>
      </c>
      <c r="G12" s="7">
        <f>G11*Control!$B$41</f>
        <v/>
      </c>
      <c r="H12" s="7">
        <f>H11*Control!$B$41</f>
        <v/>
      </c>
      <c r="I12" s="7">
        <f>I11*Control!$B$41</f>
        <v/>
      </c>
      <c r="J12" s="7">
        <f>J11*Control!$B$41</f>
        <v/>
      </c>
      <c r="K12" s="7">
        <f>K11*Control!$B$41</f>
        <v/>
      </c>
      <c r="L12" s="7">
        <f>L11*Control!$B$41</f>
        <v/>
      </c>
      <c r="M12" s="7">
        <f>M11*Control!$B$41</f>
        <v/>
      </c>
      <c r="N12" s="7">
        <f>N11*Control!$B$41</f>
        <v/>
      </c>
      <c r="O12" s="7">
        <f>O11*Control!$B$41</f>
        <v/>
      </c>
      <c r="P12" s="7">
        <f>P11*Control!$B$41</f>
        <v/>
      </c>
      <c r="Q12" s="7">
        <f>Q11*Control!$B$41</f>
        <v/>
      </c>
      <c r="R12" s="7">
        <f>R11*Control!$B$41</f>
        <v/>
      </c>
      <c r="S12" s="7">
        <f>S11*Control!$B$41</f>
        <v/>
      </c>
      <c r="T12" s="7">
        <f>T11*Control!$B$41</f>
        <v/>
      </c>
      <c r="U12" s="7">
        <f>U11*Control!$B$41</f>
        <v/>
      </c>
      <c r="V12" s="7">
        <f>V11*Control!$B$41</f>
        <v/>
      </c>
    </row>
    <row r="13">
      <c r="A13" t="inlineStr">
        <is>
          <t>Meals income (breakfast + dinner)</t>
        </is>
      </c>
      <c r="C13" s="8">
        <f>C12*(Control!$B$42+Control!$B$44)*POWER(1+Control!$B$17,C$4-1)</f>
        <v/>
      </c>
      <c r="D13" s="8">
        <f>D12*(Control!$B$42+Control!$B$44)*POWER(1+Control!$B$17,D$4-1)</f>
        <v/>
      </c>
      <c r="E13" s="8">
        <f>E12*(Control!$B$42+Control!$B$44)*POWER(1+Control!$B$17,E$4-1)</f>
        <v/>
      </c>
      <c r="F13" s="8">
        <f>F12*(Control!$B$42+Control!$B$44)*POWER(1+Control!$B$17,F$4-1)</f>
        <v/>
      </c>
      <c r="G13" s="8">
        <f>G12*(Control!$B$42+Control!$B$44)*POWER(1+Control!$B$17,G$4-1)</f>
        <v/>
      </c>
      <c r="H13" s="8">
        <f>H12*(Control!$B$42+Control!$B$44)*POWER(1+Control!$B$17,H$4-1)</f>
        <v/>
      </c>
      <c r="I13" s="8">
        <f>I12*(Control!$B$42+Control!$B$44)*POWER(1+Control!$B$17,I$4-1)</f>
        <v/>
      </c>
      <c r="J13" s="8">
        <f>J12*(Control!$B$42+Control!$B$44)*POWER(1+Control!$B$17,J$4-1)</f>
        <v/>
      </c>
      <c r="K13" s="8">
        <f>K12*(Control!$B$42+Control!$B$44)*POWER(1+Control!$B$17,K$4-1)</f>
        <v/>
      </c>
      <c r="L13" s="8">
        <f>L12*(Control!$B$42+Control!$B$44)*POWER(1+Control!$B$17,L$4-1)</f>
        <v/>
      </c>
      <c r="M13" s="8">
        <f>M12*(Control!$B$42+Control!$B$44)*POWER(1+Control!$B$17,M$4-1)</f>
        <v/>
      </c>
      <c r="N13" s="8">
        <f>N12*(Control!$B$42+Control!$B$44)*POWER(1+Control!$B$17,N$4-1)</f>
        <v/>
      </c>
      <c r="O13" s="8">
        <f>O12*(Control!$B$42+Control!$B$44)*POWER(1+Control!$B$17,O$4-1)</f>
        <v/>
      </c>
      <c r="P13" s="8">
        <f>P12*(Control!$B$42+Control!$B$44)*POWER(1+Control!$B$17,P$4-1)</f>
        <v/>
      </c>
      <c r="Q13" s="8">
        <f>Q12*(Control!$B$42+Control!$B$44)*POWER(1+Control!$B$17,Q$4-1)</f>
        <v/>
      </c>
      <c r="R13" s="8">
        <f>R12*(Control!$B$42+Control!$B$44)*POWER(1+Control!$B$17,R$4-1)</f>
        <v/>
      </c>
      <c r="S13" s="8">
        <f>S12*(Control!$B$42+Control!$B$44)*POWER(1+Control!$B$17,S$4-1)</f>
        <v/>
      </c>
      <c r="T13" s="8">
        <f>T12*(Control!$B$42+Control!$B$44)*POWER(1+Control!$B$17,T$4-1)</f>
        <v/>
      </c>
      <c r="U13" s="8">
        <f>U12*(Control!$B$42+Control!$B$44)*POWER(1+Control!$B$17,U$4-1)</f>
        <v/>
      </c>
      <c r="V13" s="8">
        <f>V12*(Control!$B$42+Control!$B$44)*POWER(1+Control!$B$17,V$4-1)</f>
        <v/>
      </c>
    </row>
    <row r="14">
      <c r="A14" t="inlineStr">
        <is>
          <t>Tours &amp; activities income</t>
        </is>
      </c>
      <c r="C14" s="8">
        <f>IF(Control!$B$5&gt;0,Control!$B$46*((Control!$B$20*(Control!$B$30*Control!$B$31+Control!$B$34*Control!$B$35+IF(AND(Control!$B$6="Y",C$4&gt;=Control!$B$39),Control!$B$37*Control!$B$38,0)))/(Control!$B$20*(Control!$B$30*Control!$B$31+Control!$B$34*Control!$B$35+IF(AND(Control!$B$5&gt;0,Control!$B$6="Y",1&gt;=Control!$B$39),Control!$B$37*Control!$B$38,0))))*POWER(1+Control!$B$17,C$4-1),0)</f>
        <v/>
      </c>
      <c r="D14" s="8">
        <f>IF(Control!$B$5&gt;0,Control!$B$46*((Control!$B$20*(Control!$B$30*Control!$B$31+Control!$B$34*Control!$B$35+IF(AND(Control!$B$6="Y",D$4&gt;=Control!$B$39),Control!$B$37*Control!$B$38,0)))/(Control!$B$20*(Control!$B$30*Control!$B$31+Control!$B$34*Control!$B$35+IF(AND(Control!$B$5&gt;0,Control!$B$6="Y",1&gt;=Control!$B$39),Control!$B$37*Control!$B$38,0))))*POWER(1+Control!$B$17,D$4-1),0)</f>
        <v/>
      </c>
      <c r="E14" s="8">
        <f>IF(Control!$B$5&gt;0,Control!$B$46*((Control!$B$20*(Control!$B$30*Control!$B$31+Control!$B$34*Control!$B$35+IF(AND(Control!$B$6="Y",E$4&gt;=Control!$B$39),Control!$B$37*Control!$B$38,0)))/(Control!$B$20*(Control!$B$30*Control!$B$31+Control!$B$34*Control!$B$35+IF(AND(Control!$B$5&gt;0,Control!$B$6="Y",1&gt;=Control!$B$39),Control!$B$37*Control!$B$38,0))))*POWER(1+Control!$B$17,E$4-1),0)</f>
        <v/>
      </c>
      <c r="F14" s="8">
        <f>IF(Control!$B$5&gt;0,Control!$B$46*((Control!$B$20*(Control!$B$30*Control!$B$31+Control!$B$34*Control!$B$35+IF(AND(Control!$B$6="Y",F$4&gt;=Control!$B$39),Control!$B$37*Control!$B$38,0)))/(Control!$B$20*(Control!$B$30*Control!$B$31+Control!$B$34*Control!$B$35+IF(AND(Control!$B$5&gt;0,Control!$B$6="Y",1&gt;=Control!$B$39),Control!$B$37*Control!$B$38,0))))*POWER(1+Control!$B$17,F$4-1),0)</f>
        <v/>
      </c>
      <c r="G14" s="8">
        <f>IF(Control!$B$5&gt;0,Control!$B$46*((Control!$B$20*(Control!$B$30*Control!$B$31+Control!$B$34*Control!$B$35+IF(AND(Control!$B$6="Y",G$4&gt;=Control!$B$39),Control!$B$37*Control!$B$38,0)))/(Control!$B$20*(Control!$B$30*Control!$B$31+Control!$B$34*Control!$B$35+IF(AND(Control!$B$5&gt;0,Control!$B$6="Y",1&gt;=Control!$B$39),Control!$B$37*Control!$B$38,0))))*POWER(1+Control!$B$17,G$4-1),0)</f>
        <v/>
      </c>
      <c r="H14" s="8">
        <f>IF(Control!$B$5&gt;0,Control!$B$46*((Control!$B$20*(Control!$B$30*Control!$B$31+Control!$B$34*Control!$B$35+IF(AND(Control!$B$6="Y",H$4&gt;=Control!$B$39),Control!$B$37*Control!$B$38,0)))/(Control!$B$20*(Control!$B$30*Control!$B$31+Control!$B$34*Control!$B$35+IF(AND(Control!$B$5&gt;0,Control!$B$6="Y",1&gt;=Control!$B$39),Control!$B$37*Control!$B$38,0))))*POWER(1+Control!$B$17,H$4-1),0)</f>
        <v/>
      </c>
      <c r="I14" s="8">
        <f>IF(Control!$B$5&gt;0,Control!$B$46*((Control!$B$20*(Control!$B$30*Control!$B$31+Control!$B$34*Control!$B$35+IF(AND(Control!$B$6="Y",I$4&gt;=Control!$B$39),Control!$B$37*Control!$B$38,0)))/(Control!$B$20*(Control!$B$30*Control!$B$31+Control!$B$34*Control!$B$35+IF(AND(Control!$B$5&gt;0,Control!$B$6="Y",1&gt;=Control!$B$39),Control!$B$37*Control!$B$38,0))))*POWER(1+Control!$B$17,I$4-1),0)</f>
        <v/>
      </c>
      <c r="J14" s="8">
        <f>IF(Control!$B$5&gt;0,Control!$B$46*((Control!$B$20*(Control!$B$30*Control!$B$31+Control!$B$34*Control!$B$35+IF(AND(Control!$B$6="Y",J$4&gt;=Control!$B$39),Control!$B$37*Control!$B$38,0)))/(Control!$B$20*(Control!$B$30*Control!$B$31+Control!$B$34*Control!$B$35+IF(AND(Control!$B$5&gt;0,Control!$B$6="Y",1&gt;=Control!$B$39),Control!$B$37*Control!$B$38,0))))*POWER(1+Control!$B$17,J$4-1),0)</f>
        <v/>
      </c>
      <c r="K14" s="8">
        <f>IF(Control!$B$5&gt;0,Control!$B$46*((Control!$B$20*(Control!$B$30*Control!$B$31+Control!$B$34*Control!$B$35+IF(AND(Control!$B$6="Y",K$4&gt;=Control!$B$39),Control!$B$37*Control!$B$38,0)))/(Control!$B$20*(Control!$B$30*Control!$B$31+Control!$B$34*Control!$B$35+IF(AND(Control!$B$5&gt;0,Control!$B$6="Y",1&gt;=Control!$B$39),Control!$B$37*Control!$B$38,0))))*POWER(1+Control!$B$17,K$4-1),0)</f>
        <v/>
      </c>
      <c r="L14" s="8">
        <f>IF(Control!$B$5&gt;0,Control!$B$46*((Control!$B$20*(Control!$B$30*Control!$B$31+Control!$B$34*Control!$B$35+IF(AND(Control!$B$6="Y",L$4&gt;=Control!$B$39),Control!$B$37*Control!$B$38,0)))/(Control!$B$20*(Control!$B$30*Control!$B$31+Control!$B$34*Control!$B$35+IF(AND(Control!$B$5&gt;0,Control!$B$6="Y",1&gt;=Control!$B$39),Control!$B$37*Control!$B$38,0))))*POWER(1+Control!$B$17,L$4-1),0)</f>
        <v/>
      </c>
      <c r="M14" s="8">
        <f>IF(Control!$B$5&gt;0,Control!$B$46*((Control!$B$20*(Control!$B$30*Control!$B$31+Control!$B$34*Control!$B$35+IF(AND(Control!$B$6="Y",M$4&gt;=Control!$B$39),Control!$B$37*Control!$B$38,0)))/(Control!$B$20*(Control!$B$30*Control!$B$31+Control!$B$34*Control!$B$35+IF(AND(Control!$B$5&gt;0,Control!$B$6="Y",1&gt;=Control!$B$39),Control!$B$37*Control!$B$38,0))))*POWER(1+Control!$B$17,M$4-1),0)</f>
        <v/>
      </c>
      <c r="N14" s="8">
        <f>IF(Control!$B$5&gt;0,Control!$B$46*((Control!$B$20*(Control!$B$30*Control!$B$31+Control!$B$34*Control!$B$35+IF(AND(Control!$B$6="Y",N$4&gt;=Control!$B$39),Control!$B$37*Control!$B$38,0)))/(Control!$B$20*(Control!$B$30*Control!$B$31+Control!$B$34*Control!$B$35+IF(AND(Control!$B$5&gt;0,Control!$B$6="Y",1&gt;=Control!$B$39),Control!$B$37*Control!$B$38,0))))*POWER(1+Control!$B$17,N$4-1),0)</f>
        <v/>
      </c>
      <c r="O14" s="8">
        <f>IF(Control!$B$5&gt;0,Control!$B$46*((Control!$B$20*(Control!$B$30*Control!$B$31+Control!$B$34*Control!$B$35+IF(AND(Control!$B$6="Y",O$4&gt;=Control!$B$39),Control!$B$37*Control!$B$38,0)))/(Control!$B$20*(Control!$B$30*Control!$B$31+Control!$B$34*Control!$B$35+IF(AND(Control!$B$5&gt;0,Control!$B$6="Y",1&gt;=Control!$B$39),Control!$B$37*Control!$B$38,0))))*POWER(1+Control!$B$17,O$4-1),0)</f>
        <v/>
      </c>
      <c r="P14" s="8">
        <f>IF(Control!$B$5&gt;0,Control!$B$46*((Control!$B$20*(Control!$B$30*Control!$B$31+Control!$B$34*Control!$B$35+IF(AND(Control!$B$6="Y",P$4&gt;=Control!$B$39),Control!$B$37*Control!$B$38,0)))/(Control!$B$20*(Control!$B$30*Control!$B$31+Control!$B$34*Control!$B$35+IF(AND(Control!$B$5&gt;0,Control!$B$6="Y",1&gt;=Control!$B$39),Control!$B$37*Control!$B$38,0))))*POWER(1+Control!$B$17,P$4-1),0)</f>
        <v/>
      </c>
      <c r="Q14" s="8">
        <f>IF(Control!$B$5&gt;0,Control!$B$46*((Control!$B$20*(Control!$B$30*Control!$B$31+Control!$B$34*Control!$B$35+IF(AND(Control!$B$6="Y",Q$4&gt;=Control!$B$39),Control!$B$37*Control!$B$38,0)))/(Control!$B$20*(Control!$B$30*Control!$B$31+Control!$B$34*Control!$B$35+IF(AND(Control!$B$5&gt;0,Control!$B$6="Y",1&gt;=Control!$B$39),Control!$B$37*Control!$B$38,0))))*POWER(1+Control!$B$17,Q$4-1),0)</f>
        <v/>
      </c>
      <c r="R14" s="8">
        <f>IF(Control!$B$5&gt;0,Control!$B$46*((Control!$B$20*(Control!$B$30*Control!$B$31+Control!$B$34*Control!$B$35+IF(AND(Control!$B$6="Y",R$4&gt;=Control!$B$39),Control!$B$37*Control!$B$38,0)))/(Control!$B$20*(Control!$B$30*Control!$B$31+Control!$B$34*Control!$B$35+IF(AND(Control!$B$5&gt;0,Control!$B$6="Y",1&gt;=Control!$B$39),Control!$B$37*Control!$B$38,0))))*POWER(1+Control!$B$17,R$4-1),0)</f>
        <v/>
      </c>
      <c r="S14" s="8">
        <f>IF(Control!$B$5&gt;0,Control!$B$46*((Control!$B$20*(Control!$B$30*Control!$B$31+Control!$B$34*Control!$B$35+IF(AND(Control!$B$6="Y",S$4&gt;=Control!$B$39),Control!$B$37*Control!$B$38,0)))/(Control!$B$20*(Control!$B$30*Control!$B$31+Control!$B$34*Control!$B$35+IF(AND(Control!$B$5&gt;0,Control!$B$6="Y",1&gt;=Control!$B$39),Control!$B$37*Control!$B$38,0))))*POWER(1+Control!$B$17,S$4-1),0)</f>
        <v/>
      </c>
      <c r="T14" s="8">
        <f>IF(Control!$B$5&gt;0,Control!$B$46*((Control!$B$20*(Control!$B$30*Control!$B$31+Control!$B$34*Control!$B$35+IF(AND(Control!$B$6="Y",T$4&gt;=Control!$B$39),Control!$B$37*Control!$B$38,0)))/(Control!$B$20*(Control!$B$30*Control!$B$31+Control!$B$34*Control!$B$35+IF(AND(Control!$B$5&gt;0,Control!$B$6="Y",1&gt;=Control!$B$39),Control!$B$37*Control!$B$38,0))))*POWER(1+Control!$B$17,T$4-1),0)</f>
        <v/>
      </c>
      <c r="U14" s="8">
        <f>IF(Control!$B$5&gt;0,Control!$B$46*((Control!$B$20*(Control!$B$30*Control!$B$31+Control!$B$34*Control!$B$35+IF(AND(Control!$B$6="Y",U$4&gt;=Control!$B$39),Control!$B$37*Control!$B$38,0)))/(Control!$B$20*(Control!$B$30*Control!$B$31+Control!$B$34*Control!$B$35+IF(AND(Control!$B$5&gt;0,Control!$B$6="Y",1&gt;=Control!$B$39),Control!$B$37*Control!$B$38,0))))*POWER(1+Control!$B$17,U$4-1),0)</f>
        <v/>
      </c>
      <c r="V14" s="8">
        <f>IF(Control!$B$5&gt;0,Control!$B$46*((Control!$B$20*(Control!$B$30*Control!$B$31+Control!$B$34*Control!$B$35+IF(AND(Control!$B$6="Y",V$4&gt;=Control!$B$39),Control!$B$37*Control!$B$38,0)))/(Control!$B$20*(Control!$B$30*Control!$B$31+Control!$B$34*Control!$B$35+IF(AND(Control!$B$5&gt;0,Control!$B$6="Y",1&gt;=Control!$B$39),Control!$B$37*Control!$B$38,0))))*POWER(1+Control!$B$17,V$4-1),0)</f>
        <v/>
      </c>
    </row>
    <row r="15">
      <c r="A15" s="9" t="inlineStr">
        <is>
          <t>GROSS REVENUE</t>
        </is>
      </c>
      <c r="C15" s="10">
        <f>C10+C13+C14</f>
        <v/>
      </c>
      <c r="D15" s="10">
        <f>D10+D13+D14</f>
        <v/>
      </c>
      <c r="E15" s="10">
        <f>E10+E13+E14</f>
        <v/>
      </c>
      <c r="F15" s="10">
        <f>F10+F13+F14</f>
        <v/>
      </c>
      <c r="G15" s="10">
        <f>G10+G13+G14</f>
        <v/>
      </c>
      <c r="H15" s="10">
        <f>H10+H13+H14</f>
        <v/>
      </c>
      <c r="I15" s="10">
        <f>I10+I13+I14</f>
        <v/>
      </c>
      <c r="J15" s="10">
        <f>J10+J13+J14</f>
        <v/>
      </c>
      <c r="K15" s="10">
        <f>K10+K13+K14</f>
        <v/>
      </c>
      <c r="L15" s="10">
        <f>L10+L13+L14</f>
        <v/>
      </c>
      <c r="M15" s="10">
        <f>M10+M13+M14</f>
        <v/>
      </c>
      <c r="N15" s="10">
        <f>N10+N13+N14</f>
        <v/>
      </c>
      <c r="O15" s="10">
        <f>O10+O13+O14</f>
        <v/>
      </c>
      <c r="P15" s="10">
        <f>P10+P13+P14</f>
        <v/>
      </c>
      <c r="Q15" s="10">
        <f>Q10+Q13+Q14</f>
        <v/>
      </c>
      <c r="R15" s="10">
        <f>R10+R13+R14</f>
        <v/>
      </c>
      <c r="S15" s="10">
        <f>S10+S13+S14</f>
        <v/>
      </c>
      <c r="T15" s="10">
        <f>T10+T13+T14</f>
        <v/>
      </c>
      <c r="U15" s="10">
        <f>U10+U13+U14</f>
        <v/>
      </c>
      <c r="V15" s="10">
        <f>V10+V13+V14</f>
        <v/>
      </c>
    </row>
    <row r="16">
      <c r="A16" s="2" t="inlineStr">
        <is>
          <t>OPERATING EXPENSES</t>
        </is>
      </c>
    </row>
    <row r="17">
      <c r="A17" t="inlineStr">
        <is>
          <t>Channel commission</t>
        </is>
      </c>
      <c r="C17" s="8">
        <f>C10*Control!$B$52</f>
        <v/>
      </c>
      <c r="D17" s="8">
        <f>D10*Control!$B$52</f>
        <v/>
      </c>
      <c r="E17" s="8">
        <f>E10*Control!$B$52</f>
        <v/>
      </c>
      <c r="F17" s="8">
        <f>F10*Control!$B$52</f>
        <v/>
      </c>
      <c r="G17" s="8">
        <f>G10*Control!$B$52</f>
        <v/>
      </c>
      <c r="H17" s="8">
        <f>H10*Control!$B$52</f>
        <v/>
      </c>
      <c r="I17" s="8">
        <f>I10*Control!$B$52</f>
        <v/>
      </c>
      <c r="J17" s="8">
        <f>J10*Control!$B$52</f>
        <v/>
      </c>
      <c r="K17" s="8">
        <f>K10*Control!$B$52</f>
        <v/>
      </c>
      <c r="L17" s="8">
        <f>L10*Control!$B$52</f>
        <v/>
      </c>
      <c r="M17" s="8">
        <f>M10*Control!$B$52</f>
        <v/>
      </c>
      <c r="N17" s="8">
        <f>N10*Control!$B$52</f>
        <v/>
      </c>
      <c r="O17" s="8">
        <f>O10*Control!$B$52</f>
        <v/>
      </c>
      <c r="P17" s="8">
        <f>P10*Control!$B$52</f>
        <v/>
      </c>
      <c r="Q17" s="8">
        <f>Q10*Control!$B$52</f>
        <v/>
      </c>
      <c r="R17" s="8">
        <f>R10*Control!$B$52</f>
        <v/>
      </c>
      <c r="S17" s="8">
        <f>S10*Control!$B$52</f>
        <v/>
      </c>
      <c r="T17" s="8">
        <f>T10*Control!$B$52</f>
        <v/>
      </c>
      <c r="U17" s="8">
        <f>U10*Control!$B$52</f>
        <v/>
      </c>
      <c r="V17" s="8">
        <f>V10*Control!$B$52</f>
        <v/>
      </c>
    </row>
    <row r="18">
      <c r="A18" t="inlineStr">
        <is>
          <t>Meals &amp; provisions cost</t>
        </is>
      </c>
      <c r="C18" s="8">
        <f>IF(Control!$B$5&gt;0,C12*(Control!$B$43+Control!$B$45)*POWER(1+Control!$B$18,C$4-1),0)</f>
        <v/>
      </c>
      <c r="D18" s="8">
        <f>IF(Control!$B$5&gt;0,D12*(Control!$B$43+Control!$B$45)*POWER(1+Control!$B$18,D$4-1),0)</f>
        <v/>
      </c>
      <c r="E18" s="8">
        <f>IF(Control!$B$5&gt;0,E12*(Control!$B$43+Control!$B$45)*POWER(1+Control!$B$18,E$4-1),0)</f>
        <v/>
      </c>
      <c r="F18" s="8">
        <f>IF(Control!$B$5&gt;0,F12*(Control!$B$43+Control!$B$45)*POWER(1+Control!$B$18,F$4-1),0)</f>
        <v/>
      </c>
      <c r="G18" s="8">
        <f>IF(Control!$B$5&gt;0,G12*(Control!$B$43+Control!$B$45)*POWER(1+Control!$B$18,G$4-1),0)</f>
        <v/>
      </c>
      <c r="H18" s="8">
        <f>IF(Control!$B$5&gt;0,H12*(Control!$B$43+Control!$B$45)*POWER(1+Control!$B$18,H$4-1),0)</f>
        <v/>
      </c>
      <c r="I18" s="8">
        <f>IF(Control!$B$5&gt;0,I12*(Control!$B$43+Control!$B$45)*POWER(1+Control!$B$18,I$4-1),0)</f>
        <v/>
      </c>
      <c r="J18" s="8">
        <f>IF(Control!$B$5&gt;0,J12*(Control!$B$43+Control!$B$45)*POWER(1+Control!$B$18,J$4-1),0)</f>
        <v/>
      </c>
      <c r="K18" s="8">
        <f>IF(Control!$B$5&gt;0,K12*(Control!$B$43+Control!$B$45)*POWER(1+Control!$B$18,K$4-1),0)</f>
        <v/>
      </c>
      <c r="L18" s="8">
        <f>IF(Control!$B$5&gt;0,L12*(Control!$B$43+Control!$B$45)*POWER(1+Control!$B$18,L$4-1),0)</f>
        <v/>
      </c>
      <c r="M18" s="8">
        <f>IF(Control!$B$5&gt;0,M12*(Control!$B$43+Control!$B$45)*POWER(1+Control!$B$18,M$4-1),0)</f>
        <v/>
      </c>
      <c r="N18" s="8">
        <f>IF(Control!$B$5&gt;0,N12*(Control!$B$43+Control!$B$45)*POWER(1+Control!$B$18,N$4-1),0)</f>
        <v/>
      </c>
      <c r="O18" s="8">
        <f>IF(Control!$B$5&gt;0,O12*(Control!$B$43+Control!$B$45)*POWER(1+Control!$B$18,O$4-1),0)</f>
        <v/>
      </c>
      <c r="P18" s="8">
        <f>IF(Control!$B$5&gt;0,P12*(Control!$B$43+Control!$B$45)*POWER(1+Control!$B$18,P$4-1),0)</f>
        <v/>
      </c>
      <c r="Q18" s="8">
        <f>IF(Control!$B$5&gt;0,Q12*(Control!$B$43+Control!$B$45)*POWER(1+Control!$B$18,Q$4-1),0)</f>
        <v/>
      </c>
      <c r="R18" s="8">
        <f>IF(Control!$B$5&gt;0,R12*(Control!$B$43+Control!$B$45)*POWER(1+Control!$B$18,R$4-1),0)</f>
        <v/>
      </c>
      <c r="S18" s="8">
        <f>IF(Control!$B$5&gt;0,S12*(Control!$B$43+Control!$B$45)*POWER(1+Control!$B$18,S$4-1),0)</f>
        <v/>
      </c>
      <c r="T18" s="8">
        <f>IF(Control!$B$5&gt;0,T12*(Control!$B$43+Control!$B$45)*POWER(1+Control!$B$18,T$4-1),0)</f>
        <v/>
      </c>
      <c r="U18" s="8">
        <f>IF(Control!$B$5&gt;0,U12*(Control!$B$43+Control!$B$45)*POWER(1+Control!$B$18,U$4-1),0)</f>
        <v/>
      </c>
      <c r="V18" s="8">
        <f>IF(Control!$B$5&gt;0,V12*(Control!$B$43+Control!$B$45)*POWER(1+Control!$B$18,V$4-1),0)</f>
        <v/>
      </c>
    </row>
    <row r="19">
      <c r="A19" t="inlineStr">
        <is>
          <t>Tours &amp; activities cost</t>
        </is>
      </c>
      <c r="C19" s="8">
        <f>IF(Control!$B$5&gt;0,Control!$B$47*((Control!$B$20*(Control!$B$30*Control!$B$31+Control!$B$34*Control!$B$35+IF(AND(Control!$B$6="Y",C$4&gt;=Control!$B$39),Control!$B$37*Control!$B$38,0)))/(Control!$B$20*(Control!$B$30*Control!$B$31+Control!$B$34*Control!$B$35+IF(AND(Control!$B$5&gt;0,Control!$B$6="Y",1&gt;=Control!$B$39),Control!$B$37*Control!$B$38,0))))*POWER(1+Control!$B$18,C$4-1),0)</f>
        <v/>
      </c>
      <c r="D19" s="8">
        <f>IF(Control!$B$5&gt;0,Control!$B$47*((Control!$B$20*(Control!$B$30*Control!$B$31+Control!$B$34*Control!$B$35+IF(AND(Control!$B$6="Y",D$4&gt;=Control!$B$39),Control!$B$37*Control!$B$38,0)))/(Control!$B$20*(Control!$B$30*Control!$B$31+Control!$B$34*Control!$B$35+IF(AND(Control!$B$5&gt;0,Control!$B$6="Y",1&gt;=Control!$B$39),Control!$B$37*Control!$B$38,0))))*POWER(1+Control!$B$18,D$4-1),0)</f>
        <v/>
      </c>
      <c r="E19" s="8">
        <f>IF(Control!$B$5&gt;0,Control!$B$47*((Control!$B$20*(Control!$B$30*Control!$B$31+Control!$B$34*Control!$B$35+IF(AND(Control!$B$6="Y",E$4&gt;=Control!$B$39),Control!$B$37*Control!$B$38,0)))/(Control!$B$20*(Control!$B$30*Control!$B$31+Control!$B$34*Control!$B$35+IF(AND(Control!$B$5&gt;0,Control!$B$6="Y",1&gt;=Control!$B$39),Control!$B$37*Control!$B$38,0))))*POWER(1+Control!$B$18,E$4-1),0)</f>
        <v/>
      </c>
      <c r="F19" s="8">
        <f>IF(Control!$B$5&gt;0,Control!$B$47*((Control!$B$20*(Control!$B$30*Control!$B$31+Control!$B$34*Control!$B$35+IF(AND(Control!$B$6="Y",F$4&gt;=Control!$B$39),Control!$B$37*Control!$B$38,0)))/(Control!$B$20*(Control!$B$30*Control!$B$31+Control!$B$34*Control!$B$35+IF(AND(Control!$B$5&gt;0,Control!$B$6="Y",1&gt;=Control!$B$39),Control!$B$37*Control!$B$38,0))))*POWER(1+Control!$B$18,F$4-1),0)</f>
        <v/>
      </c>
      <c r="G19" s="8">
        <f>IF(Control!$B$5&gt;0,Control!$B$47*((Control!$B$20*(Control!$B$30*Control!$B$31+Control!$B$34*Control!$B$35+IF(AND(Control!$B$6="Y",G$4&gt;=Control!$B$39),Control!$B$37*Control!$B$38,0)))/(Control!$B$20*(Control!$B$30*Control!$B$31+Control!$B$34*Control!$B$35+IF(AND(Control!$B$5&gt;0,Control!$B$6="Y",1&gt;=Control!$B$39),Control!$B$37*Control!$B$38,0))))*POWER(1+Control!$B$18,G$4-1),0)</f>
        <v/>
      </c>
      <c r="H19" s="8">
        <f>IF(Control!$B$5&gt;0,Control!$B$47*((Control!$B$20*(Control!$B$30*Control!$B$31+Control!$B$34*Control!$B$35+IF(AND(Control!$B$6="Y",H$4&gt;=Control!$B$39),Control!$B$37*Control!$B$38,0)))/(Control!$B$20*(Control!$B$30*Control!$B$31+Control!$B$34*Control!$B$35+IF(AND(Control!$B$5&gt;0,Control!$B$6="Y",1&gt;=Control!$B$39),Control!$B$37*Control!$B$38,0))))*POWER(1+Control!$B$18,H$4-1),0)</f>
        <v/>
      </c>
      <c r="I19" s="8">
        <f>IF(Control!$B$5&gt;0,Control!$B$47*((Control!$B$20*(Control!$B$30*Control!$B$31+Control!$B$34*Control!$B$35+IF(AND(Control!$B$6="Y",I$4&gt;=Control!$B$39),Control!$B$37*Control!$B$38,0)))/(Control!$B$20*(Control!$B$30*Control!$B$31+Control!$B$34*Control!$B$35+IF(AND(Control!$B$5&gt;0,Control!$B$6="Y",1&gt;=Control!$B$39),Control!$B$37*Control!$B$38,0))))*POWER(1+Control!$B$18,I$4-1),0)</f>
        <v/>
      </c>
      <c r="J19" s="8">
        <f>IF(Control!$B$5&gt;0,Control!$B$47*((Control!$B$20*(Control!$B$30*Control!$B$31+Control!$B$34*Control!$B$35+IF(AND(Control!$B$6="Y",J$4&gt;=Control!$B$39),Control!$B$37*Control!$B$38,0)))/(Control!$B$20*(Control!$B$30*Control!$B$31+Control!$B$34*Control!$B$35+IF(AND(Control!$B$5&gt;0,Control!$B$6="Y",1&gt;=Control!$B$39),Control!$B$37*Control!$B$38,0))))*POWER(1+Control!$B$18,J$4-1),0)</f>
        <v/>
      </c>
      <c r="K19" s="8">
        <f>IF(Control!$B$5&gt;0,Control!$B$47*((Control!$B$20*(Control!$B$30*Control!$B$31+Control!$B$34*Control!$B$35+IF(AND(Control!$B$6="Y",K$4&gt;=Control!$B$39),Control!$B$37*Control!$B$38,0)))/(Control!$B$20*(Control!$B$30*Control!$B$31+Control!$B$34*Control!$B$35+IF(AND(Control!$B$5&gt;0,Control!$B$6="Y",1&gt;=Control!$B$39),Control!$B$37*Control!$B$38,0))))*POWER(1+Control!$B$18,K$4-1),0)</f>
        <v/>
      </c>
      <c r="L19" s="8">
        <f>IF(Control!$B$5&gt;0,Control!$B$47*((Control!$B$20*(Control!$B$30*Control!$B$31+Control!$B$34*Control!$B$35+IF(AND(Control!$B$6="Y",L$4&gt;=Control!$B$39),Control!$B$37*Control!$B$38,0)))/(Control!$B$20*(Control!$B$30*Control!$B$31+Control!$B$34*Control!$B$35+IF(AND(Control!$B$5&gt;0,Control!$B$6="Y",1&gt;=Control!$B$39),Control!$B$37*Control!$B$38,0))))*POWER(1+Control!$B$18,L$4-1),0)</f>
        <v/>
      </c>
      <c r="M19" s="8">
        <f>IF(Control!$B$5&gt;0,Control!$B$47*((Control!$B$20*(Control!$B$30*Control!$B$31+Control!$B$34*Control!$B$35+IF(AND(Control!$B$6="Y",M$4&gt;=Control!$B$39),Control!$B$37*Control!$B$38,0)))/(Control!$B$20*(Control!$B$30*Control!$B$31+Control!$B$34*Control!$B$35+IF(AND(Control!$B$5&gt;0,Control!$B$6="Y",1&gt;=Control!$B$39),Control!$B$37*Control!$B$38,0))))*POWER(1+Control!$B$18,M$4-1),0)</f>
        <v/>
      </c>
      <c r="N19" s="8">
        <f>IF(Control!$B$5&gt;0,Control!$B$47*((Control!$B$20*(Control!$B$30*Control!$B$31+Control!$B$34*Control!$B$35+IF(AND(Control!$B$6="Y",N$4&gt;=Control!$B$39),Control!$B$37*Control!$B$38,0)))/(Control!$B$20*(Control!$B$30*Control!$B$31+Control!$B$34*Control!$B$35+IF(AND(Control!$B$5&gt;0,Control!$B$6="Y",1&gt;=Control!$B$39),Control!$B$37*Control!$B$38,0))))*POWER(1+Control!$B$18,N$4-1),0)</f>
        <v/>
      </c>
      <c r="O19" s="8">
        <f>IF(Control!$B$5&gt;0,Control!$B$47*((Control!$B$20*(Control!$B$30*Control!$B$31+Control!$B$34*Control!$B$35+IF(AND(Control!$B$6="Y",O$4&gt;=Control!$B$39),Control!$B$37*Control!$B$38,0)))/(Control!$B$20*(Control!$B$30*Control!$B$31+Control!$B$34*Control!$B$35+IF(AND(Control!$B$5&gt;0,Control!$B$6="Y",1&gt;=Control!$B$39),Control!$B$37*Control!$B$38,0))))*POWER(1+Control!$B$18,O$4-1),0)</f>
        <v/>
      </c>
      <c r="P19" s="8">
        <f>IF(Control!$B$5&gt;0,Control!$B$47*((Control!$B$20*(Control!$B$30*Control!$B$31+Control!$B$34*Control!$B$35+IF(AND(Control!$B$6="Y",P$4&gt;=Control!$B$39),Control!$B$37*Control!$B$38,0)))/(Control!$B$20*(Control!$B$30*Control!$B$31+Control!$B$34*Control!$B$35+IF(AND(Control!$B$5&gt;0,Control!$B$6="Y",1&gt;=Control!$B$39),Control!$B$37*Control!$B$38,0))))*POWER(1+Control!$B$18,P$4-1),0)</f>
        <v/>
      </c>
      <c r="Q19" s="8">
        <f>IF(Control!$B$5&gt;0,Control!$B$47*((Control!$B$20*(Control!$B$30*Control!$B$31+Control!$B$34*Control!$B$35+IF(AND(Control!$B$6="Y",Q$4&gt;=Control!$B$39),Control!$B$37*Control!$B$38,0)))/(Control!$B$20*(Control!$B$30*Control!$B$31+Control!$B$34*Control!$B$35+IF(AND(Control!$B$5&gt;0,Control!$B$6="Y",1&gt;=Control!$B$39),Control!$B$37*Control!$B$38,0))))*POWER(1+Control!$B$18,Q$4-1),0)</f>
        <v/>
      </c>
      <c r="R19" s="8">
        <f>IF(Control!$B$5&gt;0,Control!$B$47*((Control!$B$20*(Control!$B$30*Control!$B$31+Control!$B$34*Control!$B$35+IF(AND(Control!$B$6="Y",R$4&gt;=Control!$B$39),Control!$B$37*Control!$B$38,0)))/(Control!$B$20*(Control!$B$30*Control!$B$31+Control!$B$34*Control!$B$35+IF(AND(Control!$B$5&gt;0,Control!$B$6="Y",1&gt;=Control!$B$39),Control!$B$37*Control!$B$38,0))))*POWER(1+Control!$B$18,R$4-1),0)</f>
        <v/>
      </c>
      <c r="S19" s="8">
        <f>IF(Control!$B$5&gt;0,Control!$B$47*((Control!$B$20*(Control!$B$30*Control!$B$31+Control!$B$34*Control!$B$35+IF(AND(Control!$B$6="Y",S$4&gt;=Control!$B$39),Control!$B$37*Control!$B$38,0)))/(Control!$B$20*(Control!$B$30*Control!$B$31+Control!$B$34*Control!$B$35+IF(AND(Control!$B$5&gt;0,Control!$B$6="Y",1&gt;=Control!$B$39),Control!$B$37*Control!$B$38,0))))*POWER(1+Control!$B$18,S$4-1),0)</f>
        <v/>
      </c>
      <c r="T19" s="8">
        <f>IF(Control!$B$5&gt;0,Control!$B$47*((Control!$B$20*(Control!$B$30*Control!$B$31+Control!$B$34*Control!$B$35+IF(AND(Control!$B$6="Y",T$4&gt;=Control!$B$39),Control!$B$37*Control!$B$38,0)))/(Control!$B$20*(Control!$B$30*Control!$B$31+Control!$B$34*Control!$B$35+IF(AND(Control!$B$5&gt;0,Control!$B$6="Y",1&gt;=Control!$B$39),Control!$B$37*Control!$B$38,0))))*POWER(1+Control!$B$18,T$4-1),0)</f>
        <v/>
      </c>
      <c r="U19" s="8">
        <f>IF(Control!$B$5&gt;0,Control!$B$47*((Control!$B$20*(Control!$B$30*Control!$B$31+Control!$B$34*Control!$B$35+IF(AND(Control!$B$6="Y",U$4&gt;=Control!$B$39),Control!$B$37*Control!$B$38,0)))/(Control!$B$20*(Control!$B$30*Control!$B$31+Control!$B$34*Control!$B$35+IF(AND(Control!$B$5&gt;0,Control!$B$6="Y",1&gt;=Control!$B$39),Control!$B$37*Control!$B$38,0))))*POWER(1+Control!$B$18,U$4-1),0)</f>
        <v/>
      </c>
      <c r="V19" s="8">
        <f>IF(Control!$B$5&gt;0,Control!$B$47*((Control!$B$20*(Control!$B$30*Control!$B$31+Control!$B$34*Control!$B$35+IF(AND(Control!$B$6="Y",V$4&gt;=Control!$B$39),Control!$B$37*Control!$B$38,0)))/(Control!$B$20*(Control!$B$30*Control!$B$31+Control!$B$34*Control!$B$35+IF(AND(Control!$B$5&gt;0,Control!$B$6="Y",1&gt;=Control!$B$39),Control!$B$37*Control!$B$38,0))))*POWER(1+Control!$B$18,V$4-1),0)</f>
        <v/>
      </c>
    </row>
    <row r="20">
      <c r="A20" t="inlineStr">
        <is>
          <t>Salaries &amp; wages</t>
        </is>
      </c>
      <c r="C20" s="8">
        <f>IF(Control!$B$5&gt;0,Control!$B$48*12*POWER(1+Control!$B$18,C$4-1),0)</f>
        <v/>
      </c>
      <c r="D20" s="8">
        <f>IF(Control!$B$5&gt;0,Control!$B$48*12*POWER(1+Control!$B$18,D$4-1),0)</f>
        <v/>
      </c>
      <c r="E20" s="8">
        <f>IF(Control!$B$5&gt;0,Control!$B$48*12*POWER(1+Control!$B$18,E$4-1),0)</f>
        <v/>
      </c>
      <c r="F20" s="8">
        <f>IF(Control!$B$5&gt;0,Control!$B$48*12*POWER(1+Control!$B$18,F$4-1),0)</f>
        <v/>
      </c>
      <c r="G20" s="8">
        <f>IF(Control!$B$5&gt;0,Control!$B$48*12*POWER(1+Control!$B$18,G$4-1),0)</f>
        <v/>
      </c>
      <c r="H20" s="8">
        <f>IF(Control!$B$5&gt;0,Control!$B$48*12*POWER(1+Control!$B$18,H$4-1),0)</f>
        <v/>
      </c>
      <c r="I20" s="8">
        <f>IF(Control!$B$5&gt;0,Control!$B$48*12*POWER(1+Control!$B$18,I$4-1),0)</f>
        <v/>
      </c>
      <c r="J20" s="8">
        <f>IF(Control!$B$5&gt;0,Control!$B$48*12*POWER(1+Control!$B$18,J$4-1),0)</f>
        <v/>
      </c>
      <c r="K20" s="8">
        <f>IF(Control!$B$5&gt;0,Control!$B$48*12*POWER(1+Control!$B$18,K$4-1),0)</f>
        <v/>
      </c>
      <c r="L20" s="8">
        <f>IF(Control!$B$5&gt;0,Control!$B$48*12*POWER(1+Control!$B$18,L$4-1),0)</f>
        <v/>
      </c>
      <c r="M20" s="8">
        <f>IF(Control!$B$5&gt;0,Control!$B$48*12*POWER(1+Control!$B$18,M$4-1),0)</f>
        <v/>
      </c>
      <c r="N20" s="8">
        <f>IF(Control!$B$5&gt;0,Control!$B$48*12*POWER(1+Control!$B$18,N$4-1),0)</f>
        <v/>
      </c>
      <c r="O20" s="8">
        <f>IF(Control!$B$5&gt;0,Control!$B$48*12*POWER(1+Control!$B$18,O$4-1),0)</f>
        <v/>
      </c>
      <c r="P20" s="8">
        <f>IF(Control!$B$5&gt;0,Control!$B$48*12*POWER(1+Control!$B$18,P$4-1),0)</f>
        <v/>
      </c>
      <c r="Q20" s="8">
        <f>IF(Control!$B$5&gt;0,Control!$B$48*12*POWER(1+Control!$B$18,Q$4-1),0)</f>
        <v/>
      </c>
      <c r="R20" s="8">
        <f>IF(Control!$B$5&gt;0,Control!$B$48*12*POWER(1+Control!$B$18,R$4-1),0)</f>
        <v/>
      </c>
      <c r="S20" s="8">
        <f>IF(Control!$B$5&gt;0,Control!$B$48*12*POWER(1+Control!$B$18,S$4-1),0)</f>
        <v/>
      </c>
      <c r="T20" s="8">
        <f>IF(Control!$B$5&gt;0,Control!$B$48*12*POWER(1+Control!$B$18,T$4-1),0)</f>
        <v/>
      </c>
      <c r="U20" s="8">
        <f>IF(Control!$B$5&gt;0,Control!$B$48*12*POWER(1+Control!$B$18,U$4-1),0)</f>
        <v/>
      </c>
      <c r="V20" s="8">
        <f>IF(Control!$B$5&gt;0,Control!$B$48*12*POWER(1+Control!$B$18,V$4-1),0)</f>
        <v/>
      </c>
    </row>
    <row r="21">
      <c r="A21" t="inlineStr">
        <is>
          <t>Utilities &amp; municipal</t>
        </is>
      </c>
      <c r="C21" s="8">
        <f>IF(Control!$B$5&gt;0,Control!$B$49*12*POWER(1+Control!$B$18,C$4-1),0)</f>
        <v/>
      </c>
      <c r="D21" s="8">
        <f>IF(Control!$B$5&gt;0,Control!$B$49*12*POWER(1+Control!$B$18,D$4-1),0)</f>
        <v/>
      </c>
      <c r="E21" s="8">
        <f>IF(Control!$B$5&gt;0,Control!$B$49*12*POWER(1+Control!$B$18,E$4-1),0)</f>
        <v/>
      </c>
      <c r="F21" s="8">
        <f>IF(Control!$B$5&gt;0,Control!$B$49*12*POWER(1+Control!$B$18,F$4-1),0)</f>
        <v/>
      </c>
      <c r="G21" s="8">
        <f>IF(Control!$B$5&gt;0,Control!$B$49*12*POWER(1+Control!$B$18,G$4-1),0)</f>
        <v/>
      </c>
      <c r="H21" s="8">
        <f>IF(Control!$B$5&gt;0,Control!$B$49*12*POWER(1+Control!$B$18,H$4-1),0)</f>
        <v/>
      </c>
      <c r="I21" s="8">
        <f>IF(Control!$B$5&gt;0,Control!$B$49*12*POWER(1+Control!$B$18,I$4-1),0)</f>
        <v/>
      </c>
      <c r="J21" s="8">
        <f>IF(Control!$B$5&gt;0,Control!$B$49*12*POWER(1+Control!$B$18,J$4-1),0)</f>
        <v/>
      </c>
      <c r="K21" s="8">
        <f>IF(Control!$B$5&gt;0,Control!$B$49*12*POWER(1+Control!$B$18,K$4-1),0)</f>
        <v/>
      </c>
      <c r="L21" s="8">
        <f>IF(Control!$B$5&gt;0,Control!$B$49*12*POWER(1+Control!$B$18,L$4-1),0)</f>
        <v/>
      </c>
      <c r="M21" s="8">
        <f>IF(Control!$B$5&gt;0,Control!$B$49*12*POWER(1+Control!$B$18,M$4-1),0)</f>
        <v/>
      </c>
      <c r="N21" s="8">
        <f>IF(Control!$B$5&gt;0,Control!$B$49*12*POWER(1+Control!$B$18,N$4-1),0)</f>
        <v/>
      </c>
      <c r="O21" s="8">
        <f>IF(Control!$B$5&gt;0,Control!$B$49*12*POWER(1+Control!$B$18,O$4-1),0)</f>
        <v/>
      </c>
      <c r="P21" s="8">
        <f>IF(Control!$B$5&gt;0,Control!$B$49*12*POWER(1+Control!$B$18,P$4-1),0)</f>
        <v/>
      </c>
      <c r="Q21" s="8">
        <f>IF(Control!$B$5&gt;0,Control!$B$49*12*POWER(1+Control!$B$18,Q$4-1),0)</f>
        <v/>
      </c>
      <c r="R21" s="8">
        <f>IF(Control!$B$5&gt;0,Control!$B$49*12*POWER(1+Control!$B$18,R$4-1),0)</f>
        <v/>
      </c>
      <c r="S21" s="8">
        <f>IF(Control!$B$5&gt;0,Control!$B$49*12*POWER(1+Control!$B$18,S$4-1),0)</f>
        <v/>
      </c>
      <c r="T21" s="8">
        <f>IF(Control!$B$5&gt;0,Control!$B$49*12*POWER(1+Control!$B$18,T$4-1),0)</f>
        <v/>
      </c>
      <c r="U21" s="8">
        <f>IF(Control!$B$5&gt;0,Control!$B$49*12*POWER(1+Control!$B$18,U$4-1),0)</f>
        <v/>
      </c>
      <c r="V21" s="8">
        <f>IF(Control!$B$5&gt;0,Control!$B$49*12*POWER(1+Control!$B$18,V$4-1),0)</f>
        <v/>
      </c>
    </row>
    <row r="22">
      <c r="A22" t="inlineStr">
        <is>
          <t>Repairs &amp; maintenance</t>
        </is>
      </c>
      <c r="C22" s="8">
        <f>IF(Control!$B$5&gt;0,Control!$B$50*12*POWER(1+Control!$B$18,C$4-1),0)</f>
        <v/>
      </c>
      <c r="D22" s="8">
        <f>IF(Control!$B$5&gt;0,Control!$B$50*12*POWER(1+Control!$B$18,D$4-1),0)</f>
        <v/>
      </c>
      <c r="E22" s="8">
        <f>IF(Control!$B$5&gt;0,Control!$B$50*12*POWER(1+Control!$B$18,E$4-1),0)</f>
        <v/>
      </c>
      <c r="F22" s="8">
        <f>IF(Control!$B$5&gt;0,Control!$B$50*12*POWER(1+Control!$B$18,F$4-1),0)</f>
        <v/>
      </c>
      <c r="G22" s="8">
        <f>IF(Control!$B$5&gt;0,Control!$B$50*12*POWER(1+Control!$B$18,G$4-1),0)</f>
        <v/>
      </c>
      <c r="H22" s="8">
        <f>IF(Control!$B$5&gt;0,Control!$B$50*12*POWER(1+Control!$B$18,H$4-1),0)</f>
        <v/>
      </c>
      <c r="I22" s="8">
        <f>IF(Control!$B$5&gt;0,Control!$B$50*12*POWER(1+Control!$B$18,I$4-1),0)</f>
        <v/>
      </c>
      <c r="J22" s="8">
        <f>IF(Control!$B$5&gt;0,Control!$B$50*12*POWER(1+Control!$B$18,J$4-1),0)</f>
        <v/>
      </c>
      <c r="K22" s="8">
        <f>IF(Control!$B$5&gt;0,Control!$B$50*12*POWER(1+Control!$B$18,K$4-1),0)</f>
        <v/>
      </c>
      <c r="L22" s="8">
        <f>IF(Control!$B$5&gt;0,Control!$B$50*12*POWER(1+Control!$B$18,L$4-1),0)</f>
        <v/>
      </c>
      <c r="M22" s="8">
        <f>IF(Control!$B$5&gt;0,Control!$B$50*12*POWER(1+Control!$B$18,M$4-1),0)</f>
        <v/>
      </c>
      <c r="N22" s="8">
        <f>IF(Control!$B$5&gt;0,Control!$B$50*12*POWER(1+Control!$B$18,N$4-1),0)</f>
        <v/>
      </c>
      <c r="O22" s="8">
        <f>IF(Control!$B$5&gt;0,Control!$B$50*12*POWER(1+Control!$B$18,O$4-1),0)</f>
        <v/>
      </c>
      <c r="P22" s="8">
        <f>IF(Control!$B$5&gt;0,Control!$B$50*12*POWER(1+Control!$B$18,P$4-1),0)</f>
        <v/>
      </c>
      <c r="Q22" s="8">
        <f>IF(Control!$B$5&gt;0,Control!$B$50*12*POWER(1+Control!$B$18,Q$4-1),0)</f>
        <v/>
      </c>
      <c r="R22" s="8">
        <f>IF(Control!$B$5&gt;0,Control!$B$50*12*POWER(1+Control!$B$18,R$4-1),0)</f>
        <v/>
      </c>
      <c r="S22" s="8">
        <f>IF(Control!$B$5&gt;0,Control!$B$50*12*POWER(1+Control!$B$18,S$4-1),0)</f>
        <v/>
      </c>
      <c r="T22" s="8">
        <f>IF(Control!$B$5&gt;0,Control!$B$50*12*POWER(1+Control!$B$18,T$4-1),0)</f>
        <v/>
      </c>
      <c r="U22" s="8">
        <f>IF(Control!$B$5&gt;0,Control!$B$50*12*POWER(1+Control!$B$18,U$4-1),0)</f>
        <v/>
      </c>
      <c r="V22" s="8">
        <f>IF(Control!$B$5&gt;0,Control!$B$50*12*POWER(1+Control!$B$18,V$4-1),0)</f>
        <v/>
      </c>
    </row>
    <row r="23">
      <c r="A23" t="inlineStr">
        <is>
          <t>Other operating</t>
        </is>
      </c>
      <c r="C23" s="8">
        <f>IF(Control!$B$5&gt;0,Control!$B$51*12*POWER(1+Control!$B$18,C$4-1),0)</f>
        <v/>
      </c>
      <c r="D23" s="8">
        <f>IF(Control!$B$5&gt;0,Control!$B$51*12*POWER(1+Control!$B$18,D$4-1),0)</f>
        <v/>
      </c>
      <c r="E23" s="8">
        <f>IF(Control!$B$5&gt;0,Control!$B$51*12*POWER(1+Control!$B$18,E$4-1),0)</f>
        <v/>
      </c>
      <c r="F23" s="8">
        <f>IF(Control!$B$5&gt;0,Control!$B$51*12*POWER(1+Control!$B$18,F$4-1),0)</f>
        <v/>
      </c>
      <c r="G23" s="8">
        <f>IF(Control!$B$5&gt;0,Control!$B$51*12*POWER(1+Control!$B$18,G$4-1),0)</f>
        <v/>
      </c>
      <c r="H23" s="8">
        <f>IF(Control!$B$5&gt;0,Control!$B$51*12*POWER(1+Control!$B$18,H$4-1),0)</f>
        <v/>
      </c>
      <c r="I23" s="8">
        <f>IF(Control!$B$5&gt;0,Control!$B$51*12*POWER(1+Control!$B$18,I$4-1),0)</f>
        <v/>
      </c>
      <c r="J23" s="8">
        <f>IF(Control!$B$5&gt;0,Control!$B$51*12*POWER(1+Control!$B$18,J$4-1),0)</f>
        <v/>
      </c>
      <c r="K23" s="8">
        <f>IF(Control!$B$5&gt;0,Control!$B$51*12*POWER(1+Control!$B$18,K$4-1),0)</f>
        <v/>
      </c>
      <c r="L23" s="8">
        <f>IF(Control!$B$5&gt;0,Control!$B$51*12*POWER(1+Control!$B$18,L$4-1),0)</f>
        <v/>
      </c>
      <c r="M23" s="8">
        <f>IF(Control!$B$5&gt;0,Control!$B$51*12*POWER(1+Control!$B$18,M$4-1),0)</f>
        <v/>
      </c>
      <c r="N23" s="8">
        <f>IF(Control!$B$5&gt;0,Control!$B$51*12*POWER(1+Control!$B$18,N$4-1),0)</f>
        <v/>
      </c>
      <c r="O23" s="8">
        <f>IF(Control!$B$5&gt;0,Control!$B$51*12*POWER(1+Control!$B$18,O$4-1),0)</f>
        <v/>
      </c>
      <c r="P23" s="8">
        <f>IF(Control!$B$5&gt;0,Control!$B$51*12*POWER(1+Control!$B$18,P$4-1),0)</f>
        <v/>
      </c>
      <c r="Q23" s="8">
        <f>IF(Control!$B$5&gt;0,Control!$B$51*12*POWER(1+Control!$B$18,Q$4-1),0)</f>
        <v/>
      </c>
      <c r="R23" s="8">
        <f>IF(Control!$B$5&gt;0,Control!$B$51*12*POWER(1+Control!$B$18,R$4-1),0)</f>
        <v/>
      </c>
      <c r="S23" s="8">
        <f>IF(Control!$B$5&gt;0,Control!$B$51*12*POWER(1+Control!$B$18,S$4-1),0)</f>
        <v/>
      </c>
      <c r="T23" s="8">
        <f>IF(Control!$B$5&gt;0,Control!$B$51*12*POWER(1+Control!$B$18,T$4-1),0)</f>
        <v/>
      </c>
      <c r="U23" s="8">
        <f>IF(Control!$B$5&gt;0,Control!$B$51*12*POWER(1+Control!$B$18,U$4-1),0)</f>
        <v/>
      </c>
      <c r="V23" s="8">
        <f>IF(Control!$B$5&gt;0,Control!$B$51*12*POWER(1+Control!$B$18,V$4-1),0)</f>
        <v/>
      </c>
    </row>
    <row r="24">
      <c r="A24" t="inlineStr">
        <is>
          <t>FF&amp;E / capex reserve</t>
        </is>
      </c>
      <c r="C24" s="8">
        <f>C10*Control!$B$26</f>
        <v/>
      </c>
      <c r="D24" s="8">
        <f>D10*Control!$B$26</f>
        <v/>
      </c>
      <c r="E24" s="8">
        <f>E10*Control!$B$26</f>
        <v/>
      </c>
      <c r="F24" s="8">
        <f>F10*Control!$B$26</f>
        <v/>
      </c>
      <c r="G24" s="8">
        <f>G10*Control!$B$26</f>
        <v/>
      </c>
      <c r="H24" s="8">
        <f>H10*Control!$B$26</f>
        <v/>
      </c>
      <c r="I24" s="8">
        <f>I10*Control!$B$26</f>
        <v/>
      </c>
      <c r="J24" s="8">
        <f>J10*Control!$B$26</f>
        <v/>
      </c>
      <c r="K24" s="8">
        <f>K10*Control!$B$26</f>
        <v/>
      </c>
      <c r="L24" s="8">
        <f>L10*Control!$B$26</f>
        <v/>
      </c>
      <c r="M24" s="8">
        <f>M10*Control!$B$26</f>
        <v/>
      </c>
      <c r="N24" s="8">
        <f>N10*Control!$B$26</f>
        <v/>
      </c>
      <c r="O24" s="8">
        <f>O10*Control!$B$26</f>
        <v/>
      </c>
      <c r="P24" s="8">
        <f>P10*Control!$B$26</f>
        <v/>
      </c>
      <c r="Q24" s="8">
        <f>Q10*Control!$B$26</f>
        <v/>
      </c>
      <c r="R24" s="8">
        <f>R10*Control!$B$26</f>
        <v/>
      </c>
      <c r="S24" s="8">
        <f>S10*Control!$B$26</f>
        <v/>
      </c>
      <c r="T24" s="8">
        <f>T10*Control!$B$26</f>
        <v/>
      </c>
      <c r="U24" s="8">
        <f>U10*Control!$B$26</f>
        <v/>
      </c>
      <c r="V24" s="8">
        <f>V10*Control!$B$26</f>
        <v/>
      </c>
    </row>
    <row r="25">
      <c r="A25" s="2" t="inlineStr">
        <is>
          <t>TOTAL EXPENSES</t>
        </is>
      </c>
      <c r="C25" s="5">
        <f>SUM(C17:C24)</f>
        <v/>
      </c>
      <c r="D25" s="5">
        <f>SUM(D17:D24)</f>
        <v/>
      </c>
      <c r="E25" s="5">
        <f>SUM(E17:E24)</f>
        <v/>
      </c>
      <c r="F25" s="5">
        <f>SUM(F17:F24)</f>
        <v/>
      </c>
      <c r="G25" s="5">
        <f>SUM(G17:G24)</f>
        <v/>
      </c>
      <c r="H25" s="5">
        <f>SUM(H17:H24)</f>
        <v/>
      </c>
      <c r="I25" s="5">
        <f>SUM(I17:I24)</f>
        <v/>
      </c>
      <c r="J25" s="5">
        <f>SUM(J17:J24)</f>
        <v/>
      </c>
      <c r="K25" s="5">
        <f>SUM(K17:K24)</f>
        <v/>
      </c>
      <c r="L25" s="5">
        <f>SUM(L17:L24)</f>
        <v/>
      </c>
      <c r="M25" s="5">
        <f>SUM(M17:M24)</f>
        <v/>
      </c>
      <c r="N25" s="5">
        <f>SUM(N17:N24)</f>
        <v/>
      </c>
      <c r="O25" s="5">
        <f>SUM(O17:O24)</f>
        <v/>
      </c>
      <c r="P25" s="5">
        <f>SUM(P17:P24)</f>
        <v/>
      </c>
      <c r="Q25" s="5">
        <f>SUM(Q17:Q24)</f>
        <v/>
      </c>
      <c r="R25" s="5">
        <f>SUM(R17:R24)</f>
        <v/>
      </c>
      <c r="S25" s="5">
        <f>SUM(S17:S24)</f>
        <v/>
      </c>
      <c r="T25" s="5">
        <f>SUM(T17:T24)</f>
        <v/>
      </c>
      <c r="U25" s="5">
        <f>SUM(U17:U24)</f>
        <v/>
      </c>
      <c r="V25" s="5">
        <f>SUM(V17:V24)</f>
        <v/>
      </c>
    </row>
    <row r="26">
      <c r="A26" s="11" t="inlineStr">
        <is>
          <t>NET OPERATING INCOME (NOI, pre-tax)</t>
        </is>
      </c>
      <c r="C26" s="12">
        <f>C15-C25</f>
        <v/>
      </c>
      <c r="D26" s="12">
        <f>D15-D25</f>
        <v/>
      </c>
      <c r="E26" s="12">
        <f>E15-E25</f>
        <v/>
      </c>
      <c r="F26" s="12">
        <f>F15-F25</f>
        <v/>
      </c>
      <c r="G26" s="12">
        <f>G15-G25</f>
        <v/>
      </c>
      <c r="H26" s="12">
        <f>H15-H25</f>
        <v/>
      </c>
      <c r="I26" s="12">
        <f>I15-I25</f>
        <v/>
      </c>
      <c r="J26" s="12">
        <f>J15-J25</f>
        <v/>
      </c>
      <c r="K26" s="12">
        <f>K15-K25</f>
        <v/>
      </c>
      <c r="L26" s="12">
        <f>L15-L25</f>
        <v/>
      </c>
      <c r="M26" s="12">
        <f>M15-M25</f>
        <v/>
      </c>
      <c r="N26" s="12">
        <f>N15-N25</f>
        <v/>
      </c>
      <c r="O26" s="12">
        <f>O15-O25</f>
        <v/>
      </c>
      <c r="P26" s="12">
        <f>P15-P25</f>
        <v/>
      </c>
      <c r="Q26" s="12">
        <f>Q15-Q25</f>
        <v/>
      </c>
      <c r="R26" s="12">
        <f>R15-R25</f>
        <v/>
      </c>
      <c r="S26" s="12">
        <f>S15-S25</f>
        <v/>
      </c>
      <c r="T26" s="12">
        <f>T15-T25</f>
        <v/>
      </c>
      <c r="U26" s="12">
        <f>U15-U25</f>
        <v/>
      </c>
      <c r="V26" s="12">
        <f>V15-V25</f>
        <v/>
      </c>
    </row>
    <row r="27">
      <c r="A27" t="inlineStr">
        <is>
          <t>Income tax</t>
        </is>
      </c>
      <c r="C27" s="8">
        <f>-C26*Control!$B$23</f>
        <v/>
      </c>
      <c r="D27" s="8">
        <f>-D26*Control!$B$23</f>
        <v/>
      </c>
      <c r="E27" s="8">
        <f>-E26*Control!$B$23</f>
        <v/>
      </c>
      <c r="F27" s="8">
        <f>-F26*Control!$B$23</f>
        <v/>
      </c>
      <c r="G27" s="8">
        <f>-G26*Control!$B$23</f>
        <v/>
      </c>
      <c r="H27" s="8">
        <f>-H26*Control!$B$23</f>
        <v/>
      </c>
      <c r="I27" s="8">
        <f>-I26*Control!$B$23</f>
        <v/>
      </c>
      <c r="J27" s="8">
        <f>-J26*Control!$B$23</f>
        <v/>
      </c>
      <c r="K27" s="8">
        <f>-K26*Control!$B$23</f>
        <v/>
      </c>
      <c r="L27" s="8">
        <f>-L26*Control!$B$23</f>
        <v/>
      </c>
      <c r="M27" s="8">
        <f>-M26*Control!$B$23</f>
        <v/>
      </c>
      <c r="N27" s="8">
        <f>-N26*Control!$B$23</f>
        <v/>
      </c>
      <c r="O27" s="8">
        <f>-O26*Control!$B$23</f>
        <v/>
      </c>
      <c r="P27" s="8">
        <f>-P26*Control!$B$23</f>
        <v/>
      </c>
      <c r="Q27" s="8">
        <f>-Q26*Control!$B$23</f>
        <v/>
      </c>
      <c r="R27" s="8">
        <f>-R26*Control!$B$23</f>
        <v/>
      </c>
      <c r="S27" s="8">
        <f>-S26*Control!$B$23</f>
        <v/>
      </c>
      <c r="T27" s="8">
        <f>-T26*Control!$B$23</f>
        <v/>
      </c>
      <c r="U27" s="8">
        <f>-U26*Control!$B$23</f>
        <v/>
      </c>
      <c r="V27" s="8">
        <f>-V26*Control!$B$23</f>
        <v/>
      </c>
    </row>
    <row r="28">
      <c r="A28" s="11" t="inlineStr">
        <is>
          <t>NET PROFIT AFTER TAX</t>
        </is>
      </c>
      <c r="C28" s="12">
        <f>C26+C27</f>
        <v/>
      </c>
      <c r="D28" s="12">
        <f>D26+D27</f>
        <v/>
      </c>
      <c r="E28" s="12">
        <f>E26+E27</f>
        <v/>
      </c>
      <c r="F28" s="12">
        <f>F26+F27</f>
        <v/>
      </c>
      <c r="G28" s="12">
        <f>G26+G27</f>
        <v/>
      </c>
      <c r="H28" s="12">
        <f>H26+H27</f>
        <v/>
      </c>
      <c r="I28" s="12">
        <f>I26+I27</f>
        <v/>
      </c>
      <c r="J28" s="12">
        <f>J26+J27</f>
        <v/>
      </c>
      <c r="K28" s="12">
        <f>K26+K27</f>
        <v/>
      </c>
      <c r="L28" s="12">
        <f>L26+L27</f>
        <v/>
      </c>
      <c r="M28" s="12">
        <f>M26+M27</f>
        <v/>
      </c>
      <c r="N28" s="12">
        <f>N26+N27</f>
        <v/>
      </c>
      <c r="O28" s="12">
        <f>O26+O27</f>
        <v/>
      </c>
      <c r="P28" s="12">
        <f>P26+P27</f>
        <v/>
      </c>
      <c r="Q28" s="12">
        <f>Q26+Q27</f>
        <v/>
      </c>
      <c r="R28" s="12">
        <f>R26+R27</f>
        <v/>
      </c>
      <c r="S28" s="12">
        <f>S26+S27</f>
        <v/>
      </c>
      <c r="T28" s="12">
        <f>T26+T27</f>
        <v/>
      </c>
      <c r="U28" s="12">
        <f>U26+U27</f>
        <v/>
      </c>
      <c r="V28" s="12">
        <f>V26+V27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9BC2E6"/>
    <outlinePr summaryBelow="1" summaryRight="1"/>
    <pageSetUpPr/>
  </sheetPr>
  <dimension ref="A1:V18"/>
  <sheetViews>
    <sheetView workbookViewId="0">
      <selection activeCell="A2" sqref="A2:XFD2"/>
    </sheetView>
  </sheetViews>
  <sheetFormatPr baseColWidth="8" defaultRowHeight="14.4"/>
  <cols>
    <col width="79.44140625" bestFit="1" customWidth="1" style="313" min="1" max="1"/>
    <col width="8.109375" bestFit="1" customWidth="1" style="313" min="3" max="15"/>
    <col width="8.88671875" bestFit="1" customWidth="1" style="313" min="16" max="22"/>
  </cols>
  <sheetData>
    <row r="1" ht="18" customHeight="1" s="313">
      <c r="A1" s="1" t="inlineStr">
        <is>
          <t>BEACHSIDE ESCAPE — P&amp;L (annual, 20-year)</t>
        </is>
      </c>
    </row>
    <row r="2">
      <c r="A2" s="303" t="inlineStr">
        <is>
          <t>Big Bay. 10 months long-term + Dec/Jan peak nightly (90% occupancy). After reserve, after tax.</t>
        </is>
      </c>
    </row>
    <row r="3"/>
    <row r="4">
      <c r="A4" s="2" t="inlineStr">
        <is>
          <t>Year</t>
        </is>
      </c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6" t="n">
        <v>9</v>
      </c>
      <c r="L4" s="6" t="n">
        <v>10</v>
      </c>
      <c r="M4" s="6" t="n">
        <v>11</v>
      </c>
      <c r="N4" s="6" t="n">
        <v>12</v>
      </c>
      <c r="O4" s="6" t="n">
        <v>13</v>
      </c>
      <c r="P4" s="6" t="n">
        <v>14</v>
      </c>
      <c r="Q4" s="6" t="n">
        <v>15</v>
      </c>
      <c r="R4" s="6" t="n">
        <v>16</v>
      </c>
      <c r="S4" s="6" t="n">
        <v>17</v>
      </c>
      <c r="T4" s="6" t="n">
        <v>18</v>
      </c>
      <c r="U4" s="6" t="n">
        <v>19</v>
      </c>
      <c r="V4" s="6" t="n">
        <v>20</v>
      </c>
    </row>
    <row r="5"/>
    <row r="6">
      <c r="A6" t="inlineStr">
        <is>
          <t>Long-term rental income</t>
        </is>
      </c>
      <c r="C6" s="8">
        <f>IF(Control!$B$7&gt;0,Control!$B$54*Control!$B$55*POWER(1+Control!$B$17,C$4-1),0)</f>
        <v/>
      </c>
      <c r="D6" s="8">
        <f>IF(Control!$B$7&gt;0,Control!$B$54*Control!$B$55*POWER(1+Control!$B$17,D$4-1),0)</f>
        <v/>
      </c>
      <c r="E6" s="8">
        <f>IF(Control!$B$7&gt;0,Control!$B$54*Control!$B$55*POWER(1+Control!$B$17,E$4-1),0)</f>
        <v/>
      </c>
      <c r="F6" s="8">
        <f>IF(Control!$B$7&gt;0,Control!$B$54*Control!$B$55*POWER(1+Control!$B$17,F$4-1),0)</f>
        <v/>
      </c>
      <c r="G6" s="8">
        <f>IF(Control!$B$7&gt;0,Control!$B$54*Control!$B$55*POWER(1+Control!$B$17,G$4-1),0)</f>
        <v/>
      </c>
      <c r="H6" s="8">
        <f>IF(Control!$B$7&gt;0,Control!$B$54*Control!$B$55*POWER(1+Control!$B$17,H$4-1),0)</f>
        <v/>
      </c>
      <c r="I6" s="8">
        <f>IF(Control!$B$7&gt;0,Control!$B$54*Control!$B$55*POWER(1+Control!$B$17,I$4-1),0)</f>
        <v/>
      </c>
      <c r="J6" s="8">
        <f>IF(Control!$B$7&gt;0,Control!$B$54*Control!$B$55*POWER(1+Control!$B$17,J$4-1),0)</f>
        <v/>
      </c>
      <c r="K6" s="8">
        <f>IF(Control!$B$7&gt;0,Control!$B$54*Control!$B$55*POWER(1+Control!$B$17,K$4-1),0)</f>
        <v/>
      </c>
      <c r="L6" s="8">
        <f>IF(Control!$B$7&gt;0,Control!$B$54*Control!$B$55*POWER(1+Control!$B$17,L$4-1),0)</f>
        <v/>
      </c>
      <c r="M6" s="8">
        <f>IF(Control!$B$7&gt;0,Control!$B$54*Control!$B$55*POWER(1+Control!$B$17,M$4-1),0)</f>
        <v/>
      </c>
      <c r="N6" s="8">
        <f>IF(Control!$B$7&gt;0,Control!$B$54*Control!$B$55*POWER(1+Control!$B$17,N$4-1),0)</f>
        <v/>
      </c>
      <c r="O6" s="8">
        <f>IF(Control!$B$7&gt;0,Control!$B$54*Control!$B$55*POWER(1+Control!$B$17,O$4-1),0)</f>
        <v/>
      </c>
      <c r="P6" s="8">
        <f>IF(Control!$B$7&gt;0,Control!$B$54*Control!$B$55*POWER(1+Control!$B$17,P$4-1),0)</f>
        <v/>
      </c>
      <c r="Q6" s="8">
        <f>IF(Control!$B$7&gt;0,Control!$B$54*Control!$B$55*POWER(1+Control!$B$17,Q$4-1),0)</f>
        <v/>
      </c>
      <c r="R6" s="8">
        <f>IF(Control!$B$7&gt;0,Control!$B$54*Control!$B$55*POWER(1+Control!$B$17,R$4-1),0)</f>
        <v/>
      </c>
      <c r="S6" s="8">
        <f>IF(Control!$B$7&gt;0,Control!$B$54*Control!$B$55*POWER(1+Control!$B$17,S$4-1),0)</f>
        <v/>
      </c>
      <c r="T6" s="8">
        <f>IF(Control!$B$7&gt;0,Control!$B$54*Control!$B$55*POWER(1+Control!$B$17,T$4-1),0)</f>
        <v/>
      </c>
      <c r="U6" s="8">
        <f>IF(Control!$B$7&gt;0,Control!$B$54*Control!$B$55*POWER(1+Control!$B$17,U$4-1),0)</f>
        <v/>
      </c>
      <c r="V6" s="8">
        <f>IF(Control!$B$7&gt;0,Control!$B$54*Control!$B$55*POWER(1+Control!$B$17,V$4-1),0)</f>
        <v/>
      </c>
    </row>
    <row r="7">
      <c r="A7" t="inlineStr">
        <is>
          <t>Peak nightly income (Dec+Jan)</t>
        </is>
      </c>
      <c r="C7" s="8">
        <f>IF(Control!$B$7&gt;0,Control!$B$56*Control!$B$57*Control!$B$58*Control!$B$59*POWER(1+Control!$B$17,C$4-1),0)</f>
        <v/>
      </c>
      <c r="D7" s="8">
        <f>IF(Control!$B$7&gt;0,Control!$B$56*Control!$B$57*Control!$B$58*Control!$B$59*POWER(1+Control!$B$17,D$4-1),0)</f>
        <v/>
      </c>
      <c r="E7" s="8">
        <f>IF(Control!$B$7&gt;0,Control!$B$56*Control!$B$57*Control!$B$58*Control!$B$59*POWER(1+Control!$B$17,E$4-1),0)</f>
        <v/>
      </c>
      <c r="F7" s="8">
        <f>IF(Control!$B$7&gt;0,Control!$B$56*Control!$B$57*Control!$B$58*Control!$B$59*POWER(1+Control!$B$17,F$4-1),0)</f>
        <v/>
      </c>
      <c r="G7" s="8">
        <f>IF(Control!$B$7&gt;0,Control!$B$56*Control!$B$57*Control!$B$58*Control!$B$59*POWER(1+Control!$B$17,G$4-1),0)</f>
        <v/>
      </c>
      <c r="H7" s="8">
        <f>IF(Control!$B$7&gt;0,Control!$B$56*Control!$B$57*Control!$B$58*Control!$B$59*POWER(1+Control!$B$17,H$4-1),0)</f>
        <v/>
      </c>
      <c r="I7" s="8">
        <f>IF(Control!$B$7&gt;0,Control!$B$56*Control!$B$57*Control!$B$58*Control!$B$59*POWER(1+Control!$B$17,I$4-1),0)</f>
        <v/>
      </c>
      <c r="J7" s="8">
        <f>IF(Control!$B$7&gt;0,Control!$B$56*Control!$B$57*Control!$B$58*Control!$B$59*POWER(1+Control!$B$17,J$4-1),0)</f>
        <v/>
      </c>
      <c r="K7" s="8">
        <f>IF(Control!$B$7&gt;0,Control!$B$56*Control!$B$57*Control!$B$58*Control!$B$59*POWER(1+Control!$B$17,K$4-1),0)</f>
        <v/>
      </c>
      <c r="L7" s="8">
        <f>IF(Control!$B$7&gt;0,Control!$B$56*Control!$B$57*Control!$B$58*Control!$B$59*POWER(1+Control!$B$17,L$4-1),0)</f>
        <v/>
      </c>
      <c r="M7" s="8">
        <f>IF(Control!$B$7&gt;0,Control!$B$56*Control!$B$57*Control!$B$58*Control!$B$59*POWER(1+Control!$B$17,M$4-1),0)</f>
        <v/>
      </c>
      <c r="N7" s="8">
        <f>IF(Control!$B$7&gt;0,Control!$B$56*Control!$B$57*Control!$B$58*Control!$B$59*POWER(1+Control!$B$17,N$4-1),0)</f>
        <v/>
      </c>
      <c r="O7" s="8">
        <f>IF(Control!$B$7&gt;0,Control!$B$56*Control!$B$57*Control!$B$58*Control!$B$59*POWER(1+Control!$B$17,O$4-1),0)</f>
        <v/>
      </c>
      <c r="P7" s="8">
        <f>IF(Control!$B$7&gt;0,Control!$B$56*Control!$B$57*Control!$B$58*Control!$B$59*POWER(1+Control!$B$17,P$4-1),0)</f>
        <v/>
      </c>
      <c r="Q7" s="8">
        <f>IF(Control!$B$7&gt;0,Control!$B$56*Control!$B$57*Control!$B$58*Control!$B$59*POWER(1+Control!$B$17,Q$4-1),0)</f>
        <v/>
      </c>
      <c r="R7" s="8">
        <f>IF(Control!$B$7&gt;0,Control!$B$56*Control!$B$57*Control!$B$58*Control!$B$59*POWER(1+Control!$B$17,R$4-1),0)</f>
        <v/>
      </c>
      <c r="S7" s="8">
        <f>IF(Control!$B$7&gt;0,Control!$B$56*Control!$B$57*Control!$B$58*Control!$B$59*POWER(1+Control!$B$17,S$4-1),0)</f>
        <v/>
      </c>
      <c r="T7" s="8">
        <f>IF(Control!$B$7&gt;0,Control!$B$56*Control!$B$57*Control!$B$58*Control!$B$59*POWER(1+Control!$B$17,T$4-1),0)</f>
        <v/>
      </c>
      <c r="U7" s="8">
        <f>IF(Control!$B$7&gt;0,Control!$B$56*Control!$B$57*Control!$B$58*Control!$B$59*POWER(1+Control!$B$17,U$4-1),0)</f>
        <v/>
      </c>
      <c r="V7" s="8">
        <f>IF(Control!$B$7&gt;0,Control!$B$56*Control!$B$57*Control!$B$58*Control!$B$59*POWER(1+Control!$B$17,V$4-1),0)</f>
        <v/>
      </c>
    </row>
    <row r="8">
      <c r="A8" s="9" t="inlineStr">
        <is>
          <t>GROSS REVENUE</t>
        </is>
      </c>
      <c r="C8" s="10">
        <f>SUM(C6:C7)</f>
        <v/>
      </c>
      <c r="D8" s="10">
        <f>SUM(D6:D7)</f>
        <v/>
      </c>
      <c r="E8" s="10">
        <f>SUM(E6:E7)</f>
        <v/>
      </c>
      <c r="F8" s="10">
        <f>SUM(F6:F7)</f>
        <v/>
      </c>
      <c r="G8" s="10">
        <f>SUM(G6:G7)</f>
        <v/>
      </c>
      <c r="H8" s="10">
        <f>SUM(H6:H7)</f>
        <v/>
      </c>
      <c r="I8" s="10">
        <f>SUM(I6:I7)</f>
        <v/>
      </c>
      <c r="J8" s="10">
        <f>SUM(J6:J7)</f>
        <v/>
      </c>
      <c r="K8" s="10">
        <f>SUM(K6:K7)</f>
        <v/>
      </c>
      <c r="L8" s="10">
        <f>SUM(L6:L7)</f>
        <v/>
      </c>
      <c r="M8" s="10">
        <f>SUM(M6:M7)</f>
        <v/>
      </c>
      <c r="N8" s="10">
        <f>SUM(N6:N7)</f>
        <v/>
      </c>
      <c r="O8" s="10">
        <f>SUM(O6:O7)</f>
        <v/>
      </c>
      <c r="P8" s="10">
        <f>SUM(P6:P7)</f>
        <v/>
      </c>
      <c r="Q8" s="10">
        <f>SUM(Q6:Q7)</f>
        <v/>
      </c>
      <c r="R8" s="10">
        <f>SUM(R6:R7)</f>
        <v/>
      </c>
      <c r="S8" s="10">
        <f>SUM(S6:S7)</f>
        <v/>
      </c>
      <c r="T8" s="10">
        <f>SUM(T6:T7)</f>
        <v/>
      </c>
      <c r="U8" s="10">
        <f>SUM(U6:U7)</f>
        <v/>
      </c>
      <c r="V8" s="10">
        <f>SUM(V6:V7)</f>
        <v/>
      </c>
    </row>
    <row r="9">
      <c r="A9" s="2" t="inlineStr">
        <is>
          <t>OPERATING EXPENSES</t>
        </is>
      </c>
    </row>
    <row r="10">
      <c r="A10" t="inlineStr">
        <is>
          <t>Channel commission (nightly only)</t>
        </is>
      </c>
      <c r="C10" s="8">
        <f>C7*Control!$B$60</f>
        <v/>
      </c>
      <c r="D10" s="8">
        <f>D7*Control!$B$60</f>
        <v/>
      </c>
      <c r="E10" s="8">
        <f>E7*Control!$B$60</f>
        <v/>
      </c>
      <c r="F10" s="8">
        <f>F7*Control!$B$60</f>
        <v/>
      </c>
      <c r="G10" s="8">
        <f>G7*Control!$B$60</f>
        <v/>
      </c>
      <c r="H10" s="8">
        <f>H7*Control!$B$60</f>
        <v/>
      </c>
      <c r="I10" s="8">
        <f>I7*Control!$B$60</f>
        <v/>
      </c>
      <c r="J10" s="8">
        <f>J7*Control!$B$60</f>
        <v/>
      </c>
      <c r="K10" s="8">
        <f>K7*Control!$B$60</f>
        <v/>
      </c>
      <c r="L10" s="8">
        <f>L7*Control!$B$60</f>
        <v/>
      </c>
      <c r="M10" s="8">
        <f>M7*Control!$B$60</f>
        <v/>
      </c>
      <c r="N10" s="8">
        <f>N7*Control!$B$60</f>
        <v/>
      </c>
      <c r="O10" s="8">
        <f>O7*Control!$B$60</f>
        <v/>
      </c>
      <c r="P10" s="8">
        <f>P7*Control!$B$60</f>
        <v/>
      </c>
      <c r="Q10" s="8">
        <f>Q7*Control!$B$60</f>
        <v/>
      </c>
      <c r="R10" s="8">
        <f>R7*Control!$B$60</f>
        <v/>
      </c>
      <c r="S10" s="8">
        <f>S7*Control!$B$60</f>
        <v/>
      </c>
      <c r="T10" s="8">
        <f>T7*Control!$B$60</f>
        <v/>
      </c>
      <c r="U10" s="8">
        <f>U7*Control!$B$60</f>
        <v/>
      </c>
      <c r="V10" s="8">
        <f>V7*Control!$B$60</f>
        <v/>
      </c>
    </row>
    <row r="11">
      <c r="A11" t="inlineStr">
        <is>
          <t>Utilities &amp; municipal</t>
        </is>
      </c>
      <c r="C11" s="8">
        <f>IF(Control!$B$7&gt;0,Control!$B$61*12*POWER(1+Control!$B$18,C$4-1),0)</f>
        <v/>
      </c>
      <c r="D11" s="8">
        <f>IF(Control!$B$7&gt;0,Control!$B$61*12*POWER(1+Control!$B$18,D$4-1),0)</f>
        <v/>
      </c>
      <c r="E11" s="8">
        <f>IF(Control!$B$7&gt;0,Control!$B$61*12*POWER(1+Control!$B$18,E$4-1),0)</f>
        <v/>
      </c>
      <c r="F11" s="8">
        <f>IF(Control!$B$7&gt;0,Control!$B$61*12*POWER(1+Control!$B$18,F$4-1),0)</f>
        <v/>
      </c>
      <c r="G11" s="8">
        <f>IF(Control!$B$7&gt;0,Control!$B$61*12*POWER(1+Control!$B$18,G$4-1),0)</f>
        <v/>
      </c>
      <c r="H11" s="8">
        <f>IF(Control!$B$7&gt;0,Control!$B$61*12*POWER(1+Control!$B$18,H$4-1),0)</f>
        <v/>
      </c>
      <c r="I11" s="8">
        <f>IF(Control!$B$7&gt;0,Control!$B$61*12*POWER(1+Control!$B$18,I$4-1),0)</f>
        <v/>
      </c>
      <c r="J11" s="8">
        <f>IF(Control!$B$7&gt;0,Control!$B$61*12*POWER(1+Control!$B$18,J$4-1),0)</f>
        <v/>
      </c>
      <c r="K11" s="8">
        <f>IF(Control!$B$7&gt;0,Control!$B$61*12*POWER(1+Control!$B$18,K$4-1),0)</f>
        <v/>
      </c>
      <c r="L11" s="8">
        <f>IF(Control!$B$7&gt;0,Control!$B$61*12*POWER(1+Control!$B$18,L$4-1),0)</f>
        <v/>
      </c>
      <c r="M11" s="8">
        <f>IF(Control!$B$7&gt;0,Control!$B$61*12*POWER(1+Control!$B$18,M$4-1),0)</f>
        <v/>
      </c>
      <c r="N11" s="8">
        <f>IF(Control!$B$7&gt;0,Control!$B$61*12*POWER(1+Control!$B$18,N$4-1),0)</f>
        <v/>
      </c>
      <c r="O11" s="8">
        <f>IF(Control!$B$7&gt;0,Control!$B$61*12*POWER(1+Control!$B$18,O$4-1),0)</f>
        <v/>
      </c>
      <c r="P11" s="8">
        <f>IF(Control!$B$7&gt;0,Control!$B$61*12*POWER(1+Control!$B$18,P$4-1),0)</f>
        <v/>
      </c>
      <c r="Q11" s="8">
        <f>IF(Control!$B$7&gt;0,Control!$B$61*12*POWER(1+Control!$B$18,Q$4-1),0)</f>
        <v/>
      </c>
      <c r="R11" s="8">
        <f>IF(Control!$B$7&gt;0,Control!$B$61*12*POWER(1+Control!$B$18,R$4-1),0)</f>
        <v/>
      </c>
      <c r="S11" s="8">
        <f>IF(Control!$B$7&gt;0,Control!$B$61*12*POWER(1+Control!$B$18,S$4-1),0)</f>
        <v/>
      </c>
      <c r="T11" s="8">
        <f>IF(Control!$B$7&gt;0,Control!$B$61*12*POWER(1+Control!$B$18,T$4-1),0)</f>
        <v/>
      </c>
      <c r="U11" s="8">
        <f>IF(Control!$B$7&gt;0,Control!$B$61*12*POWER(1+Control!$B$18,U$4-1),0)</f>
        <v/>
      </c>
      <c r="V11" s="8">
        <f>IF(Control!$B$7&gt;0,Control!$B$61*12*POWER(1+Control!$B$18,V$4-1),0)</f>
        <v/>
      </c>
    </row>
    <row r="12">
      <c r="A12" t="inlineStr">
        <is>
          <t>Repairs &amp; maintenance</t>
        </is>
      </c>
      <c r="C12" s="8">
        <f>IF(Control!$B$7&gt;0,Control!$B$62*12*POWER(1+Control!$B$18,C$4-1),0)</f>
        <v/>
      </c>
      <c r="D12" s="8">
        <f>IF(Control!$B$7&gt;0,Control!$B$62*12*POWER(1+Control!$B$18,D$4-1),0)</f>
        <v/>
      </c>
      <c r="E12" s="8">
        <f>IF(Control!$B$7&gt;0,Control!$B$62*12*POWER(1+Control!$B$18,E$4-1),0)</f>
        <v/>
      </c>
      <c r="F12" s="8">
        <f>IF(Control!$B$7&gt;0,Control!$B$62*12*POWER(1+Control!$B$18,F$4-1),0)</f>
        <v/>
      </c>
      <c r="G12" s="8">
        <f>IF(Control!$B$7&gt;0,Control!$B$62*12*POWER(1+Control!$B$18,G$4-1),0)</f>
        <v/>
      </c>
      <c r="H12" s="8">
        <f>IF(Control!$B$7&gt;0,Control!$B$62*12*POWER(1+Control!$B$18,H$4-1),0)</f>
        <v/>
      </c>
      <c r="I12" s="8">
        <f>IF(Control!$B$7&gt;0,Control!$B$62*12*POWER(1+Control!$B$18,I$4-1),0)</f>
        <v/>
      </c>
      <c r="J12" s="8">
        <f>IF(Control!$B$7&gt;0,Control!$B$62*12*POWER(1+Control!$B$18,J$4-1),0)</f>
        <v/>
      </c>
      <c r="K12" s="8">
        <f>IF(Control!$B$7&gt;0,Control!$B$62*12*POWER(1+Control!$B$18,K$4-1),0)</f>
        <v/>
      </c>
      <c r="L12" s="8">
        <f>IF(Control!$B$7&gt;0,Control!$B$62*12*POWER(1+Control!$B$18,L$4-1),0)</f>
        <v/>
      </c>
      <c r="M12" s="8">
        <f>IF(Control!$B$7&gt;0,Control!$B$62*12*POWER(1+Control!$B$18,M$4-1),0)</f>
        <v/>
      </c>
      <c r="N12" s="8">
        <f>IF(Control!$B$7&gt;0,Control!$B$62*12*POWER(1+Control!$B$18,N$4-1),0)</f>
        <v/>
      </c>
      <c r="O12" s="8">
        <f>IF(Control!$B$7&gt;0,Control!$B$62*12*POWER(1+Control!$B$18,O$4-1),0)</f>
        <v/>
      </c>
      <c r="P12" s="8">
        <f>IF(Control!$B$7&gt;0,Control!$B$62*12*POWER(1+Control!$B$18,P$4-1),0)</f>
        <v/>
      </c>
      <c r="Q12" s="8">
        <f>IF(Control!$B$7&gt;0,Control!$B$62*12*POWER(1+Control!$B$18,Q$4-1),0)</f>
        <v/>
      </c>
      <c r="R12" s="8">
        <f>IF(Control!$B$7&gt;0,Control!$B$62*12*POWER(1+Control!$B$18,R$4-1),0)</f>
        <v/>
      </c>
      <c r="S12" s="8">
        <f>IF(Control!$B$7&gt;0,Control!$B$62*12*POWER(1+Control!$B$18,S$4-1),0)</f>
        <v/>
      </c>
      <c r="T12" s="8">
        <f>IF(Control!$B$7&gt;0,Control!$B$62*12*POWER(1+Control!$B$18,T$4-1),0)</f>
        <v/>
      </c>
      <c r="U12" s="8">
        <f>IF(Control!$B$7&gt;0,Control!$B$62*12*POWER(1+Control!$B$18,U$4-1),0)</f>
        <v/>
      </c>
      <c r="V12" s="8">
        <f>IF(Control!$B$7&gt;0,Control!$B$62*12*POWER(1+Control!$B$18,V$4-1),0)</f>
        <v/>
      </c>
    </row>
    <row r="13">
      <c r="A13" t="inlineStr">
        <is>
          <t>Levies</t>
        </is>
      </c>
      <c r="C13" s="8">
        <f>IF(Control!$B$7&gt;0,Control!$B$63*12*POWER(1+Control!$B$18,C$4-1),0)</f>
        <v/>
      </c>
      <c r="D13" s="8">
        <f>IF(Control!$B$7&gt;0,Control!$B$63*12*POWER(1+Control!$B$18,D$4-1),0)</f>
        <v/>
      </c>
      <c r="E13" s="8">
        <f>IF(Control!$B$7&gt;0,Control!$B$63*12*POWER(1+Control!$B$18,E$4-1),0)</f>
        <v/>
      </c>
      <c r="F13" s="8">
        <f>IF(Control!$B$7&gt;0,Control!$B$63*12*POWER(1+Control!$B$18,F$4-1),0)</f>
        <v/>
      </c>
      <c r="G13" s="8">
        <f>IF(Control!$B$7&gt;0,Control!$B$63*12*POWER(1+Control!$B$18,G$4-1),0)</f>
        <v/>
      </c>
      <c r="H13" s="8">
        <f>IF(Control!$B$7&gt;0,Control!$B$63*12*POWER(1+Control!$B$18,H$4-1),0)</f>
        <v/>
      </c>
      <c r="I13" s="8">
        <f>IF(Control!$B$7&gt;0,Control!$B$63*12*POWER(1+Control!$B$18,I$4-1),0)</f>
        <v/>
      </c>
      <c r="J13" s="8">
        <f>IF(Control!$B$7&gt;0,Control!$B$63*12*POWER(1+Control!$B$18,J$4-1),0)</f>
        <v/>
      </c>
      <c r="K13" s="8">
        <f>IF(Control!$B$7&gt;0,Control!$B$63*12*POWER(1+Control!$B$18,K$4-1),0)</f>
        <v/>
      </c>
      <c r="L13" s="8">
        <f>IF(Control!$B$7&gt;0,Control!$B$63*12*POWER(1+Control!$B$18,L$4-1),0)</f>
        <v/>
      </c>
      <c r="M13" s="8">
        <f>IF(Control!$B$7&gt;0,Control!$B$63*12*POWER(1+Control!$B$18,M$4-1),0)</f>
        <v/>
      </c>
      <c r="N13" s="8">
        <f>IF(Control!$B$7&gt;0,Control!$B$63*12*POWER(1+Control!$B$18,N$4-1),0)</f>
        <v/>
      </c>
      <c r="O13" s="8">
        <f>IF(Control!$B$7&gt;0,Control!$B$63*12*POWER(1+Control!$B$18,O$4-1),0)</f>
        <v/>
      </c>
      <c r="P13" s="8">
        <f>IF(Control!$B$7&gt;0,Control!$B$63*12*POWER(1+Control!$B$18,P$4-1),0)</f>
        <v/>
      </c>
      <c r="Q13" s="8">
        <f>IF(Control!$B$7&gt;0,Control!$B$63*12*POWER(1+Control!$B$18,Q$4-1),0)</f>
        <v/>
      </c>
      <c r="R13" s="8">
        <f>IF(Control!$B$7&gt;0,Control!$B$63*12*POWER(1+Control!$B$18,R$4-1),0)</f>
        <v/>
      </c>
      <c r="S13" s="8">
        <f>IF(Control!$B$7&gt;0,Control!$B$63*12*POWER(1+Control!$B$18,S$4-1),0)</f>
        <v/>
      </c>
      <c r="T13" s="8">
        <f>IF(Control!$B$7&gt;0,Control!$B$63*12*POWER(1+Control!$B$18,T$4-1),0)</f>
        <v/>
      </c>
      <c r="U13" s="8">
        <f>IF(Control!$B$7&gt;0,Control!$B$63*12*POWER(1+Control!$B$18,U$4-1),0)</f>
        <v/>
      </c>
      <c r="V13" s="8">
        <f>IF(Control!$B$7&gt;0,Control!$B$63*12*POWER(1+Control!$B$18,V$4-1),0)</f>
        <v/>
      </c>
    </row>
    <row r="14">
      <c r="A14" t="inlineStr">
        <is>
          <t>FF&amp;E / capex reserve</t>
        </is>
      </c>
      <c r="C14" s="8">
        <f>C8*Control!$B$26</f>
        <v/>
      </c>
      <c r="D14" s="8">
        <f>D8*Control!$B$26</f>
        <v/>
      </c>
      <c r="E14" s="8">
        <f>E8*Control!$B$26</f>
        <v/>
      </c>
      <c r="F14" s="8">
        <f>F8*Control!$B$26</f>
        <v/>
      </c>
      <c r="G14" s="8">
        <f>G8*Control!$B$26</f>
        <v/>
      </c>
      <c r="H14" s="8">
        <f>H8*Control!$B$26</f>
        <v/>
      </c>
      <c r="I14" s="8">
        <f>I8*Control!$B$26</f>
        <v/>
      </c>
      <c r="J14" s="8">
        <f>J8*Control!$B$26</f>
        <v/>
      </c>
      <c r="K14" s="8">
        <f>K8*Control!$B$26</f>
        <v/>
      </c>
      <c r="L14" s="8">
        <f>L8*Control!$B$26</f>
        <v/>
      </c>
      <c r="M14" s="8">
        <f>M8*Control!$B$26</f>
        <v/>
      </c>
      <c r="N14" s="8">
        <f>N8*Control!$B$26</f>
        <v/>
      </c>
      <c r="O14" s="8">
        <f>O8*Control!$B$26</f>
        <v/>
      </c>
      <c r="P14" s="8">
        <f>P8*Control!$B$26</f>
        <v/>
      </c>
      <c r="Q14" s="8">
        <f>Q8*Control!$B$26</f>
        <v/>
      </c>
      <c r="R14" s="8">
        <f>R8*Control!$B$26</f>
        <v/>
      </c>
      <c r="S14" s="8">
        <f>S8*Control!$B$26</f>
        <v/>
      </c>
      <c r="T14" s="8">
        <f>T8*Control!$B$26</f>
        <v/>
      </c>
      <c r="U14" s="8">
        <f>U8*Control!$B$26</f>
        <v/>
      </c>
      <c r="V14" s="8">
        <f>V8*Control!$B$26</f>
        <v/>
      </c>
    </row>
    <row r="15">
      <c r="A15" s="2" t="inlineStr">
        <is>
          <t>TOTAL EXPENSES</t>
        </is>
      </c>
      <c r="C15" s="5">
        <f>SUM(C10:C14)</f>
        <v/>
      </c>
      <c r="D15" s="5">
        <f>SUM(D10:D14)</f>
        <v/>
      </c>
      <c r="E15" s="5">
        <f>SUM(E10:E14)</f>
        <v/>
      </c>
      <c r="F15" s="5">
        <f>SUM(F10:F14)</f>
        <v/>
      </c>
      <c r="G15" s="5">
        <f>SUM(G10:G14)</f>
        <v/>
      </c>
      <c r="H15" s="5">
        <f>SUM(H10:H14)</f>
        <v/>
      </c>
      <c r="I15" s="5">
        <f>SUM(I10:I14)</f>
        <v/>
      </c>
      <c r="J15" s="5">
        <f>SUM(J10:J14)</f>
        <v/>
      </c>
      <c r="K15" s="5">
        <f>SUM(K10:K14)</f>
        <v/>
      </c>
      <c r="L15" s="5">
        <f>SUM(L10:L14)</f>
        <v/>
      </c>
      <c r="M15" s="5">
        <f>SUM(M10:M14)</f>
        <v/>
      </c>
      <c r="N15" s="5">
        <f>SUM(N10:N14)</f>
        <v/>
      </c>
      <c r="O15" s="5">
        <f>SUM(O10:O14)</f>
        <v/>
      </c>
      <c r="P15" s="5">
        <f>SUM(P10:P14)</f>
        <v/>
      </c>
      <c r="Q15" s="5">
        <f>SUM(Q10:Q14)</f>
        <v/>
      </c>
      <c r="R15" s="5">
        <f>SUM(R10:R14)</f>
        <v/>
      </c>
      <c r="S15" s="5">
        <f>SUM(S10:S14)</f>
        <v/>
      </c>
      <c r="T15" s="5">
        <f>SUM(T10:T14)</f>
        <v/>
      </c>
      <c r="U15" s="5">
        <f>SUM(U10:U14)</f>
        <v/>
      </c>
      <c r="V15" s="5">
        <f>SUM(V10:V14)</f>
        <v/>
      </c>
    </row>
    <row r="16">
      <c r="A16" s="11" t="inlineStr">
        <is>
          <t>NET OPERATING INCOME (NOI, pre-tax)</t>
        </is>
      </c>
      <c r="C16" s="12">
        <f>C8-C15</f>
        <v/>
      </c>
      <c r="D16" s="12">
        <f>D8-D15</f>
        <v/>
      </c>
      <c r="E16" s="12">
        <f>E8-E15</f>
        <v/>
      </c>
      <c r="F16" s="12">
        <f>F8-F15</f>
        <v/>
      </c>
      <c r="G16" s="12">
        <f>G8-G15</f>
        <v/>
      </c>
      <c r="H16" s="12">
        <f>H8-H15</f>
        <v/>
      </c>
      <c r="I16" s="12">
        <f>I8-I15</f>
        <v/>
      </c>
      <c r="J16" s="12">
        <f>J8-J15</f>
        <v/>
      </c>
      <c r="K16" s="12">
        <f>K8-K15</f>
        <v/>
      </c>
      <c r="L16" s="12">
        <f>L8-L15</f>
        <v/>
      </c>
      <c r="M16" s="12">
        <f>M8-M15</f>
        <v/>
      </c>
      <c r="N16" s="12">
        <f>N8-N15</f>
        <v/>
      </c>
      <c r="O16" s="12">
        <f>O8-O15</f>
        <v/>
      </c>
      <c r="P16" s="12">
        <f>P8-P15</f>
        <v/>
      </c>
      <c r="Q16" s="12">
        <f>Q8-Q15</f>
        <v/>
      </c>
      <c r="R16" s="12">
        <f>R8-R15</f>
        <v/>
      </c>
      <c r="S16" s="12">
        <f>S8-S15</f>
        <v/>
      </c>
      <c r="T16" s="12">
        <f>T8-T15</f>
        <v/>
      </c>
      <c r="U16" s="12">
        <f>U8-U15</f>
        <v/>
      </c>
      <c r="V16" s="12">
        <f>V8-V15</f>
        <v/>
      </c>
    </row>
    <row r="17">
      <c r="A17" t="inlineStr">
        <is>
          <t>Income tax</t>
        </is>
      </c>
      <c r="C17" s="8">
        <f>-C16*Control!$B$23</f>
        <v/>
      </c>
      <c r="D17" s="8">
        <f>-D16*Control!$B$23</f>
        <v/>
      </c>
      <c r="E17" s="8">
        <f>-E16*Control!$B$23</f>
        <v/>
      </c>
      <c r="F17" s="8">
        <f>-F16*Control!$B$23</f>
        <v/>
      </c>
      <c r="G17" s="8">
        <f>-G16*Control!$B$23</f>
        <v/>
      </c>
      <c r="H17" s="8">
        <f>-H16*Control!$B$23</f>
        <v/>
      </c>
      <c r="I17" s="8">
        <f>-I16*Control!$B$23</f>
        <v/>
      </c>
      <c r="J17" s="8">
        <f>-J16*Control!$B$23</f>
        <v/>
      </c>
      <c r="K17" s="8">
        <f>-K16*Control!$B$23</f>
        <v/>
      </c>
      <c r="L17" s="8">
        <f>-L16*Control!$B$23</f>
        <v/>
      </c>
      <c r="M17" s="8">
        <f>-M16*Control!$B$23</f>
        <v/>
      </c>
      <c r="N17" s="8">
        <f>-N16*Control!$B$23</f>
        <v/>
      </c>
      <c r="O17" s="8">
        <f>-O16*Control!$B$23</f>
        <v/>
      </c>
      <c r="P17" s="8">
        <f>-P16*Control!$B$23</f>
        <v/>
      </c>
      <c r="Q17" s="8">
        <f>-Q16*Control!$B$23</f>
        <v/>
      </c>
      <c r="R17" s="8">
        <f>-R16*Control!$B$23</f>
        <v/>
      </c>
      <c r="S17" s="8">
        <f>-S16*Control!$B$23</f>
        <v/>
      </c>
      <c r="T17" s="8">
        <f>-T16*Control!$B$23</f>
        <v/>
      </c>
      <c r="U17" s="8">
        <f>-U16*Control!$B$23</f>
        <v/>
      </c>
      <c r="V17" s="8">
        <f>-V16*Control!$B$23</f>
        <v/>
      </c>
    </row>
    <row r="18">
      <c r="A18" s="11" t="inlineStr">
        <is>
          <t>NET PROFIT AFTER TAX</t>
        </is>
      </c>
      <c r="C18" s="12">
        <f>C16+C17</f>
        <v/>
      </c>
      <c r="D18" s="12">
        <f>D16+D17</f>
        <v/>
      </c>
      <c r="E18" s="12">
        <f>E16+E17</f>
        <v/>
      </c>
      <c r="F18" s="12">
        <f>F16+F17</f>
        <v/>
      </c>
      <c r="G18" s="12">
        <f>G16+G17</f>
        <v/>
      </c>
      <c r="H18" s="12">
        <f>H16+H17</f>
        <v/>
      </c>
      <c r="I18" s="12">
        <f>I16+I17</f>
        <v/>
      </c>
      <c r="J18" s="12">
        <f>J16+J17</f>
        <v/>
      </c>
      <c r="K18" s="12">
        <f>K16+K17</f>
        <v/>
      </c>
      <c r="L18" s="12">
        <f>L16+L17</f>
        <v/>
      </c>
      <c r="M18" s="12">
        <f>M16+M17</f>
        <v/>
      </c>
      <c r="N18" s="12">
        <f>N16+N17</f>
        <v/>
      </c>
      <c r="O18" s="12">
        <f>O16+O17</f>
        <v/>
      </c>
      <c r="P18" s="12">
        <f>P16+P17</f>
        <v/>
      </c>
      <c r="Q18" s="12">
        <f>Q16+Q17</f>
        <v/>
      </c>
      <c r="R18" s="12">
        <f>R16+R17</f>
        <v/>
      </c>
      <c r="S18" s="12">
        <f>S16+S17</f>
        <v/>
      </c>
      <c r="T18" s="12">
        <f>T16+T17</f>
        <v/>
      </c>
      <c r="U18" s="12">
        <f>U16+U17</f>
        <v/>
      </c>
      <c r="V18" s="12">
        <f>V16+V17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BC2E6"/>
    <outlinePr summaryBelow="1" summaryRight="1"/>
    <pageSetUpPr/>
  </sheetPr>
  <dimension ref="A1:V15"/>
  <sheetViews>
    <sheetView workbookViewId="0">
      <selection activeCell="C13" sqref="C13"/>
    </sheetView>
  </sheetViews>
  <sheetFormatPr baseColWidth="8" defaultRowHeight="14.4"/>
  <cols>
    <col width="48.44140625" bestFit="1" customWidth="1" style="313" min="1" max="1"/>
    <col width="7.44140625" bestFit="1" customWidth="1" style="313" min="3" max="10"/>
    <col width="8.109375" bestFit="1" customWidth="1" style="313" min="11" max="22"/>
  </cols>
  <sheetData>
    <row r="1" ht="18" customHeight="1" s="313">
      <c r="A1" s="1" t="inlineStr">
        <is>
          <t>MENLYN MAIN — P&amp;L (annual, 20-year)</t>
        </is>
      </c>
    </row>
    <row r="2">
      <c r="A2" s="306" t="inlineStr">
        <is>
          <t>Long-term residential rental only. After reserve, after tax.</t>
        </is>
      </c>
    </row>
    <row r="3"/>
    <row r="4">
      <c r="A4" s="2" t="inlineStr">
        <is>
          <t>Year</t>
        </is>
      </c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6" t="n">
        <v>9</v>
      </c>
      <c r="L4" s="6" t="n">
        <v>10</v>
      </c>
      <c r="M4" s="6" t="n">
        <v>11</v>
      </c>
      <c r="N4" s="6" t="n">
        <v>12</v>
      </c>
      <c r="O4" s="6" t="n">
        <v>13</v>
      </c>
      <c r="P4" s="6" t="n">
        <v>14</v>
      </c>
      <c r="Q4" s="6" t="n">
        <v>15</v>
      </c>
      <c r="R4" s="6" t="n">
        <v>16</v>
      </c>
      <c r="S4" s="6" t="n">
        <v>17</v>
      </c>
      <c r="T4" s="6" t="n">
        <v>18</v>
      </c>
      <c r="U4" s="6" t="n">
        <v>19</v>
      </c>
      <c r="V4" s="6" t="n">
        <v>20</v>
      </c>
    </row>
    <row r="5"/>
    <row r="6">
      <c r="A6" s="9" t="inlineStr">
        <is>
          <t>GROSS REVENUE (rental)</t>
        </is>
      </c>
      <c r="C6" s="10">
        <f>IF(Control!$B$8&gt;0,Control!$B$65*12*POWER(1+Control!$B$17,C$4-1),0)</f>
        <v/>
      </c>
      <c r="D6" s="10">
        <f>IF(Control!$B$8&gt;0,Control!$B$65*12*POWER(1+Control!$B$17,D$4-1),0)</f>
        <v/>
      </c>
      <c r="E6" s="10">
        <f>IF(Control!$B$8&gt;0,Control!$B$65*12*POWER(1+Control!$B$17,E$4-1),0)</f>
        <v/>
      </c>
      <c r="F6" s="10">
        <f>IF(Control!$B$8&gt;0,Control!$B$65*12*POWER(1+Control!$B$17,F$4-1),0)</f>
        <v/>
      </c>
      <c r="G6" s="10">
        <f>IF(Control!$B$8&gt;0,Control!$B$65*12*POWER(1+Control!$B$17,G$4-1),0)</f>
        <v/>
      </c>
      <c r="H6" s="10">
        <f>IF(Control!$B$8&gt;0,Control!$B$65*12*POWER(1+Control!$B$17,H$4-1),0)</f>
        <v/>
      </c>
      <c r="I6" s="10">
        <f>IF(Control!$B$8&gt;0,Control!$B$65*12*POWER(1+Control!$B$17,I$4-1),0)</f>
        <v/>
      </c>
      <c r="J6" s="10">
        <f>IF(Control!$B$8&gt;0,Control!$B$65*12*POWER(1+Control!$B$17,J$4-1),0)</f>
        <v/>
      </c>
      <c r="K6" s="10">
        <f>IF(Control!$B$8&gt;0,Control!$B$65*12*POWER(1+Control!$B$17,K$4-1),0)</f>
        <v/>
      </c>
      <c r="L6" s="10">
        <f>IF(Control!$B$8&gt;0,Control!$B$65*12*POWER(1+Control!$B$17,L$4-1),0)</f>
        <v/>
      </c>
      <c r="M6" s="10">
        <f>IF(Control!$B$8&gt;0,Control!$B$65*12*POWER(1+Control!$B$17,M$4-1),0)</f>
        <v/>
      </c>
      <c r="N6" s="10">
        <f>IF(Control!$B$8&gt;0,Control!$B$65*12*POWER(1+Control!$B$17,N$4-1),0)</f>
        <v/>
      </c>
      <c r="O6" s="10">
        <f>IF(Control!$B$8&gt;0,Control!$B$65*12*POWER(1+Control!$B$17,O$4-1),0)</f>
        <v/>
      </c>
      <c r="P6" s="10">
        <f>IF(Control!$B$8&gt;0,Control!$B$65*12*POWER(1+Control!$B$17,P$4-1),0)</f>
        <v/>
      </c>
      <c r="Q6" s="10">
        <f>IF(Control!$B$8&gt;0,Control!$B$65*12*POWER(1+Control!$B$17,Q$4-1),0)</f>
        <v/>
      </c>
      <c r="R6" s="10">
        <f>IF(Control!$B$8&gt;0,Control!$B$65*12*POWER(1+Control!$B$17,R$4-1),0)</f>
        <v/>
      </c>
      <c r="S6" s="10">
        <f>IF(Control!$B$8&gt;0,Control!$B$65*12*POWER(1+Control!$B$17,S$4-1),0)</f>
        <v/>
      </c>
      <c r="T6" s="10">
        <f>IF(Control!$B$8&gt;0,Control!$B$65*12*POWER(1+Control!$B$17,T$4-1),0)</f>
        <v/>
      </c>
      <c r="U6" s="10">
        <f>IF(Control!$B$8&gt;0,Control!$B$65*12*POWER(1+Control!$B$17,U$4-1),0)</f>
        <v/>
      </c>
      <c r="V6" s="10">
        <f>IF(Control!$B$8&gt;0,Control!$B$65*12*POWER(1+Control!$B$17,V$4-1),0)</f>
        <v/>
      </c>
    </row>
    <row r="7">
      <c r="A7" s="2" t="inlineStr">
        <is>
          <t>OPERATING EXPENSES</t>
        </is>
      </c>
    </row>
    <row r="8">
      <c r="A8" t="inlineStr">
        <is>
          <t>Utilities &amp; municipal</t>
        </is>
      </c>
      <c r="C8" s="8">
        <f>IF(Control!$B$8&gt;0,Control!$B$66*12*POWER(1+Control!$B$18,C$4-1),0)</f>
        <v/>
      </c>
      <c r="D8" s="8">
        <f>IF(Control!$B$8&gt;0,Control!$B$66*12*POWER(1+Control!$B$18,D$4-1),0)</f>
        <v/>
      </c>
      <c r="E8" s="8">
        <f>IF(Control!$B$8&gt;0,Control!$B$66*12*POWER(1+Control!$B$18,E$4-1),0)</f>
        <v/>
      </c>
      <c r="F8" s="8">
        <f>IF(Control!$B$8&gt;0,Control!$B$66*12*POWER(1+Control!$B$18,F$4-1),0)</f>
        <v/>
      </c>
      <c r="G8" s="8">
        <f>IF(Control!$B$8&gt;0,Control!$B$66*12*POWER(1+Control!$B$18,G$4-1),0)</f>
        <v/>
      </c>
      <c r="H8" s="8">
        <f>IF(Control!$B$8&gt;0,Control!$B$66*12*POWER(1+Control!$B$18,H$4-1),0)</f>
        <v/>
      </c>
      <c r="I8" s="8">
        <f>IF(Control!$B$8&gt;0,Control!$B$66*12*POWER(1+Control!$B$18,I$4-1),0)</f>
        <v/>
      </c>
      <c r="J8" s="8">
        <f>IF(Control!$B$8&gt;0,Control!$B$66*12*POWER(1+Control!$B$18,J$4-1),0)</f>
        <v/>
      </c>
      <c r="K8" s="8">
        <f>IF(Control!$B$8&gt;0,Control!$B$66*12*POWER(1+Control!$B$18,K$4-1),0)</f>
        <v/>
      </c>
      <c r="L8" s="8">
        <f>IF(Control!$B$8&gt;0,Control!$B$66*12*POWER(1+Control!$B$18,L$4-1),0)</f>
        <v/>
      </c>
      <c r="M8" s="8">
        <f>IF(Control!$B$8&gt;0,Control!$B$66*12*POWER(1+Control!$B$18,M$4-1),0)</f>
        <v/>
      </c>
      <c r="N8" s="8">
        <f>IF(Control!$B$8&gt;0,Control!$B$66*12*POWER(1+Control!$B$18,N$4-1),0)</f>
        <v/>
      </c>
      <c r="O8" s="8">
        <f>IF(Control!$B$8&gt;0,Control!$B$66*12*POWER(1+Control!$B$18,O$4-1),0)</f>
        <v/>
      </c>
      <c r="P8" s="8">
        <f>IF(Control!$B$8&gt;0,Control!$B$66*12*POWER(1+Control!$B$18,P$4-1),0)</f>
        <v/>
      </c>
      <c r="Q8" s="8">
        <f>IF(Control!$B$8&gt;0,Control!$B$66*12*POWER(1+Control!$B$18,Q$4-1),0)</f>
        <v/>
      </c>
      <c r="R8" s="8">
        <f>IF(Control!$B$8&gt;0,Control!$B$66*12*POWER(1+Control!$B$18,R$4-1),0)</f>
        <v/>
      </c>
      <c r="S8" s="8">
        <f>IF(Control!$B$8&gt;0,Control!$B$66*12*POWER(1+Control!$B$18,S$4-1),0)</f>
        <v/>
      </c>
      <c r="T8" s="8">
        <f>IF(Control!$B$8&gt;0,Control!$B$66*12*POWER(1+Control!$B$18,T$4-1),0)</f>
        <v/>
      </c>
      <c r="U8" s="8">
        <f>IF(Control!$B$8&gt;0,Control!$B$66*12*POWER(1+Control!$B$18,U$4-1),0)</f>
        <v/>
      </c>
      <c r="V8" s="8">
        <f>IF(Control!$B$8&gt;0,Control!$B$66*12*POWER(1+Control!$B$18,V$4-1),0)</f>
        <v/>
      </c>
    </row>
    <row r="9">
      <c r="A9" t="inlineStr">
        <is>
          <t>Repairs &amp; maintenance</t>
        </is>
      </c>
      <c r="C9" s="8">
        <f>IF(Control!$B$8&gt;0,Control!$B$67*12*POWER(1+Control!$B$18,C$4-1),0)</f>
        <v/>
      </c>
      <c r="D9" s="8">
        <f>IF(Control!$B$8&gt;0,Control!$B$67*12*POWER(1+Control!$B$18,D$4-1),0)</f>
        <v/>
      </c>
      <c r="E9" s="8">
        <f>IF(Control!$B$8&gt;0,Control!$B$67*12*POWER(1+Control!$B$18,E$4-1),0)</f>
        <v/>
      </c>
      <c r="F9" s="8">
        <f>IF(Control!$B$8&gt;0,Control!$B$67*12*POWER(1+Control!$B$18,F$4-1),0)</f>
        <v/>
      </c>
      <c r="G9" s="8">
        <f>IF(Control!$B$8&gt;0,Control!$B$67*12*POWER(1+Control!$B$18,G$4-1),0)</f>
        <v/>
      </c>
      <c r="H9" s="8">
        <f>IF(Control!$B$8&gt;0,Control!$B$67*12*POWER(1+Control!$B$18,H$4-1),0)</f>
        <v/>
      </c>
      <c r="I9" s="8">
        <f>IF(Control!$B$8&gt;0,Control!$B$67*12*POWER(1+Control!$B$18,I$4-1),0)</f>
        <v/>
      </c>
      <c r="J9" s="8">
        <f>IF(Control!$B$8&gt;0,Control!$B$67*12*POWER(1+Control!$B$18,J$4-1),0)</f>
        <v/>
      </c>
      <c r="K9" s="8">
        <f>IF(Control!$B$8&gt;0,Control!$B$67*12*POWER(1+Control!$B$18,K$4-1),0)</f>
        <v/>
      </c>
      <c r="L9" s="8">
        <f>IF(Control!$B$8&gt;0,Control!$B$67*12*POWER(1+Control!$B$18,L$4-1),0)</f>
        <v/>
      </c>
      <c r="M9" s="8">
        <f>IF(Control!$B$8&gt;0,Control!$B$67*12*POWER(1+Control!$B$18,M$4-1),0)</f>
        <v/>
      </c>
      <c r="N9" s="8">
        <f>IF(Control!$B$8&gt;0,Control!$B$67*12*POWER(1+Control!$B$18,N$4-1),0)</f>
        <v/>
      </c>
      <c r="O9" s="8">
        <f>IF(Control!$B$8&gt;0,Control!$B$67*12*POWER(1+Control!$B$18,O$4-1),0)</f>
        <v/>
      </c>
      <c r="P9" s="8">
        <f>IF(Control!$B$8&gt;0,Control!$B$67*12*POWER(1+Control!$B$18,P$4-1),0)</f>
        <v/>
      </c>
      <c r="Q9" s="8">
        <f>IF(Control!$B$8&gt;0,Control!$B$67*12*POWER(1+Control!$B$18,Q$4-1),0)</f>
        <v/>
      </c>
      <c r="R9" s="8">
        <f>IF(Control!$B$8&gt;0,Control!$B$67*12*POWER(1+Control!$B$18,R$4-1),0)</f>
        <v/>
      </c>
      <c r="S9" s="8">
        <f>IF(Control!$B$8&gt;0,Control!$B$67*12*POWER(1+Control!$B$18,S$4-1),0)</f>
        <v/>
      </c>
      <c r="T9" s="8">
        <f>IF(Control!$B$8&gt;0,Control!$B$67*12*POWER(1+Control!$B$18,T$4-1),0)</f>
        <v/>
      </c>
      <c r="U9" s="8">
        <f>IF(Control!$B$8&gt;0,Control!$B$67*12*POWER(1+Control!$B$18,U$4-1),0)</f>
        <v/>
      </c>
      <c r="V9" s="8">
        <f>IF(Control!$B$8&gt;0,Control!$B$67*12*POWER(1+Control!$B$18,V$4-1),0)</f>
        <v/>
      </c>
    </row>
    <row r="10">
      <c r="A10" t="inlineStr">
        <is>
          <t>Levies / rates</t>
        </is>
      </c>
      <c r="C10" s="8">
        <f>IF(Control!$B$8&gt;0,Control!$B$68*12*POWER(1+Control!$B$18,C$4-1),0)</f>
        <v/>
      </c>
      <c r="D10" s="8">
        <f>IF(Control!$B$8&gt;0,Control!$B$68*12*POWER(1+Control!$B$18,D$4-1),0)</f>
        <v/>
      </c>
      <c r="E10" s="8">
        <f>IF(Control!$B$8&gt;0,Control!$B$68*12*POWER(1+Control!$B$18,E$4-1),0)</f>
        <v/>
      </c>
      <c r="F10" s="8">
        <f>IF(Control!$B$8&gt;0,Control!$B$68*12*POWER(1+Control!$B$18,F$4-1),0)</f>
        <v/>
      </c>
      <c r="G10" s="8">
        <f>IF(Control!$B$8&gt;0,Control!$B$68*12*POWER(1+Control!$B$18,G$4-1),0)</f>
        <v/>
      </c>
      <c r="H10" s="8">
        <f>IF(Control!$B$8&gt;0,Control!$B$68*12*POWER(1+Control!$B$18,H$4-1),0)</f>
        <v/>
      </c>
      <c r="I10" s="8">
        <f>IF(Control!$B$8&gt;0,Control!$B$68*12*POWER(1+Control!$B$18,I$4-1),0)</f>
        <v/>
      </c>
      <c r="J10" s="8">
        <f>IF(Control!$B$8&gt;0,Control!$B$68*12*POWER(1+Control!$B$18,J$4-1),0)</f>
        <v/>
      </c>
      <c r="K10" s="8">
        <f>IF(Control!$B$8&gt;0,Control!$B$68*12*POWER(1+Control!$B$18,K$4-1),0)</f>
        <v/>
      </c>
      <c r="L10" s="8">
        <f>IF(Control!$B$8&gt;0,Control!$B$68*12*POWER(1+Control!$B$18,L$4-1),0)</f>
        <v/>
      </c>
      <c r="M10" s="8">
        <f>IF(Control!$B$8&gt;0,Control!$B$68*12*POWER(1+Control!$B$18,M$4-1),0)</f>
        <v/>
      </c>
      <c r="N10" s="8">
        <f>IF(Control!$B$8&gt;0,Control!$B$68*12*POWER(1+Control!$B$18,N$4-1),0)</f>
        <v/>
      </c>
      <c r="O10" s="8">
        <f>IF(Control!$B$8&gt;0,Control!$B$68*12*POWER(1+Control!$B$18,O$4-1),0)</f>
        <v/>
      </c>
      <c r="P10" s="8">
        <f>IF(Control!$B$8&gt;0,Control!$B$68*12*POWER(1+Control!$B$18,P$4-1),0)</f>
        <v/>
      </c>
      <c r="Q10" s="8">
        <f>IF(Control!$B$8&gt;0,Control!$B$68*12*POWER(1+Control!$B$18,Q$4-1),0)</f>
        <v/>
      </c>
      <c r="R10" s="8">
        <f>IF(Control!$B$8&gt;0,Control!$B$68*12*POWER(1+Control!$B$18,R$4-1),0)</f>
        <v/>
      </c>
      <c r="S10" s="8">
        <f>IF(Control!$B$8&gt;0,Control!$B$68*12*POWER(1+Control!$B$18,S$4-1),0)</f>
        <v/>
      </c>
      <c r="T10" s="8">
        <f>IF(Control!$B$8&gt;0,Control!$B$68*12*POWER(1+Control!$B$18,T$4-1),0)</f>
        <v/>
      </c>
      <c r="U10" s="8">
        <f>IF(Control!$B$8&gt;0,Control!$B$68*12*POWER(1+Control!$B$18,U$4-1),0)</f>
        <v/>
      </c>
      <c r="V10" s="8">
        <f>IF(Control!$B$8&gt;0,Control!$B$68*12*POWER(1+Control!$B$18,V$4-1),0)</f>
        <v/>
      </c>
    </row>
    <row r="11">
      <c r="A11" t="inlineStr">
        <is>
          <t>FF&amp;E / capex reserve</t>
        </is>
      </c>
      <c r="C11" s="8">
        <f>C6*Control!$B$26</f>
        <v/>
      </c>
      <c r="D11" s="8">
        <f>D6*Control!$B$26</f>
        <v/>
      </c>
      <c r="E11" s="8">
        <f>E6*Control!$B$26</f>
        <v/>
      </c>
      <c r="F11" s="8">
        <f>F6*Control!$B$26</f>
        <v/>
      </c>
      <c r="G11" s="8">
        <f>G6*Control!$B$26</f>
        <v/>
      </c>
      <c r="H11" s="8">
        <f>H6*Control!$B$26</f>
        <v/>
      </c>
      <c r="I11" s="8">
        <f>I6*Control!$B$26</f>
        <v/>
      </c>
      <c r="J11" s="8">
        <f>J6*Control!$B$26</f>
        <v/>
      </c>
      <c r="K11" s="8">
        <f>K6*Control!$B$26</f>
        <v/>
      </c>
      <c r="L11" s="8">
        <f>L6*Control!$B$26</f>
        <v/>
      </c>
      <c r="M11" s="8">
        <f>M6*Control!$B$26</f>
        <v/>
      </c>
      <c r="N11" s="8">
        <f>N6*Control!$B$26</f>
        <v/>
      </c>
      <c r="O11" s="8">
        <f>O6*Control!$B$26</f>
        <v/>
      </c>
      <c r="P11" s="8">
        <f>P6*Control!$B$26</f>
        <v/>
      </c>
      <c r="Q11" s="8">
        <f>Q6*Control!$B$26</f>
        <v/>
      </c>
      <c r="R11" s="8">
        <f>R6*Control!$B$26</f>
        <v/>
      </c>
      <c r="S11" s="8">
        <f>S6*Control!$B$26</f>
        <v/>
      </c>
      <c r="T11" s="8">
        <f>T6*Control!$B$26</f>
        <v/>
      </c>
      <c r="U11" s="8">
        <f>U6*Control!$B$26</f>
        <v/>
      </c>
      <c r="V11" s="8">
        <f>V6*Control!$B$26</f>
        <v/>
      </c>
    </row>
    <row r="12">
      <c r="A12" s="2" t="inlineStr">
        <is>
          <t>TOTAL EXPENSES</t>
        </is>
      </c>
      <c r="C12" s="5">
        <f>SUM(C8:C11)</f>
        <v/>
      </c>
      <c r="D12" s="5">
        <f>SUM(D8:D11)</f>
        <v/>
      </c>
      <c r="E12" s="5">
        <f>SUM(E8:E11)</f>
        <v/>
      </c>
      <c r="F12" s="5">
        <f>SUM(F8:F11)</f>
        <v/>
      </c>
      <c r="G12" s="5">
        <f>SUM(G8:G11)</f>
        <v/>
      </c>
      <c r="H12" s="5">
        <f>SUM(H8:H11)</f>
        <v/>
      </c>
      <c r="I12" s="5">
        <f>SUM(I8:I11)</f>
        <v/>
      </c>
      <c r="J12" s="5">
        <f>SUM(J8:J11)</f>
        <v/>
      </c>
      <c r="K12" s="5">
        <f>SUM(K8:K11)</f>
        <v/>
      </c>
      <c r="L12" s="5">
        <f>SUM(L8:L11)</f>
        <v/>
      </c>
      <c r="M12" s="5">
        <f>SUM(M8:M11)</f>
        <v/>
      </c>
      <c r="N12" s="5">
        <f>SUM(N8:N11)</f>
        <v/>
      </c>
      <c r="O12" s="5">
        <f>SUM(O8:O11)</f>
        <v/>
      </c>
      <c r="P12" s="5">
        <f>SUM(P8:P11)</f>
        <v/>
      </c>
      <c r="Q12" s="5">
        <f>SUM(Q8:Q11)</f>
        <v/>
      </c>
      <c r="R12" s="5">
        <f>SUM(R8:R11)</f>
        <v/>
      </c>
      <c r="S12" s="5">
        <f>SUM(S8:S11)</f>
        <v/>
      </c>
      <c r="T12" s="5">
        <f>SUM(T8:T11)</f>
        <v/>
      </c>
      <c r="U12" s="5">
        <f>SUM(U8:U11)</f>
        <v/>
      </c>
      <c r="V12" s="5">
        <f>SUM(V8:V11)</f>
        <v/>
      </c>
    </row>
    <row r="13">
      <c r="A13" s="11" t="inlineStr">
        <is>
          <t>NET OPERATING INCOME (NOI, pre-tax)</t>
        </is>
      </c>
      <c r="C13" s="12">
        <f>C6-C12</f>
        <v/>
      </c>
      <c r="D13" s="12">
        <f>D6-D12</f>
        <v/>
      </c>
      <c r="E13" s="12">
        <f>E6-E12</f>
        <v/>
      </c>
      <c r="F13" s="12">
        <f>F6-F12</f>
        <v/>
      </c>
      <c r="G13" s="12">
        <f>G6-G12</f>
        <v/>
      </c>
      <c r="H13" s="12">
        <f>H6-H12</f>
        <v/>
      </c>
      <c r="I13" s="12">
        <f>I6-I12</f>
        <v/>
      </c>
      <c r="J13" s="12">
        <f>J6-J12</f>
        <v/>
      </c>
      <c r="K13" s="12">
        <f>K6-K12</f>
        <v/>
      </c>
      <c r="L13" s="12">
        <f>L6-L12</f>
        <v/>
      </c>
      <c r="M13" s="12">
        <f>M6-M12</f>
        <v/>
      </c>
      <c r="N13" s="12">
        <f>N6-N12</f>
        <v/>
      </c>
      <c r="O13" s="12">
        <f>O6-O12</f>
        <v/>
      </c>
      <c r="P13" s="12">
        <f>P6-P12</f>
        <v/>
      </c>
      <c r="Q13" s="12">
        <f>Q6-Q12</f>
        <v/>
      </c>
      <c r="R13" s="12">
        <f>R6-R12</f>
        <v/>
      </c>
      <c r="S13" s="12">
        <f>S6-S12</f>
        <v/>
      </c>
      <c r="T13" s="12">
        <f>T6-T12</f>
        <v/>
      </c>
      <c r="U13" s="12">
        <f>U6-U12</f>
        <v/>
      </c>
      <c r="V13" s="12">
        <f>V6-V12</f>
        <v/>
      </c>
    </row>
    <row r="14">
      <c r="A14" t="inlineStr">
        <is>
          <t>Income tax</t>
        </is>
      </c>
      <c r="C14" s="8">
        <f>-C13*Control!$B$23</f>
        <v/>
      </c>
      <c r="D14" s="8">
        <f>-D13*Control!$B$23</f>
        <v/>
      </c>
      <c r="E14" s="8">
        <f>-E13*Control!$B$23</f>
        <v/>
      </c>
      <c r="F14" s="8">
        <f>-F13*Control!$B$23</f>
        <v/>
      </c>
      <c r="G14" s="8">
        <f>-G13*Control!$B$23</f>
        <v/>
      </c>
      <c r="H14" s="8">
        <f>-H13*Control!$B$23</f>
        <v/>
      </c>
      <c r="I14" s="8">
        <f>-I13*Control!$B$23</f>
        <v/>
      </c>
      <c r="J14" s="8">
        <f>-J13*Control!$B$23</f>
        <v/>
      </c>
      <c r="K14" s="8">
        <f>-K13*Control!$B$23</f>
        <v/>
      </c>
      <c r="L14" s="8">
        <f>-L13*Control!$B$23</f>
        <v/>
      </c>
      <c r="M14" s="8">
        <f>-M13*Control!$B$23</f>
        <v/>
      </c>
      <c r="N14" s="8">
        <f>-N13*Control!$B$23</f>
        <v/>
      </c>
      <c r="O14" s="8">
        <f>-O13*Control!$B$23</f>
        <v/>
      </c>
      <c r="P14" s="8">
        <f>-P13*Control!$B$23</f>
        <v/>
      </c>
      <c r="Q14" s="8">
        <f>-Q13*Control!$B$23</f>
        <v/>
      </c>
      <c r="R14" s="8">
        <f>-R13*Control!$B$23</f>
        <v/>
      </c>
      <c r="S14" s="8">
        <f>-S13*Control!$B$23</f>
        <v/>
      </c>
      <c r="T14" s="8">
        <f>-T13*Control!$B$23</f>
        <v/>
      </c>
      <c r="U14" s="8">
        <f>-U13*Control!$B$23</f>
        <v/>
      </c>
      <c r="V14" s="8">
        <f>-V13*Control!$B$23</f>
        <v/>
      </c>
    </row>
    <row r="15">
      <c r="A15" s="11" t="inlineStr">
        <is>
          <t>NET PROFIT AFTER TAX</t>
        </is>
      </c>
      <c r="C15" s="12">
        <f>C13+C14</f>
        <v/>
      </c>
      <c r="D15" s="12">
        <f>D13+D14</f>
        <v/>
      </c>
      <c r="E15" s="12">
        <f>E13+E14</f>
        <v/>
      </c>
      <c r="F15" s="12">
        <f>F13+F14</f>
        <v/>
      </c>
      <c r="G15" s="12">
        <f>G13+G14</f>
        <v/>
      </c>
      <c r="H15" s="12">
        <f>H13+H14</f>
        <v/>
      </c>
      <c r="I15" s="12">
        <f>I13+I14</f>
        <v/>
      </c>
      <c r="J15" s="12">
        <f>J13+J14</f>
        <v/>
      </c>
      <c r="K15" s="12">
        <f>K13+K14</f>
        <v/>
      </c>
      <c r="L15" s="12">
        <f>L13+L14</f>
        <v/>
      </c>
      <c r="M15" s="12">
        <f>M13+M14</f>
        <v/>
      </c>
      <c r="N15" s="12">
        <f>N13+N14</f>
        <v/>
      </c>
      <c r="O15" s="12">
        <f>O13+O14</f>
        <v/>
      </c>
      <c r="P15" s="12">
        <f>P13+P14</f>
        <v/>
      </c>
      <c r="Q15" s="12">
        <f>Q13+Q14</f>
        <v/>
      </c>
      <c r="R15" s="12">
        <f>R13+R14</f>
        <v/>
      </c>
      <c r="S15" s="12">
        <f>S13+S14</f>
        <v/>
      </c>
      <c r="T15" s="12">
        <f>T13+T14</f>
        <v/>
      </c>
      <c r="U15" s="12">
        <f>U13+U14</f>
        <v/>
      </c>
      <c r="V15" s="12">
        <f>V13+V14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F3864"/>
    <outlinePr summaryBelow="1" summaryRight="1"/>
    <pageSetUpPr/>
  </sheetPr>
  <dimension ref="A1:U27"/>
  <sheetViews>
    <sheetView workbookViewId="0">
      <selection activeCell="A1" sqref="A1:A1048576"/>
    </sheetView>
  </sheetViews>
  <sheetFormatPr baseColWidth="8" defaultRowHeight="14.4"/>
  <cols>
    <col width="128.6640625" bestFit="1" customWidth="1" style="313" min="1" max="1"/>
    <col width="8.88671875" bestFit="1" customWidth="1" style="313" min="2" max="8"/>
    <col width="9.88671875" bestFit="1" customWidth="1" style="313" min="9" max="21"/>
  </cols>
  <sheetData>
    <row r="1" ht="18" customHeight="1" s="313">
      <c r="A1" s="1" t="inlineStr">
        <is>
          <t>PORTFOLIO — NewCo consolidated (20-year)</t>
        </is>
      </c>
    </row>
    <row r="2">
      <c r="A2" s="306" t="inlineStr">
        <is>
          <t>NewCo owns 100% of the three properties. Partner owns 50% of NewCo. Distributions = 50% of after-tax profit, less any capex funded from NewCo cash.</t>
        </is>
      </c>
    </row>
    <row r="3"/>
    <row r="4">
      <c r="A4" s="2" t="inlineStr">
        <is>
          <t>Year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  <c r="N4" s="6" t="n">
        <v>13</v>
      </c>
      <c r="O4" s="6" t="n">
        <v>14</v>
      </c>
      <c r="P4" s="6" t="n">
        <v>15</v>
      </c>
      <c r="Q4" s="6" t="n">
        <v>16</v>
      </c>
      <c r="R4" s="6" t="n">
        <v>17</v>
      </c>
      <c r="S4" s="6" t="n">
        <v>18</v>
      </c>
      <c r="T4" s="6" t="n">
        <v>19</v>
      </c>
      <c r="U4" s="6" t="n">
        <v>20</v>
      </c>
    </row>
    <row r="5"/>
    <row r="6">
      <c r="A6" t="inlineStr">
        <is>
          <t>African Sky NOI</t>
        </is>
      </c>
      <c r="B6" s="8">
        <f>'African Sky P&amp;L'!C26</f>
        <v/>
      </c>
      <c r="C6" s="8">
        <f>'African Sky P&amp;L'!D26</f>
        <v/>
      </c>
      <c r="D6" s="8">
        <f>'African Sky P&amp;L'!E26</f>
        <v/>
      </c>
      <c r="E6" s="8">
        <f>'African Sky P&amp;L'!F26</f>
        <v/>
      </c>
      <c r="F6" s="8">
        <f>'African Sky P&amp;L'!G26</f>
        <v/>
      </c>
      <c r="G6" s="8">
        <f>'African Sky P&amp;L'!H26</f>
        <v/>
      </c>
      <c r="H6" s="8">
        <f>'African Sky P&amp;L'!I26</f>
        <v/>
      </c>
      <c r="I6" s="8">
        <f>'African Sky P&amp;L'!J26</f>
        <v/>
      </c>
      <c r="J6" s="8">
        <f>'African Sky P&amp;L'!K26</f>
        <v/>
      </c>
      <c r="K6" s="8">
        <f>'African Sky P&amp;L'!L26</f>
        <v/>
      </c>
      <c r="L6" s="8">
        <f>'African Sky P&amp;L'!M26</f>
        <v/>
      </c>
      <c r="M6" s="8">
        <f>'African Sky P&amp;L'!N26</f>
        <v/>
      </c>
      <c r="N6" s="8">
        <f>'African Sky P&amp;L'!O26</f>
        <v/>
      </c>
      <c r="O6" s="8">
        <f>'African Sky P&amp;L'!P26</f>
        <v/>
      </c>
      <c r="P6" s="8">
        <f>'African Sky P&amp;L'!Q26</f>
        <v/>
      </c>
      <c r="Q6" s="8">
        <f>'African Sky P&amp;L'!R26</f>
        <v/>
      </c>
      <c r="R6" s="8">
        <f>'African Sky P&amp;L'!S26</f>
        <v/>
      </c>
      <c r="S6" s="8">
        <f>'African Sky P&amp;L'!T26</f>
        <v/>
      </c>
      <c r="T6" s="8">
        <f>'African Sky P&amp;L'!U26</f>
        <v/>
      </c>
      <c r="U6" s="8">
        <f>'African Sky P&amp;L'!V26</f>
        <v/>
      </c>
    </row>
    <row r="7">
      <c r="A7" t="inlineStr">
        <is>
          <t>Beachside NOI</t>
        </is>
      </c>
      <c r="B7" s="8">
        <f>'Beachside P&amp;L'!C16</f>
        <v/>
      </c>
      <c r="C7" s="8">
        <f>'Beachside P&amp;L'!D16</f>
        <v/>
      </c>
      <c r="D7" s="8">
        <f>'Beachside P&amp;L'!E16</f>
        <v/>
      </c>
      <c r="E7" s="8">
        <f>'Beachside P&amp;L'!F16</f>
        <v/>
      </c>
      <c r="F7" s="8">
        <f>'Beachside P&amp;L'!G16</f>
        <v/>
      </c>
      <c r="G7" s="8">
        <f>'Beachside P&amp;L'!H16</f>
        <v/>
      </c>
      <c r="H7" s="8">
        <f>'Beachside P&amp;L'!I16</f>
        <v/>
      </c>
      <c r="I7" s="8">
        <f>'Beachside P&amp;L'!J16</f>
        <v/>
      </c>
      <c r="J7" s="8">
        <f>'Beachside P&amp;L'!K16</f>
        <v/>
      </c>
      <c r="K7" s="8">
        <f>'Beachside P&amp;L'!L16</f>
        <v/>
      </c>
      <c r="L7" s="8">
        <f>'Beachside P&amp;L'!M16</f>
        <v/>
      </c>
      <c r="M7" s="8">
        <f>'Beachside P&amp;L'!N16</f>
        <v/>
      </c>
      <c r="N7" s="8">
        <f>'Beachside P&amp;L'!O16</f>
        <v/>
      </c>
      <c r="O7" s="8">
        <f>'Beachside P&amp;L'!P16</f>
        <v/>
      </c>
      <c r="P7" s="8">
        <f>'Beachside P&amp;L'!Q16</f>
        <v/>
      </c>
      <c r="Q7" s="8">
        <f>'Beachside P&amp;L'!R16</f>
        <v/>
      </c>
      <c r="R7" s="8">
        <f>'Beachside P&amp;L'!S16</f>
        <v/>
      </c>
      <c r="S7" s="8">
        <f>'Beachside P&amp;L'!T16</f>
        <v/>
      </c>
      <c r="T7" s="8">
        <f>'Beachside P&amp;L'!U16</f>
        <v/>
      </c>
      <c r="U7" s="8">
        <f>'Beachside P&amp;L'!V16</f>
        <v/>
      </c>
    </row>
    <row r="8">
      <c r="A8" t="inlineStr">
        <is>
          <t>Menlyn NOI</t>
        </is>
      </c>
      <c r="B8" s="8">
        <f>'Menlyn P&amp;L'!C13</f>
        <v/>
      </c>
      <c r="C8" s="8">
        <f>'Menlyn P&amp;L'!D13</f>
        <v/>
      </c>
      <c r="D8" s="8">
        <f>'Menlyn P&amp;L'!E13</f>
        <v/>
      </c>
      <c r="E8" s="8">
        <f>'Menlyn P&amp;L'!F13</f>
        <v/>
      </c>
      <c r="F8" s="8">
        <f>'Menlyn P&amp;L'!G13</f>
        <v/>
      </c>
      <c r="G8" s="8">
        <f>'Menlyn P&amp;L'!H13</f>
        <v/>
      </c>
      <c r="H8" s="8">
        <f>'Menlyn P&amp;L'!I13</f>
        <v/>
      </c>
      <c r="I8" s="8">
        <f>'Menlyn P&amp;L'!J13</f>
        <v/>
      </c>
      <c r="J8" s="8">
        <f>'Menlyn P&amp;L'!K13</f>
        <v/>
      </c>
      <c r="K8" s="8">
        <f>'Menlyn P&amp;L'!L13</f>
        <v/>
      </c>
      <c r="L8" s="8">
        <f>'Menlyn P&amp;L'!M13</f>
        <v/>
      </c>
      <c r="M8" s="8">
        <f>'Menlyn P&amp;L'!N13</f>
        <v/>
      </c>
      <c r="N8" s="8">
        <f>'Menlyn P&amp;L'!O13</f>
        <v/>
      </c>
      <c r="O8" s="8">
        <f>'Menlyn P&amp;L'!P13</f>
        <v/>
      </c>
      <c r="P8" s="8">
        <f>'Menlyn P&amp;L'!Q13</f>
        <v/>
      </c>
      <c r="Q8" s="8">
        <f>'Menlyn P&amp;L'!R13</f>
        <v/>
      </c>
      <c r="R8" s="8">
        <f>'Menlyn P&amp;L'!S13</f>
        <v/>
      </c>
      <c r="S8" s="8">
        <f>'Menlyn P&amp;L'!T13</f>
        <v/>
      </c>
      <c r="T8" s="8">
        <f>'Menlyn P&amp;L'!U13</f>
        <v/>
      </c>
      <c r="U8" s="8">
        <f>'Menlyn P&amp;L'!V13</f>
        <v/>
      </c>
    </row>
    <row r="9">
      <c r="A9" s="9" t="inlineStr">
        <is>
          <t>PORTFOLIO NOI</t>
        </is>
      </c>
      <c r="B9" s="10">
        <f>SUM(B6:B8)</f>
        <v/>
      </c>
      <c r="C9" s="10">
        <f>SUM(C6:C8)</f>
        <v/>
      </c>
      <c r="D9" s="10">
        <f>SUM(D6:D8)</f>
        <v/>
      </c>
      <c r="E9" s="10">
        <f>SUM(E6:E8)</f>
        <v/>
      </c>
      <c r="F9" s="10">
        <f>SUM(F6:F8)</f>
        <v/>
      </c>
      <c r="G9" s="10">
        <f>SUM(G6:G8)</f>
        <v/>
      </c>
      <c r="H9" s="10">
        <f>SUM(H6:H8)</f>
        <v/>
      </c>
      <c r="I9" s="10">
        <f>SUM(I6:I8)</f>
        <v/>
      </c>
      <c r="J9" s="10">
        <f>SUM(J6:J8)</f>
        <v/>
      </c>
      <c r="K9" s="10">
        <f>SUM(K6:K8)</f>
        <v/>
      </c>
      <c r="L9" s="10">
        <f>SUM(L6:L8)</f>
        <v/>
      </c>
      <c r="M9" s="10">
        <f>SUM(M6:M8)</f>
        <v/>
      </c>
      <c r="N9" s="10">
        <f>SUM(N6:N8)</f>
        <v/>
      </c>
      <c r="O9" s="10">
        <f>SUM(O6:O8)</f>
        <v/>
      </c>
      <c r="P9" s="10">
        <f>SUM(P6:P8)</f>
        <v/>
      </c>
      <c r="Q9" s="10">
        <f>SUM(Q6:Q8)</f>
        <v/>
      </c>
      <c r="R9" s="10">
        <f>SUM(R6:R8)</f>
        <v/>
      </c>
      <c r="S9" s="10">
        <f>SUM(S6:S8)</f>
        <v/>
      </c>
      <c r="T9" s="10">
        <f>SUM(T6:T8)</f>
        <v/>
      </c>
      <c r="U9" s="10">
        <f>SUM(U6:U8)</f>
        <v/>
      </c>
    </row>
    <row r="10">
      <c r="A10" t="inlineStr">
        <is>
          <t>African Sky NPAT</t>
        </is>
      </c>
      <c r="B10" s="8">
        <f>'African Sky P&amp;L'!C28</f>
        <v/>
      </c>
      <c r="C10" s="8">
        <f>'African Sky P&amp;L'!D28</f>
        <v/>
      </c>
      <c r="D10" s="8">
        <f>'African Sky P&amp;L'!E28</f>
        <v/>
      </c>
      <c r="E10" s="8">
        <f>'African Sky P&amp;L'!F28</f>
        <v/>
      </c>
      <c r="F10" s="8">
        <f>'African Sky P&amp;L'!G28</f>
        <v/>
      </c>
      <c r="G10" s="8">
        <f>'African Sky P&amp;L'!H28</f>
        <v/>
      </c>
      <c r="H10" s="8">
        <f>'African Sky P&amp;L'!I28</f>
        <v/>
      </c>
      <c r="I10" s="8">
        <f>'African Sky P&amp;L'!J28</f>
        <v/>
      </c>
      <c r="J10" s="8">
        <f>'African Sky P&amp;L'!K28</f>
        <v/>
      </c>
      <c r="K10" s="8">
        <f>'African Sky P&amp;L'!L28</f>
        <v/>
      </c>
      <c r="L10" s="8">
        <f>'African Sky P&amp;L'!M28</f>
        <v/>
      </c>
      <c r="M10" s="8">
        <f>'African Sky P&amp;L'!N28</f>
        <v/>
      </c>
      <c r="N10" s="8">
        <f>'African Sky P&amp;L'!O28</f>
        <v/>
      </c>
      <c r="O10" s="8">
        <f>'African Sky P&amp;L'!P28</f>
        <v/>
      </c>
      <c r="P10" s="8">
        <f>'African Sky P&amp;L'!Q28</f>
        <v/>
      </c>
      <c r="Q10" s="8">
        <f>'African Sky P&amp;L'!R28</f>
        <v/>
      </c>
      <c r="R10" s="8">
        <f>'African Sky P&amp;L'!S28</f>
        <v/>
      </c>
      <c r="S10" s="8">
        <f>'African Sky P&amp;L'!T28</f>
        <v/>
      </c>
      <c r="T10" s="8">
        <f>'African Sky P&amp;L'!U28</f>
        <v/>
      </c>
      <c r="U10" s="8">
        <f>'African Sky P&amp;L'!V28</f>
        <v/>
      </c>
    </row>
    <row r="11">
      <c r="A11" t="inlineStr">
        <is>
          <t>Beachside NPAT</t>
        </is>
      </c>
      <c r="B11" s="8">
        <f>'Beachside P&amp;L'!C18</f>
        <v/>
      </c>
      <c r="C11" s="8">
        <f>'Beachside P&amp;L'!D18</f>
        <v/>
      </c>
      <c r="D11" s="8">
        <f>'Beachside P&amp;L'!E18</f>
        <v/>
      </c>
      <c r="E11" s="8">
        <f>'Beachside P&amp;L'!F18</f>
        <v/>
      </c>
      <c r="F11" s="8">
        <f>'Beachside P&amp;L'!G18</f>
        <v/>
      </c>
      <c r="G11" s="8">
        <f>'Beachside P&amp;L'!H18</f>
        <v/>
      </c>
      <c r="H11" s="8">
        <f>'Beachside P&amp;L'!I18</f>
        <v/>
      </c>
      <c r="I11" s="8">
        <f>'Beachside P&amp;L'!J18</f>
        <v/>
      </c>
      <c r="J11" s="8">
        <f>'Beachside P&amp;L'!K18</f>
        <v/>
      </c>
      <c r="K11" s="8">
        <f>'Beachside P&amp;L'!L18</f>
        <v/>
      </c>
      <c r="L11" s="8">
        <f>'Beachside P&amp;L'!M18</f>
        <v/>
      </c>
      <c r="M11" s="8">
        <f>'Beachside P&amp;L'!N18</f>
        <v/>
      </c>
      <c r="N11" s="8">
        <f>'Beachside P&amp;L'!O18</f>
        <v/>
      </c>
      <c r="O11" s="8">
        <f>'Beachside P&amp;L'!P18</f>
        <v/>
      </c>
      <c r="P11" s="8">
        <f>'Beachside P&amp;L'!Q18</f>
        <v/>
      </c>
      <c r="Q11" s="8">
        <f>'Beachside P&amp;L'!R18</f>
        <v/>
      </c>
      <c r="R11" s="8">
        <f>'Beachside P&amp;L'!S18</f>
        <v/>
      </c>
      <c r="S11" s="8">
        <f>'Beachside P&amp;L'!T18</f>
        <v/>
      </c>
      <c r="T11" s="8">
        <f>'Beachside P&amp;L'!U18</f>
        <v/>
      </c>
      <c r="U11" s="8">
        <f>'Beachside P&amp;L'!V18</f>
        <v/>
      </c>
    </row>
    <row r="12">
      <c r="A12" t="inlineStr">
        <is>
          <t>Menlyn NPAT</t>
        </is>
      </c>
      <c r="B12" s="8">
        <f>'Menlyn P&amp;L'!C15</f>
        <v/>
      </c>
      <c r="C12" s="8">
        <f>'Menlyn P&amp;L'!D15</f>
        <v/>
      </c>
      <c r="D12" s="8">
        <f>'Menlyn P&amp;L'!E15</f>
        <v/>
      </c>
      <c r="E12" s="8">
        <f>'Menlyn P&amp;L'!F15</f>
        <v/>
      </c>
      <c r="F12" s="8">
        <f>'Menlyn P&amp;L'!G15</f>
        <v/>
      </c>
      <c r="G12" s="8">
        <f>'Menlyn P&amp;L'!H15</f>
        <v/>
      </c>
      <c r="H12" s="8">
        <f>'Menlyn P&amp;L'!I15</f>
        <v/>
      </c>
      <c r="I12" s="8">
        <f>'Menlyn P&amp;L'!J15</f>
        <v/>
      </c>
      <c r="J12" s="8">
        <f>'Menlyn P&amp;L'!K15</f>
        <v/>
      </c>
      <c r="K12" s="8">
        <f>'Menlyn P&amp;L'!L15</f>
        <v/>
      </c>
      <c r="L12" s="8">
        <f>'Menlyn P&amp;L'!M15</f>
        <v/>
      </c>
      <c r="M12" s="8">
        <f>'Menlyn P&amp;L'!N15</f>
        <v/>
      </c>
      <c r="N12" s="8">
        <f>'Menlyn P&amp;L'!O15</f>
        <v/>
      </c>
      <c r="O12" s="8">
        <f>'Menlyn P&amp;L'!P15</f>
        <v/>
      </c>
      <c r="P12" s="8">
        <f>'Menlyn P&amp;L'!Q15</f>
        <v/>
      </c>
      <c r="Q12" s="8">
        <f>'Menlyn P&amp;L'!R15</f>
        <v/>
      </c>
      <c r="R12" s="8">
        <f>'Menlyn P&amp;L'!S15</f>
        <v/>
      </c>
      <c r="S12" s="8">
        <f>'Menlyn P&amp;L'!T15</f>
        <v/>
      </c>
      <c r="T12" s="8">
        <f>'Menlyn P&amp;L'!U15</f>
        <v/>
      </c>
      <c r="U12" s="8">
        <f>'Menlyn P&amp;L'!V15</f>
        <v/>
      </c>
    </row>
    <row r="13">
      <c r="A13" s="11" t="inlineStr">
        <is>
          <t>PORTFOLIO NPAT</t>
        </is>
      </c>
      <c r="B13" s="12">
        <f>SUM(B10:B12)</f>
        <v/>
      </c>
      <c r="C13" s="12">
        <f>SUM(C10:C12)</f>
        <v/>
      </c>
      <c r="D13" s="12">
        <f>SUM(D10:D12)</f>
        <v/>
      </c>
      <c r="E13" s="12">
        <f>SUM(E10:E12)</f>
        <v/>
      </c>
      <c r="F13" s="12">
        <f>SUM(F10:F12)</f>
        <v/>
      </c>
      <c r="G13" s="12">
        <f>SUM(G10:G12)</f>
        <v/>
      </c>
      <c r="H13" s="12">
        <f>SUM(H10:H12)</f>
        <v/>
      </c>
      <c r="I13" s="12">
        <f>SUM(I10:I12)</f>
        <v/>
      </c>
      <c r="J13" s="12">
        <f>SUM(J10:J12)</f>
        <v/>
      </c>
      <c r="K13" s="12">
        <f>SUM(K10:K12)</f>
        <v/>
      </c>
      <c r="L13" s="12">
        <f>SUM(L10:L12)</f>
        <v/>
      </c>
      <c r="M13" s="12">
        <f>SUM(M10:M12)</f>
        <v/>
      </c>
      <c r="N13" s="12">
        <f>SUM(N10:N12)</f>
        <v/>
      </c>
      <c r="O13" s="12">
        <f>SUM(O10:O12)</f>
        <v/>
      </c>
      <c r="P13" s="12">
        <f>SUM(P10:P12)</f>
        <v/>
      </c>
      <c r="Q13" s="12">
        <f>SUM(Q10:Q12)</f>
        <v/>
      </c>
      <c r="R13" s="12">
        <f>SUM(R10:R12)</f>
        <v/>
      </c>
      <c r="S13" s="12">
        <f>SUM(S10:S12)</f>
        <v/>
      </c>
      <c r="T13" s="12">
        <f>SUM(T10:T12)</f>
        <v/>
      </c>
      <c r="U13" s="12">
        <f>SUM(U10:U12)</f>
        <v/>
      </c>
    </row>
    <row r="14">
      <c r="A14" t="inlineStr">
        <is>
          <t>Less: Winchester construction capex</t>
        </is>
      </c>
      <c r="B14" s="8">
        <f>-IF(AND(Control!$B$5&gt;0,Control!$B$6="Y",B$4=Control!$B$39-1),Control!$B$40,0)</f>
        <v/>
      </c>
      <c r="C14" s="8">
        <f>-IF(AND(Control!$B$5&gt;0,Control!$B$6="Y",C$4=Control!$B$39-1),Control!$B$40,0)</f>
        <v/>
      </c>
      <c r="D14" s="8">
        <f>-IF(AND(Control!$B$5&gt;0,Control!$B$6="Y",D$4=Control!$B$39-1),Control!$B$40,0)</f>
        <v/>
      </c>
      <c r="E14" s="8">
        <f>-IF(AND(Control!$B$5&gt;0,Control!$B$6="Y",E$4=Control!$B$39-1),Control!$B$40,0)</f>
        <v/>
      </c>
      <c r="F14" s="8">
        <f>-IF(AND(Control!$B$5&gt;0,Control!$B$6="Y",F$4=Control!$B$39-1),Control!$B$40,0)</f>
        <v/>
      </c>
      <c r="G14" s="8">
        <f>-IF(AND(Control!$B$5&gt;0,Control!$B$6="Y",G$4=Control!$B$39-1),Control!$B$40,0)</f>
        <v/>
      </c>
      <c r="H14" s="8">
        <f>-IF(AND(Control!$B$5&gt;0,Control!$B$6="Y",H$4=Control!$B$39-1),Control!$B$40,0)</f>
        <v/>
      </c>
      <c r="I14" s="8">
        <f>-IF(AND(Control!$B$5&gt;0,Control!$B$6="Y",I$4=Control!$B$39-1),Control!$B$40,0)</f>
        <v/>
      </c>
      <c r="J14" s="8">
        <f>-IF(AND(Control!$B$5&gt;0,Control!$B$6="Y",J$4=Control!$B$39-1),Control!$B$40,0)</f>
        <v/>
      </c>
      <c r="K14" s="8">
        <f>-IF(AND(Control!$B$5&gt;0,Control!$B$6="Y",K$4=Control!$B$39-1),Control!$B$40,0)</f>
        <v/>
      </c>
      <c r="L14" s="8">
        <f>-IF(AND(Control!$B$5&gt;0,Control!$B$6="Y",L$4=Control!$B$39-1),Control!$B$40,0)</f>
        <v/>
      </c>
      <c r="M14" s="8">
        <f>-IF(AND(Control!$B$5&gt;0,Control!$B$6="Y",M$4=Control!$B$39-1),Control!$B$40,0)</f>
        <v/>
      </c>
      <c r="N14" s="8">
        <f>-IF(AND(Control!$B$5&gt;0,Control!$B$6="Y",N$4=Control!$B$39-1),Control!$B$40,0)</f>
        <v/>
      </c>
      <c r="O14" s="8">
        <f>-IF(AND(Control!$B$5&gt;0,Control!$B$6="Y",O$4=Control!$B$39-1),Control!$B$40,0)</f>
        <v/>
      </c>
      <c r="P14" s="8">
        <f>-IF(AND(Control!$B$5&gt;0,Control!$B$6="Y",P$4=Control!$B$39-1),Control!$B$40,0)</f>
        <v/>
      </c>
      <c r="Q14" s="8">
        <f>-IF(AND(Control!$B$5&gt;0,Control!$B$6="Y",Q$4=Control!$B$39-1),Control!$B$40,0)</f>
        <v/>
      </c>
      <c r="R14" s="8">
        <f>-IF(AND(Control!$B$5&gt;0,Control!$B$6="Y",R$4=Control!$B$39-1),Control!$B$40,0)</f>
        <v/>
      </c>
      <c r="S14" s="8">
        <f>-IF(AND(Control!$B$5&gt;0,Control!$B$6="Y",S$4=Control!$B$39-1),Control!$B$40,0)</f>
        <v/>
      </c>
      <c r="T14" s="8">
        <f>-IF(AND(Control!$B$5&gt;0,Control!$B$6="Y",T$4=Control!$B$39-1),Control!$B$40,0)</f>
        <v/>
      </c>
      <c r="U14" s="8">
        <f>-IF(AND(Control!$B$5&gt;0,Control!$B$6="Y",U$4=Control!$B$39-1),Control!$B$40,0)</f>
        <v/>
      </c>
    </row>
    <row r="15">
      <c r="A15" s="2" t="inlineStr">
        <is>
          <t>Distributable profit</t>
        </is>
      </c>
      <c r="B15" s="5">
        <f>B13+B14</f>
        <v/>
      </c>
      <c r="C15" s="5">
        <f>C13+C14</f>
        <v/>
      </c>
      <c r="D15" s="5">
        <f>D13+D14</f>
        <v/>
      </c>
      <c r="E15" s="5">
        <f>E13+E14</f>
        <v/>
      </c>
      <c r="F15" s="5">
        <f>F13+F14</f>
        <v/>
      </c>
      <c r="G15" s="5">
        <f>G13+G14</f>
        <v/>
      </c>
      <c r="H15" s="5">
        <f>H13+H14</f>
        <v/>
      </c>
      <c r="I15" s="5">
        <f>I13+I14</f>
        <v/>
      </c>
      <c r="J15" s="5">
        <f>J13+J14</f>
        <v/>
      </c>
      <c r="K15" s="5">
        <f>K13+K14</f>
        <v/>
      </c>
      <c r="L15" s="5">
        <f>L13+L14</f>
        <v/>
      </c>
      <c r="M15" s="5">
        <f>M13+M14</f>
        <v/>
      </c>
      <c r="N15" s="5">
        <f>N13+N14</f>
        <v/>
      </c>
      <c r="O15" s="5">
        <f>O13+O14</f>
        <v/>
      </c>
      <c r="P15" s="5">
        <f>P13+P14</f>
        <v/>
      </c>
      <c r="Q15" s="5">
        <f>Q13+Q14</f>
        <v/>
      </c>
      <c r="R15" s="5">
        <f>R13+R14</f>
        <v/>
      </c>
      <c r="S15" s="5">
        <f>S13+S14</f>
        <v/>
      </c>
      <c r="T15" s="5">
        <f>T13+T14</f>
        <v/>
      </c>
      <c r="U15" s="5">
        <f>U13+U14</f>
        <v/>
      </c>
    </row>
    <row r="16">
      <c r="A16" s="11" t="inlineStr">
        <is>
          <t>Partner distribution (property-specific %)</t>
        </is>
      </c>
      <c r="B16" s="12">
        <f>SUM(B22:B24)</f>
        <v/>
      </c>
      <c r="C16" s="12">
        <f>SUM(C22:C24)</f>
        <v/>
      </c>
      <c r="D16" s="12">
        <f>SUM(D22:D24)</f>
        <v/>
      </c>
      <c r="E16" s="12">
        <f>SUM(E22:E24)</f>
        <v/>
      </c>
      <c r="F16" s="12">
        <f>SUM(F22:F24)</f>
        <v/>
      </c>
      <c r="G16" s="12">
        <f>SUM(G22:G24)</f>
        <v/>
      </c>
      <c r="H16" s="12">
        <f>SUM(H22:H24)</f>
        <v/>
      </c>
      <c r="I16" s="12">
        <f>SUM(I22:I24)</f>
        <v/>
      </c>
      <c r="J16" s="12">
        <f>SUM(J22:J24)</f>
        <v/>
      </c>
      <c r="K16" s="12">
        <f>SUM(K22:K24)</f>
        <v/>
      </c>
      <c r="L16" s="12">
        <f>SUM(L22:L24)</f>
        <v/>
      </c>
      <c r="M16" s="12">
        <f>SUM(M22:M24)</f>
        <v/>
      </c>
      <c r="N16" s="12">
        <f>SUM(N22:N24)</f>
        <v/>
      </c>
      <c r="O16" s="12">
        <f>SUM(O22:O24)</f>
        <v/>
      </c>
      <c r="P16" s="12">
        <f>SUM(P22:P24)</f>
        <v/>
      </c>
      <c r="Q16" s="12">
        <f>SUM(Q22:Q24)</f>
        <v/>
      </c>
      <c r="R16" s="12">
        <f>SUM(R22:R24)</f>
        <v/>
      </c>
      <c r="S16" s="12">
        <f>SUM(S22:S24)</f>
        <v/>
      </c>
      <c r="T16" s="12">
        <f>SUM(T22:T24)</f>
        <v/>
      </c>
      <c r="U16" s="12">
        <f>SUM(U22:U24)</f>
        <v/>
      </c>
    </row>
    <row r="17">
      <c r="A17" s="2" t="inlineStr">
        <is>
          <t>Cumulative partner distribution</t>
        </is>
      </c>
      <c r="B17" s="5">
        <f>B16</f>
        <v/>
      </c>
      <c r="C17" s="5">
        <f>B17+C16</f>
        <v/>
      </c>
      <c r="D17" s="5">
        <f>C17+D16</f>
        <v/>
      </c>
      <c r="E17" s="5">
        <f>D17+E16</f>
        <v/>
      </c>
      <c r="F17" s="5">
        <f>E17+F16</f>
        <v/>
      </c>
      <c r="G17" s="5">
        <f>F17+G16</f>
        <v/>
      </c>
      <c r="H17" s="5">
        <f>G17+H16</f>
        <v/>
      </c>
      <c r="I17" s="5">
        <f>H17+I16</f>
        <v/>
      </c>
      <c r="J17" s="5">
        <f>I17+J16</f>
        <v/>
      </c>
      <c r="K17" s="5">
        <f>J17+K16</f>
        <v/>
      </c>
      <c r="L17" s="5">
        <f>K17+L16</f>
        <v/>
      </c>
      <c r="M17" s="5">
        <f>L17+M16</f>
        <v/>
      </c>
      <c r="N17" s="5">
        <f>M17+N16</f>
        <v/>
      </c>
      <c r="O17" s="5">
        <f>N17+O16</f>
        <v/>
      </c>
      <c r="P17" s="5">
        <f>O17+P16</f>
        <v/>
      </c>
      <c r="Q17" s="5">
        <f>P17+Q16</f>
        <v/>
      </c>
      <c r="R17" s="5">
        <f>Q17+R16</f>
        <v/>
      </c>
      <c r="S17" s="5">
        <f>R17+S16</f>
        <v/>
      </c>
      <c r="T17" s="5">
        <f>S17+T16</f>
        <v/>
      </c>
      <c r="U17" s="5">
        <f>T17+U16</f>
        <v/>
      </c>
    </row>
    <row r="18">
      <c r="A18" s="237" t="inlineStr">
        <is>
          <t>DISTRIBUTION ALLOCATION HELPER — driven by Control column C</t>
        </is>
      </c>
      <c r="B18" s="235" t="n"/>
      <c r="C18" s="235" t="n"/>
      <c r="D18" s="235" t="n"/>
      <c r="E18" s="235" t="n"/>
      <c r="F18" s="235" t="n"/>
      <c r="G18" s="235" t="n"/>
      <c r="H18" s="235" t="n"/>
      <c r="I18" s="235" t="n"/>
      <c r="J18" s="235" t="n"/>
      <c r="K18" s="235" t="n"/>
      <c r="L18" s="235" t="n"/>
      <c r="M18" s="235" t="n"/>
      <c r="N18" s="235" t="n"/>
      <c r="O18" s="235" t="n"/>
      <c r="P18" s="235" t="n"/>
      <c r="Q18" s="235" t="n"/>
      <c r="R18" s="235" t="n"/>
      <c r="S18" s="235" t="n"/>
      <c r="T18" s="235" t="n"/>
      <c r="U18" s="235" t="n"/>
    </row>
    <row r="19">
      <c r="A19" s="235" t="inlineStr">
        <is>
          <t>African Sky distributable cash</t>
        </is>
      </c>
      <c r="B19" s="236">
        <f>B10+B14</f>
        <v/>
      </c>
      <c r="C19" s="236">
        <f>C10+C14</f>
        <v/>
      </c>
      <c r="D19" s="236">
        <f>D10+D14</f>
        <v/>
      </c>
      <c r="E19" s="236">
        <f>E10+E14</f>
        <v/>
      </c>
      <c r="F19" s="236">
        <f>F10+F14</f>
        <v/>
      </c>
      <c r="G19" s="236">
        <f>G10+G14</f>
        <v/>
      </c>
      <c r="H19" s="236">
        <f>H10+H14</f>
        <v/>
      </c>
      <c r="I19" s="236">
        <f>I10+I14</f>
        <v/>
      </c>
      <c r="J19" s="236">
        <f>J10+J14</f>
        <v/>
      </c>
      <c r="K19" s="236">
        <f>K10+K14</f>
        <v/>
      </c>
      <c r="L19" s="236">
        <f>L10+L14</f>
        <v/>
      </c>
      <c r="M19" s="236">
        <f>M10+M14</f>
        <v/>
      </c>
      <c r="N19" s="236">
        <f>N10+N14</f>
        <v/>
      </c>
      <c r="O19" s="236">
        <f>O10+O14</f>
        <v/>
      </c>
      <c r="P19" s="236">
        <f>P10+P14</f>
        <v/>
      </c>
      <c r="Q19" s="236">
        <f>Q10+Q14</f>
        <v/>
      </c>
      <c r="R19" s="236">
        <f>R10+R14</f>
        <v/>
      </c>
      <c r="S19" s="236">
        <f>S10+S14</f>
        <v/>
      </c>
      <c r="T19" s="236">
        <f>T10+T14</f>
        <v/>
      </c>
      <c r="U19" s="236">
        <f>U10+U14</f>
        <v/>
      </c>
    </row>
    <row r="20">
      <c r="A20" s="235" t="inlineStr">
        <is>
          <t>Beachside distributable cash</t>
        </is>
      </c>
      <c r="B20" s="236">
        <f>B11</f>
        <v/>
      </c>
      <c r="C20" s="236">
        <f>C11</f>
        <v/>
      </c>
      <c r="D20" s="236">
        <f>D11</f>
        <v/>
      </c>
      <c r="E20" s="236">
        <f>E11</f>
        <v/>
      </c>
      <c r="F20" s="236">
        <f>F11</f>
        <v/>
      </c>
      <c r="G20" s="236">
        <f>G11</f>
        <v/>
      </c>
      <c r="H20" s="236">
        <f>H11</f>
        <v/>
      </c>
      <c r="I20" s="236">
        <f>I11</f>
        <v/>
      </c>
      <c r="J20" s="236">
        <f>J11</f>
        <v/>
      </c>
      <c r="K20" s="236">
        <f>K11</f>
        <v/>
      </c>
      <c r="L20" s="236">
        <f>L11</f>
        <v/>
      </c>
      <c r="M20" s="236">
        <f>M11</f>
        <v/>
      </c>
      <c r="N20" s="236">
        <f>N11</f>
        <v/>
      </c>
      <c r="O20" s="236">
        <f>O11</f>
        <v/>
      </c>
      <c r="P20" s="236">
        <f>P11</f>
        <v/>
      </c>
      <c r="Q20" s="236">
        <f>Q11</f>
        <v/>
      </c>
      <c r="R20" s="236">
        <f>R11</f>
        <v/>
      </c>
      <c r="S20" s="236">
        <f>S11</f>
        <v/>
      </c>
      <c r="T20" s="236">
        <f>T11</f>
        <v/>
      </c>
      <c r="U20" s="236">
        <f>U11</f>
        <v/>
      </c>
    </row>
    <row r="21">
      <c r="A21" s="235" t="inlineStr">
        <is>
          <t>Menlyn distributable cash</t>
        </is>
      </c>
      <c r="B21" s="236">
        <f>B12</f>
        <v/>
      </c>
      <c r="C21" s="236">
        <f>C12</f>
        <v/>
      </c>
      <c r="D21" s="236">
        <f>D12</f>
        <v/>
      </c>
      <c r="E21" s="236">
        <f>E12</f>
        <v/>
      </c>
      <c r="F21" s="236">
        <f>F12</f>
        <v/>
      </c>
      <c r="G21" s="236">
        <f>G12</f>
        <v/>
      </c>
      <c r="H21" s="236">
        <f>H12</f>
        <v/>
      </c>
      <c r="I21" s="236">
        <f>I12</f>
        <v/>
      </c>
      <c r="J21" s="236">
        <f>J12</f>
        <v/>
      </c>
      <c r="K21" s="236">
        <f>K12</f>
        <v/>
      </c>
      <c r="L21" s="236">
        <f>L12</f>
        <v/>
      </c>
      <c r="M21" s="236">
        <f>M12</f>
        <v/>
      </c>
      <c r="N21" s="236">
        <f>N12</f>
        <v/>
      </c>
      <c r="O21" s="236">
        <f>O12</f>
        <v/>
      </c>
      <c r="P21" s="236">
        <f>P12</f>
        <v/>
      </c>
      <c r="Q21" s="236">
        <f>Q12</f>
        <v/>
      </c>
      <c r="R21" s="236">
        <f>R12</f>
        <v/>
      </c>
      <c r="S21" s="236">
        <f>S12</f>
        <v/>
      </c>
      <c r="T21" s="236">
        <f>T12</f>
        <v/>
      </c>
      <c r="U21" s="236">
        <f>U12</f>
        <v/>
      </c>
    </row>
    <row r="22">
      <c r="A22" s="235" t="inlineStr">
        <is>
          <t>African Sky partner distribution</t>
        </is>
      </c>
      <c r="B22" s="236">
        <f>B19*Control!$C$5</f>
        <v/>
      </c>
      <c r="C22" s="236">
        <f>C19*Control!$C$5</f>
        <v/>
      </c>
      <c r="D22" s="236">
        <f>D19*Control!$C$5</f>
        <v/>
      </c>
      <c r="E22" s="236">
        <f>E19*Control!$C$5</f>
        <v/>
      </c>
      <c r="F22" s="236">
        <f>F19*Control!$C$5</f>
        <v/>
      </c>
      <c r="G22" s="236">
        <f>G19*Control!$C$5</f>
        <v/>
      </c>
      <c r="H22" s="236">
        <f>H19*Control!$C$5</f>
        <v/>
      </c>
      <c r="I22" s="236">
        <f>I19*Control!$C$5</f>
        <v/>
      </c>
      <c r="J22" s="236">
        <f>J19*Control!$C$5</f>
        <v/>
      </c>
      <c r="K22" s="236">
        <f>K19*Control!$C$5</f>
        <v/>
      </c>
      <c r="L22" s="236">
        <f>L19*Control!$C$5</f>
        <v/>
      </c>
      <c r="M22" s="236">
        <f>M19*Control!$C$5</f>
        <v/>
      </c>
      <c r="N22" s="236">
        <f>N19*Control!$C$5</f>
        <v/>
      </c>
      <c r="O22" s="236">
        <f>O19*Control!$C$5</f>
        <v/>
      </c>
      <c r="P22" s="236">
        <f>P19*Control!$C$5</f>
        <v/>
      </c>
      <c r="Q22" s="236">
        <f>Q19*Control!$C$5</f>
        <v/>
      </c>
      <c r="R22" s="236">
        <f>R19*Control!$C$5</f>
        <v/>
      </c>
      <c r="S22" s="236">
        <f>S19*Control!$C$5</f>
        <v/>
      </c>
      <c r="T22" s="236">
        <f>T19*Control!$C$5</f>
        <v/>
      </c>
      <c r="U22" s="236">
        <f>U19*Control!$C$5</f>
        <v/>
      </c>
    </row>
    <row r="23">
      <c r="A23" s="235" t="inlineStr">
        <is>
          <t>Beachside partner distribution</t>
        </is>
      </c>
      <c r="B23" s="236">
        <f>B20*Control!$C$7</f>
        <v/>
      </c>
      <c r="C23" s="236">
        <f>C20*Control!$C$7</f>
        <v/>
      </c>
      <c r="D23" s="236">
        <f>D20*Control!$C$7</f>
        <v/>
      </c>
      <c r="E23" s="236">
        <f>E20*Control!$C$7</f>
        <v/>
      </c>
      <c r="F23" s="236">
        <f>F20*Control!$C$7</f>
        <v/>
      </c>
      <c r="G23" s="236">
        <f>G20*Control!$C$7</f>
        <v/>
      </c>
      <c r="H23" s="236">
        <f>H20*Control!$C$7</f>
        <v/>
      </c>
      <c r="I23" s="236">
        <f>I20*Control!$C$7</f>
        <v/>
      </c>
      <c r="J23" s="236">
        <f>J20*Control!$C$7</f>
        <v/>
      </c>
      <c r="K23" s="236">
        <f>K20*Control!$C$7</f>
        <v/>
      </c>
      <c r="L23" s="236">
        <f>L20*Control!$C$7</f>
        <v/>
      </c>
      <c r="M23" s="236">
        <f>M20*Control!$C$7</f>
        <v/>
      </c>
      <c r="N23" s="236">
        <f>N20*Control!$C$7</f>
        <v/>
      </c>
      <c r="O23" s="236">
        <f>O20*Control!$C$7</f>
        <v/>
      </c>
      <c r="P23" s="236">
        <f>P20*Control!$C$7</f>
        <v/>
      </c>
      <c r="Q23" s="236">
        <f>Q20*Control!$C$7</f>
        <v/>
      </c>
      <c r="R23" s="236">
        <f>R20*Control!$C$7</f>
        <v/>
      </c>
      <c r="S23" s="236">
        <f>S20*Control!$C$7</f>
        <v/>
      </c>
      <c r="T23" s="236">
        <f>T20*Control!$C$7</f>
        <v/>
      </c>
      <c r="U23" s="236">
        <f>U20*Control!$C$7</f>
        <v/>
      </c>
    </row>
    <row r="24">
      <c r="A24" s="235" t="inlineStr">
        <is>
          <t>Menlyn partner distribution</t>
        </is>
      </c>
      <c r="B24" s="236">
        <f>B21*Control!$C$8</f>
        <v/>
      </c>
      <c r="C24" s="236">
        <f>C21*Control!$C$8</f>
        <v/>
      </c>
      <c r="D24" s="236">
        <f>D21*Control!$C$8</f>
        <v/>
      </c>
      <c r="E24" s="236">
        <f>E21*Control!$C$8</f>
        <v/>
      </c>
      <c r="F24" s="236">
        <f>F21*Control!$C$8</f>
        <v/>
      </c>
      <c r="G24" s="236">
        <f>G21*Control!$C$8</f>
        <v/>
      </c>
      <c r="H24" s="236">
        <f>H21*Control!$C$8</f>
        <v/>
      </c>
      <c r="I24" s="236">
        <f>I21*Control!$C$8</f>
        <v/>
      </c>
      <c r="J24" s="236">
        <f>J21*Control!$C$8</f>
        <v/>
      </c>
      <c r="K24" s="236">
        <f>K21*Control!$C$8</f>
        <v/>
      </c>
      <c r="L24" s="236">
        <f>L21*Control!$C$8</f>
        <v/>
      </c>
      <c r="M24" s="236">
        <f>M21*Control!$C$8</f>
        <v/>
      </c>
      <c r="N24" s="236">
        <f>N21*Control!$C$8</f>
        <v/>
      </c>
      <c r="O24" s="236">
        <f>O21*Control!$C$8</f>
        <v/>
      </c>
      <c r="P24" s="236">
        <f>P21*Control!$C$8</f>
        <v/>
      </c>
      <c r="Q24" s="236">
        <f>Q21*Control!$C$8</f>
        <v/>
      </c>
      <c r="R24" s="236">
        <f>R21*Control!$C$8</f>
        <v/>
      </c>
      <c r="S24" s="236">
        <f>S21*Control!$C$8</f>
        <v/>
      </c>
      <c r="T24" s="236">
        <f>T21*Control!$C$8</f>
        <v/>
      </c>
      <c r="U24" s="236">
        <f>U21*Control!$C$8</f>
        <v/>
      </c>
    </row>
    <row r="25">
      <c r="A25" s="235" t="inlineStr">
        <is>
          <t>African Sky cumulative distribution</t>
        </is>
      </c>
      <c r="B25" s="236">
        <f>B22</f>
        <v/>
      </c>
      <c r="C25" s="236">
        <f>B25+C22</f>
        <v/>
      </c>
      <c r="D25" s="236">
        <f>C25+D22</f>
        <v/>
      </c>
      <c r="E25" s="236">
        <f>D25+E22</f>
        <v/>
      </c>
      <c r="F25" s="236">
        <f>E25+F22</f>
        <v/>
      </c>
      <c r="G25" s="236">
        <f>F25+G22</f>
        <v/>
      </c>
      <c r="H25" s="236">
        <f>G25+H22</f>
        <v/>
      </c>
      <c r="I25" s="236">
        <f>H25+I22</f>
        <v/>
      </c>
      <c r="J25" s="236">
        <f>I25+J22</f>
        <v/>
      </c>
      <c r="K25" s="236">
        <f>J25+K22</f>
        <v/>
      </c>
      <c r="L25" s="236">
        <f>K25+L22</f>
        <v/>
      </c>
      <c r="M25" s="236">
        <f>L25+M22</f>
        <v/>
      </c>
      <c r="N25" s="236">
        <f>M25+N22</f>
        <v/>
      </c>
      <c r="O25" s="236">
        <f>N25+O22</f>
        <v/>
      </c>
      <c r="P25" s="236">
        <f>O25+P22</f>
        <v/>
      </c>
      <c r="Q25" s="236">
        <f>P25+Q22</f>
        <v/>
      </c>
      <c r="R25" s="236">
        <f>Q25+R22</f>
        <v/>
      </c>
      <c r="S25" s="236">
        <f>R25+S22</f>
        <v/>
      </c>
      <c r="T25" s="236">
        <f>S25+T22</f>
        <v/>
      </c>
      <c r="U25" s="236">
        <f>T25+U22</f>
        <v/>
      </c>
    </row>
    <row r="26">
      <c r="A26" s="235" t="inlineStr">
        <is>
          <t>Beachside cumulative distribution</t>
        </is>
      </c>
      <c r="B26" s="236">
        <f>B23</f>
        <v/>
      </c>
      <c r="C26" s="236">
        <f>B26+C23</f>
        <v/>
      </c>
      <c r="D26" s="236">
        <f>C26+D23</f>
        <v/>
      </c>
      <c r="E26" s="236">
        <f>D26+E23</f>
        <v/>
      </c>
      <c r="F26" s="236">
        <f>E26+F23</f>
        <v/>
      </c>
      <c r="G26" s="236">
        <f>F26+G23</f>
        <v/>
      </c>
      <c r="H26" s="236">
        <f>G26+H23</f>
        <v/>
      </c>
      <c r="I26" s="236">
        <f>H26+I23</f>
        <v/>
      </c>
      <c r="J26" s="236">
        <f>I26+J23</f>
        <v/>
      </c>
      <c r="K26" s="236">
        <f>J26+K23</f>
        <v/>
      </c>
      <c r="L26" s="236">
        <f>K26+L23</f>
        <v/>
      </c>
      <c r="M26" s="236">
        <f>L26+M23</f>
        <v/>
      </c>
      <c r="N26" s="236">
        <f>M26+N23</f>
        <v/>
      </c>
      <c r="O26" s="236">
        <f>N26+O23</f>
        <v/>
      </c>
      <c r="P26" s="236">
        <f>O26+P23</f>
        <v/>
      </c>
      <c r="Q26" s="236">
        <f>P26+Q23</f>
        <v/>
      </c>
      <c r="R26" s="236">
        <f>Q26+R23</f>
        <v/>
      </c>
      <c r="S26" s="236">
        <f>R26+S23</f>
        <v/>
      </c>
      <c r="T26" s="236">
        <f>S26+T23</f>
        <v/>
      </c>
      <c r="U26" s="236">
        <f>T26+U23</f>
        <v/>
      </c>
    </row>
    <row r="27">
      <c r="A27" s="235" t="inlineStr">
        <is>
          <t>Menlyn cumulative distribution</t>
        </is>
      </c>
      <c r="B27" s="236">
        <f>B24</f>
        <v/>
      </c>
      <c r="C27" s="236">
        <f>B27+C24</f>
        <v/>
      </c>
      <c r="D27" s="236">
        <f>C27+D24</f>
        <v/>
      </c>
      <c r="E27" s="236">
        <f>D27+E24</f>
        <v/>
      </c>
      <c r="F27" s="236">
        <f>E27+F24</f>
        <v/>
      </c>
      <c r="G27" s="236">
        <f>F27+G24</f>
        <v/>
      </c>
      <c r="H27" s="236">
        <f>G27+H24</f>
        <v/>
      </c>
      <c r="I27" s="236">
        <f>H27+I24</f>
        <v/>
      </c>
      <c r="J27" s="236">
        <f>I27+J24</f>
        <v/>
      </c>
      <c r="K27" s="236">
        <f>J27+K24</f>
        <v/>
      </c>
      <c r="L27" s="236">
        <f>K27+L24</f>
        <v/>
      </c>
      <c r="M27" s="236">
        <f>L27+M24</f>
        <v/>
      </c>
      <c r="N27" s="236">
        <f>M27+N24</f>
        <v/>
      </c>
      <c r="O27" s="236">
        <f>N27+O24</f>
        <v/>
      </c>
      <c r="P27" s="236">
        <f>O27+P24</f>
        <v/>
      </c>
      <c r="Q27" s="236">
        <f>P27+Q24</f>
        <v/>
      </c>
      <c r="R27" s="236">
        <f>Q27+R24</f>
        <v/>
      </c>
      <c r="S27" s="236">
        <f>R27+S24</f>
        <v/>
      </c>
      <c r="T27" s="236">
        <f>S27+T24</f>
        <v/>
      </c>
      <c r="U27" s="236">
        <f>T27+U24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1F4E79"/>
    <outlinePr summaryBelow="1" summaryRight="1"/>
    <pageSetUpPr/>
  </sheetPr>
  <dimension ref="A1:V60"/>
  <sheetViews>
    <sheetView workbookViewId="0">
      <pane ySplit="5" topLeftCell="A39" activePane="bottomLeft" state="frozen"/>
      <selection pane="bottomLeft" activeCell="C43" sqref="C43"/>
    </sheetView>
  </sheetViews>
  <sheetFormatPr baseColWidth="8" defaultRowHeight="14.4"/>
  <cols>
    <col width="30.88671875" bestFit="1" customWidth="1" style="79" min="1" max="1"/>
    <col width="18.77734375" bestFit="1" customWidth="1" style="100" min="2" max="2"/>
    <col width="11.21875" bestFit="1" customWidth="1" style="100" min="3" max="22"/>
  </cols>
  <sheetData>
    <row r="1" ht="21" customHeight="1" s="313">
      <c r="A1" s="316" t="inlineStr">
        <is>
          <t>3-STATEMENT MODEL — NewCo consolidated + investor tracking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7" t="n"/>
      <c r="P1" s="317" t="n"/>
      <c r="Q1" s="317" t="n"/>
      <c r="R1" s="317" t="n"/>
      <c r="S1" s="317" t="n"/>
      <c r="T1" s="317" t="n"/>
      <c r="U1" s="317" t="n"/>
      <c r="V1" s="317" t="n"/>
    </row>
    <row r="2">
      <c r="A2" s="314" t="inlineStr">
        <is>
          <t>Integrated model linked to Control, property P&amp;Ls, Portfolio NewCo, Valuation, and Investor KPIs. Formation column shows today; Year 1–20 columns are live-linked forecast periods.</t>
        </is>
      </c>
      <c r="B2" s="310" t="n"/>
      <c r="C2" s="310" t="n"/>
      <c r="D2" s="310" t="n"/>
      <c r="E2" s="310" t="n"/>
      <c r="F2" s="310" t="n"/>
      <c r="G2" s="310" t="n"/>
      <c r="H2" s="310" t="n"/>
      <c r="I2" s="310" t="n"/>
      <c r="J2" s="310" t="n"/>
      <c r="K2" s="310" t="n"/>
      <c r="L2" s="310" t="n"/>
      <c r="M2" s="310" t="n"/>
      <c r="N2" s="310" t="n"/>
      <c r="O2" s="310" t="n"/>
      <c r="P2" s="310" t="n"/>
      <c r="Q2" s="310" t="n"/>
      <c r="R2" s="310" t="n"/>
      <c r="S2" s="310" t="n"/>
      <c r="T2" s="310" t="n"/>
      <c r="U2" s="310" t="n"/>
      <c r="V2" s="310" t="n"/>
    </row>
    <row r="3">
      <c r="A3" s="314" t="inlineStr">
        <is>
          <t>Currency: ZAR. Base case: no external debt; distributable post-tax profit is paid out after Winchester construction capex is funded from NewCo cash.</t>
        </is>
      </c>
      <c r="B3" s="310" t="n"/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</row>
    <row r="4">
      <c r="A4" s="101" t="n"/>
      <c r="B4" s="94" t="n"/>
      <c r="C4" s="94" t="n"/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>
      <c r="A5" s="102" t="inlineStr">
        <is>
          <t>Year</t>
        </is>
      </c>
      <c r="B5" s="95" t="inlineStr">
        <is>
          <t>Formation / Today</t>
        </is>
      </c>
      <c r="C5" s="95" t="n">
        <v>1</v>
      </c>
      <c r="D5" s="95" t="n">
        <v>2</v>
      </c>
      <c r="E5" s="95" t="n">
        <v>3</v>
      </c>
      <c r="F5" s="95" t="n">
        <v>4</v>
      </c>
      <c r="G5" s="95" t="n">
        <v>5</v>
      </c>
      <c r="H5" s="95" t="n">
        <v>6</v>
      </c>
      <c r="I5" s="95" t="n">
        <v>7</v>
      </c>
      <c r="J5" s="95" t="n">
        <v>8</v>
      </c>
      <c r="K5" s="95" t="n">
        <v>9</v>
      </c>
      <c r="L5" s="95" t="n">
        <v>10</v>
      </c>
      <c r="M5" s="95" t="n">
        <v>11</v>
      </c>
      <c r="N5" s="95" t="n">
        <v>12</v>
      </c>
      <c r="O5" s="95" t="n">
        <v>13</v>
      </c>
      <c r="P5" s="95" t="n">
        <v>14</v>
      </c>
      <c r="Q5" s="95" t="n">
        <v>15</v>
      </c>
      <c r="R5" s="95" t="n">
        <v>16</v>
      </c>
      <c r="S5" s="95" t="n">
        <v>17</v>
      </c>
      <c r="T5" s="95" t="n">
        <v>18</v>
      </c>
      <c r="U5" s="95" t="n">
        <v>19</v>
      </c>
      <c r="V5" s="95" t="n">
        <v>20</v>
      </c>
    </row>
    <row r="6">
      <c r="A6" s="101" t="n"/>
      <c r="B6" s="94" t="n"/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</row>
    <row r="7">
      <c r="A7" s="315" t="inlineStr">
        <is>
          <t>CONSOLIDATED INCOME STATEMENT</t>
        </is>
      </c>
      <c r="B7" s="310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</row>
    <row r="8">
      <c r="A8" s="101" t="inlineStr">
        <is>
          <t>Gross revenue</t>
        </is>
      </c>
      <c r="B8" s="96">
        <f>0</f>
        <v/>
      </c>
      <c r="C8" s="96">
        <f>SUM('African Sky P&amp;L'!C15,'Beachside P&amp;L'!C8,'Menlyn P&amp;L'!C6)</f>
        <v/>
      </c>
      <c r="D8" s="96">
        <f>SUM('African Sky P&amp;L'!D15,'Beachside P&amp;L'!D8,'Menlyn P&amp;L'!D6)</f>
        <v/>
      </c>
      <c r="E8" s="96">
        <f>SUM('African Sky P&amp;L'!E15,'Beachside P&amp;L'!E8,'Menlyn P&amp;L'!E6)</f>
        <v/>
      </c>
      <c r="F8" s="96">
        <f>SUM('African Sky P&amp;L'!F15,'Beachside P&amp;L'!F8,'Menlyn P&amp;L'!F6)</f>
        <v/>
      </c>
      <c r="G8" s="96">
        <f>SUM('African Sky P&amp;L'!G15,'Beachside P&amp;L'!G8,'Menlyn P&amp;L'!G6)</f>
        <v/>
      </c>
      <c r="H8" s="96">
        <f>SUM('African Sky P&amp;L'!H15,'Beachside P&amp;L'!H8,'Menlyn P&amp;L'!H6)</f>
        <v/>
      </c>
      <c r="I8" s="96">
        <f>SUM('African Sky P&amp;L'!I15,'Beachside P&amp;L'!I8,'Menlyn P&amp;L'!I6)</f>
        <v/>
      </c>
      <c r="J8" s="96">
        <f>SUM('African Sky P&amp;L'!J15,'Beachside P&amp;L'!J8,'Menlyn P&amp;L'!J6)</f>
        <v/>
      </c>
      <c r="K8" s="96">
        <f>SUM('African Sky P&amp;L'!K15,'Beachside P&amp;L'!K8,'Menlyn P&amp;L'!K6)</f>
        <v/>
      </c>
      <c r="L8" s="96">
        <f>SUM('African Sky P&amp;L'!L15,'Beachside P&amp;L'!L8,'Menlyn P&amp;L'!L6)</f>
        <v/>
      </c>
      <c r="M8" s="96">
        <f>SUM('African Sky P&amp;L'!M15,'Beachside P&amp;L'!M8,'Menlyn P&amp;L'!M6)</f>
        <v/>
      </c>
      <c r="N8" s="96">
        <f>SUM('African Sky P&amp;L'!N15,'Beachside P&amp;L'!N8,'Menlyn P&amp;L'!N6)</f>
        <v/>
      </c>
      <c r="O8" s="96">
        <f>SUM('African Sky P&amp;L'!O15,'Beachside P&amp;L'!O8,'Menlyn P&amp;L'!O6)</f>
        <v/>
      </c>
      <c r="P8" s="96">
        <f>SUM('African Sky P&amp;L'!P15,'Beachside P&amp;L'!P8,'Menlyn P&amp;L'!P6)</f>
        <v/>
      </c>
      <c r="Q8" s="96">
        <f>SUM('African Sky P&amp;L'!Q15,'Beachside P&amp;L'!Q8,'Menlyn P&amp;L'!Q6)</f>
        <v/>
      </c>
      <c r="R8" s="96">
        <f>SUM('African Sky P&amp;L'!R15,'Beachside P&amp;L'!R8,'Menlyn P&amp;L'!R6)</f>
        <v/>
      </c>
      <c r="S8" s="96">
        <f>SUM('African Sky P&amp;L'!S15,'Beachside P&amp;L'!S8,'Menlyn P&amp;L'!S6)</f>
        <v/>
      </c>
      <c r="T8" s="96">
        <f>SUM('African Sky P&amp;L'!T15,'Beachside P&amp;L'!T8,'Menlyn P&amp;L'!T6)</f>
        <v/>
      </c>
      <c r="U8" s="96">
        <f>SUM('African Sky P&amp;L'!U15,'Beachside P&amp;L'!U8,'Menlyn P&amp;L'!U6)</f>
        <v/>
      </c>
      <c r="V8" s="96">
        <f>SUM('African Sky P&amp;L'!V15,'Beachside P&amp;L'!V8,'Menlyn P&amp;L'!V6)</f>
        <v/>
      </c>
    </row>
    <row r="9">
      <c r="A9" s="101" t="inlineStr">
        <is>
          <t>Operating expenses</t>
        </is>
      </c>
      <c r="B9" s="96">
        <f>0</f>
        <v/>
      </c>
      <c r="C9" s="96">
        <f>C8-C10</f>
        <v/>
      </c>
      <c r="D9" s="96">
        <f>D8-D10</f>
        <v/>
      </c>
      <c r="E9" s="96">
        <f>E8-E10</f>
        <v/>
      </c>
      <c r="F9" s="96">
        <f>F8-F10</f>
        <v/>
      </c>
      <c r="G9" s="96">
        <f>G8-G10</f>
        <v/>
      </c>
      <c r="H9" s="96">
        <f>H8-H10</f>
        <v/>
      </c>
      <c r="I9" s="96">
        <f>I8-I10</f>
        <v/>
      </c>
      <c r="J9" s="96">
        <f>J8-J10</f>
        <v/>
      </c>
      <c r="K9" s="96">
        <f>K8-K10</f>
        <v/>
      </c>
      <c r="L9" s="96">
        <f>L8-L10</f>
        <v/>
      </c>
      <c r="M9" s="96">
        <f>M8-M10</f>
        <v/>
      </c>
      <c r="N9" s="96">
        <f>N8-N10</f>
        <v/>
      </c>
      <c r="O9" s="96">
        <f>O8-O10</f>
        <v/>
      </c>
      <c r="P9" s="96">
        <f>P8-P10</f>
        <v/>
      </c>
      <c r="Q9" s="96">
        <f>Q8-Q10</f>
        <v/>
      </c>
      <c r="R9" s="96">
        <f>R8-R10</f>
        <v/>
      </c>
      <c r="S9" s="96">
        <f>S8-S10</f>
        <v/>
      </c>
      <c r="T9" s="96">
        <f>T8-T10</f>
        <v/>
      </c>
      <c r="U9" s="96">
        <f>U8-U10</f>
        <v/>
      </c>
      <c r="V9" s="96">
        <f>V8-V10</f>
        <v/>
      </c>
    </row>
    <row r="10">
      <c r="A10" s="103" t="inlineStr">
        <is>
          <t>NET OPERATING INCOME (NOI)</t>
        </is>
      </c>
      <c r="B10" s="97">
        <f>0</f>
        <v/>
      </c>
      <c r="C10" s="97">
        <f>'Portfolio NewCo'!B9</f>
        <v/>
      </c>
      <c r="D10" s="97">
        <f>'Portfolio NewCo'!C9</f>
        <v/>
      </c>
      <c r="E10" s="97">
        <f>'Portfolio NewCo'!D9</f>
        <v/>
      </c>
      <c r="F10" s="97">
        <f>'Portfolio NewCo'!E9</f>
        <v/>
      </c>
      <c r="G10" s="97">
        <f>'Portfolio NewCo'!F9</f>
        <v/>
      </c>
      <c r="H10" s="97">
        <f>'Portfolio NewCo'!G9</f>
        <v/>
      </c>
      <c r="I10" s="97">
        <f>'Portfolio NewCo'!H9</f>
        <v/>
      </c>
      <c r="J10" s="97">
        <f>'Portfolio NewCo'!I9</f>
        <v/>
      </c>
      <c r="K10" s="97">
        <f>'Portfolio NewCo'!J9</f>
        <v/>
      </c>
      <c r="L10" s="97">
        <f>'Portfolio NewCo'!K9</f>
        <v/>
      </c>
      <c r="M10" s="97">
        <f>'Portfolio NewCo'!L9</f>
        <v/>
      </c>
      <c r="N10" s="97">
        <f>'Portfolio NewCo'!M9</f>
        <v/>
      </c>
      <c r="O10" s="97">
        <f>'Portfolio NewCo'!N9</f>
        <v/>
      </c>
      <c r="P10" s="97">
        <f>'Portfolio NewCo'!O9</f>
        <v/>
      </c>
      <c r="Q10" s="97">
        <f>'Portfolio NewCo'!P9</f>
        <v/>
      </c>
      <c r="R10" s="97">
        <f>'Portfolio NewCo'!Q9</f>
        <v/>
      </c>
      <c r="S10" s="97">
        <f>'Portfolio NewCo'!R9</f>
        <v/>
      </c>
      <c r="T10" s="97">
        <f>'Portfolio NewCo'!S9</f>
        <v/>
      </c>
      <c r="U10" s="97">
        <f>'Portfolio NewCo'!T9</f>
        <v/>
      </c>
      <c r="V10" s="97">
        <f>'Portfolio NewCo'!U9</f>
        <v/>
      </c>
    </row>
    <row r="11">
      <c r="A11" s="101" t="inlineStr">
        <is>
          <t>Income tax</t>
        </is>
      </c>
      <c r="B11" s="96">
        <f>0</f>
        <v/>
      </c>
      <c r="C11" s="96">
        <f>C12-C10</f>
        <v/>
      </c>
      <c r="D11" s="96">
        <f>D12-D10</f>
        <v/>
      </c>
      <c r="E11" s="96">
        <f>E12-E10</f>
        <v/>
      </c>
      <c r="F11" s="96">
        <f>F12-F10</f>
        <v/>
      </c>
      <c r="G11" s="96">
        <f>G12-G10</f>
        <v/>
      </c>
      <c r="H11" s="96">
        <f>H12-H10</f>
        <v/>
      </c>
      <c r="I11" s="96">
        <f>I12-I10</f>
        <v/>
      </c>
      <c r="J11" s="96">
        <f>J12-J10</f>
        <v/>
      </c>
      <c r="K11" s="96">
        <f>K12-K10</f>
        <v/>
      </c>
      <c r="L11" s="96">
        <f>L12-L10</f>
        <v/>
      </c>
      <c r="M11" s="96">
        <f>M12-M10</f>
        <v/>
      </c>
      <c r="N11" s="96">
        <f>N12-N10</f>
        <v/>
      </c>
      <c r="O11" s="96">
        <f>O12-O10</f>
        <v/>
      </c>
      <c r="P11" s="96">
        <f>P12-P10</f>
        <v/>
      </c>
      <c r="Q11" s="96">
        <f>Q12-Q10</f>
        <v/>
      </c>
      <c r="R11" s="96">
        <f>R12-R10</f>
        <v/>
      </c>
      <c r="S11" s="96">
        <f>S12-S10</f>
        <v/>
      </c>
      <c r="T11" s="96">
        <f>T12-T10</f>
        <v/>
      </c>
      <c r="U11" s="96">
        <f>U12-U10</f>
        <v/>
      </c>
      <c r="V11" s="96">
        <f>V12-V10</f>
        <v/>
      </c>
    </row>
    <row r="12">
      <c r="A12" s="103" t="inlineStr">
        <is>
          <t>NET PROFIT AFTER TAX (NPAT)</t>
        </is>
      </c>
      <c r="B12" s="97">
        <f>0</f>
        <v/>
      </c>
      <c r="C12" s="97">
        <f>'Portfolio NewCo'!B13</f>
        <v/>
      </c>
      <c r="D12" s="97">
        <f>'Portfolio NewCo'!C13</f>
        <v/>
      </c>
      <c r="E12" s="97">
        <f>'Portfolio NewCo'!D13</f>
        <v/>
      </c>
      <c r="F12" s="97">
        <f>'Portfolio NewCo'!E13</f>
        <v/>
      </c>
      <c r="G12" s="97">
        <f>'Portfolio NewCo'!F13</f>
        <v/>
      </c>
      <c r="H12" s="97">
        <f>'Portfolio NewCo'!G13</f>
        <v/>
      </c>
      <c r="I12" s="97">
        <f>'Portfolio NewCo'!H13</f>
        <v/>
      </c>
      <c r="J12" s="97">
        <f>'Portfolio NewCo'!I13</f>
        <v/>
      </c>
      <c r="K12" s="97">
        <f>'Portfolio NewCo'!J13</f>
        <v/>
      </c>
      <c r="L12" s="97">
        <f>'Portfolio NewCo'!K13</f>
        <v/>
      </c>
      <c r="M12" s="97">
        <f>'Portfolio NewCo'!L13</f>
        <v/>
      </c>
      <c r="N12" s="97">
        <f>'Portfolio NewCo'!M13</f>
        <v/>
      </c>
      <c r="O12" s="97">
        <f>'Portfolio NewCo'!N13</f>
        <v/>
      </c>
      <c r="P12" s="97">
        <f>'Portfolio NewCo'!O13</f>
        <v/>
      </c>
      <c r="Q12" s="97">
        <f>'Portfolio NewCo'!P13</f>
        <v/>
      </c>
      <c r="R12" s="97">
        <f>'Portfolio NewCo'!Q13</f>
        <v/>
      </c>
      <c r="S12" s="97">
        <f>'Portfolio NewCo'!R13</f>
        <v/>
      </c>
      <c r="T12" s="97">
        <f>'Portfolio NewCo'!S13</f>
        <v/>
      </c>
      <c r="U12" s="97">
        <f>'Portfolio NewCo'!T13</f>
        <v/>
      </c>
      <c r="V12" s="97">
        <f>'Portfolio NewCo'!U13</f>
        <v/>
      </c>
    </row>
    <row r="13">
      <c r="A13" s="101" t="inlineStr">
        <is>
          <t>NPAT margin</t>
        </is>
      </c>
      <c r="B13" s="98">
        <f>""</f>
        <v/>
      </c>
      <c r="C13" s="98">
        <f>IFERROR(C12/C8,0)</f>
        <v/>
      </c>
      <c r="D13" s="98">
        <f>IFERROR(D12/D8,0)</f>
        <v/>
      </c>
      <c r="E13" s="98">
        <f>IFERROR(E12/E8,0)</f>
        <v/>
      </c>
      <c r="F13" s="98">
        <f>IFERROR(F12/F8,0)</f>
        <v/>
      </c>
      <c r="G13" s="98">
        <f>IFERROR(G12/G8,0)</f>
        <v/>
      </c>
      <c r="H13" s="98">
        <f>IFERROR(H12/H8,0)</f>
        <v/>
      </c>
      <c r="I13" s="98">
        <f>IFERROR(I12/I8,0)</f>
        <v/>
      </c>
      <c r="J13" s="98">
        <f>IFERROR(J12/J8,0)</f>
        <v/>
      </c>
      <c r="K13" s="98">
        <f>IFERROR(K12/K8,0)</f>
        <v/>
      </c>
      <c r="L13" s="98">
        <f>IFERROR(L12/L8,0)</f>
        <v/>
      </c>
      <c r="M13" s="98">
        <f>IFERROR(M12/M8,0)</f>
        <v/>
      </c>
      <c r="N13" s="98">
        <f>IFERROR(N12/N8,0)</f>
        <v/>
      </c>
      <c r="O13" s="98">
        <f>IFERROR(O12/O8,0)</f>
        <v/>
      </c>
      <c r="P13" s="98">
        <f>IFERROR(P12/P8,0)</f>
        <v/>
      </c>
      <c r="Q13" s="98">
        <f>IFERROR(Q12/Q8,0)</f>
        <v/>
      </c>
      <c r="R13" s="98">
        <f>IFERROR(R12/R8,0)</f>
        <v/>
      </c>
      <c r="S13" s="98">
        <f>IFERROR(S12/S8,0)</f>
        <v/>
      </c>
      <c r="T13" s="98">
        <f>IFERROR(T12/T8,0)</f>
        <v/>
      </c>
      <c r="U13" s="98">
        <f>IFERROR(U12/U8,0)</f>
        <v/>
      </c>
      <c r="V13" s="98">
        <f>IFERROR(V12/V8,0)</f>
        <v/>
      </c>
    </row>
    <row r="14">
      <c r="A14" s="101" t="n"/>
      <c r="B14" s="94" t="n"/>
      <c r="C14" s="94" t="n"/>
      <c r="D14" s="94" t="n"/>
      <c r="E14" s="94" t="n"/>
      <c r="F14" s="94" t="n"/>
      <c r="G14" s="94" t="n"/>
      <c r="H14" s="94" t="n"/>
      <c r="I14" s="94" t="n"/>
      <c r="J14" s="94" t="n"/>
      <c r="K14" s="94" t="n"/>
      <c r="L14" s="94" t="n"/>
      <c r="M14" s="94" t="n"/>
      <c r="N14" s="94" t="n"/>
      <c r="O14" s="94" t="n"/>
      <c r="P14" s="94" t="n"/>
      <c r="Q14" s="94" t="n"/>
      <c r="R14" s="94" t="n"/>
      <c r="S14" s="94" t="n"/>
      <c r="T14" s="94" t="n"/>
      <c r="U14" s="94" t="n"/>
      <c r="V14" s="94" t="n"/>
    </row>
    <row r="15">
      <c r="A15" s="315" t="inlineStr">
        <is>
          <t>INVESTOR — INCOME STATEMENT VIEW</t>
        </is>
      </c>
      <c r="B15" s="310" t="n"/>
      <c r="C15" s="310" t="n"/>
      <c r="D15" s="310" t="n"/>
      <c r="E15" s="310" t="n"/>
      <c r="F15" s="310" t="n"/>
      <c r="G15" s="310" t="n"/>
      <c r="H15" s="310" t="n"/>
      <c r="I15" s="310" t="n"/>
      <c r="J15" s="310" t="n"/>
      <c r="K15" s="310" t="n"/>
      <c r="L15" s="310" t="n"/>
      <c r="M15" s="310" t="n"/>
      <c r="N15" s="310" t="n"/>
      <c r="O15" s="310" t="n"/>
      <c r="P15" s="310" t="n"/>
      <c r="Q15" s="310" t="n"/>
      <c r="R15" s="310" t="n"/>
      <c r="S15" s="310" t="n"/>
      <c r="T15" s="310" t="n"/>
      <c r="U15" s="310" t="n"/>
      <c r="V15" s="310" t="n"/>
    </row>
    <row r="16">
      <c r="A16" s="104" t="inlineStr">
        <is>
          <t>Blended partner ownership %</t>
        </is>
      </c>
      <c r="B16" s="98">
        <f>IFERROR(Valuation!$F$10/Valuation!$F$9,0)</f>
        <v/>
      </c>
      <c r="C16" s="98">
        <f>IFERROR(Valuation!$F$10/Valuation!$F$9,0)</f>
        <v/>
      </c>
      <c r="D16" s="98">
        <f>IFERROR(Valuation!$F$10/Valuation!$F$9,0)</f>
        <v/>
      </c>
      <c r="E16" s="98">
        <f>IFERROR(Valuation!$F$10/Valuation!$F$9,0)</f>
        <v/>
      </c>
      <c r="F16" s="98">
        <f>IFERROR(Valuation!$F$10/Valuation!$F$9,0)</f>
        <v/>
      </c>
      <c r="G16" s="98">
        <f>IFERROR(Valuation!$F$10/Valuation!$F$9,0)</f>
        <v/>
      </c>
      <c r="H16" s="98">
        <f>IFERROR(Valuation!$F$10/Valuation!$F$9,0)</f>
        <v/>
      </c>
      <c r="I16" s="98">
        <f>IFERROR(Valuation!$F$10/Valuation!$F$9,0)</f>
        <v/>
      </c>
      <c r="J16" s="98">
        <f>IFERROR(Valuation!$F$10/Valuation!$F$9,0)</f>
        <v/>
      </c>
      <c r="K16" s="98">
        <f>IFERROR(Valuation!$F$10/Valuation!$F$9,0)</f>
        <v/>
      </c>
      <c r="L16" s="98">
        <f>IFERROR(Valuation!$F$10/Valuation!$F$9,0)</f>
        <v/>
      </c>
      <c r="M16" s="98">
        <f>IFERROR(Valuation!$F$10/Valuation!$F$9,0)</f>
        <v/>
      </c>
      <c r="N16" s="98">
        <f>IFERROR(Valuation!$F$10/Valuation!$F$9,0)</f>
        <v/>
      </c>
      <c r="O16" s="98">
        <f>IFERROR(Valuation!$F$10/Valuation!$F$9,0)</f>
        <v/>
      </c>
      <c r="P16" s="98">
        <f>IFERROR(Valuation!$F$10/Valuation!$F$9,0)</f>
        <v/>
      </c>
      <c r="Q16" s="98">
        <f>IFERROR(Valuation!$F$10/Valuation!$F$9,0)</f>
        <v/>
      </c>
      <c r="R16" s="98">
        <f>IFERROR(Valuation!$F$10/Valuation!$F$9,0)</f>
        <v/>
      </c>
      <c r="S16" s="98">
        <f>IFERROR(Valuation!$F$10/Valuation!$F$9,0)</f>
        <v/>
      </c>
      <c r="T16" s="98">
        <f>IFERROR(Valuation!$F$10/Valuation!$F$9,0)</f>
        <v/>
      </c>
      <c r="U16" s="98">
        <f>IFERROR(Valuation!$F$10/Valuation!$F$9,0)</f>
        <v/>
      </c>
      <c r="V16" s="98">
        <f>IFERROR(Valuation!$F$10/Valuation!$F$9,0)</f>
        <v/>
      </c>
    </row>
    <row r="17">
      <c r="A17" s="104" t="inlineStr">
        <is>
          <t>Investor share of NOI</t>
        </is>
      </c>
      <c r="B17" s="96">
        <f>0</f>
        <v/>
      </c>
      <c r="C17" s="96">
        <f>C10*C16</f>
        <v/>
      </c>
      <c r="D17" s="96">
        <f>D10*D16</f>
        <v/>
      </c>
      <c r="E17" s="96">
        <f>E10*E16</f>
        <v/>
      </c>
      <c r="F17" s="96">
        <f>F10*F16</f>
        <v/>
      </c>
      <c r="G17" s="96">
        <f>G10*G16</f>
        <v/>
      </c>
      <c r="H17" s="96">
        <f>H10*H16</f>
        <v/>
      </c>
      <c r="I17" s="96">
        <f>I10*I16</f>
        <v/>
      </c>
      <c r="J17" s="96">
        <f>J10*J16</f>
        <v/>
      </c>
      <c r="K17" s="96">
        <f>K10*K16</f>
        <v/>
      </c>
      <c r="L17" s="96">
        <f>L10*L16</f>
        <v/>
      </c>
      <c r="M17" s="96">
        <f>M10*M16</f>
        <v/>
      </c>
      <c r="N17" s="96">
        <f>N10*N16</f>
        <v/>
      </c>
      <c r="O17" s="96">
        <f>O10*O16</f>
        <v/>
      </c>
      <c r="P17" s="96">
        <f>P10*P16</f>
        <v/>
      </c>
      <c r="Q17" s="96">
        <f>Q10*Q16</f>
        <v/>
      </c>
      <c r="R17" s="96">
        <f>R10*R16</f>
        <v/>
      </c>
      <c r="S17" s="96">
        <f>S10*S16</f>
        <v/>
      </c>
      <c r="T17" s="96">
        <f>T10*T16</f>
        <v/>
      </c>
      <c r="U17" s="96">
        <f>U10*U16</f>
        <v/>
      </c>
      <c r="V17" s="96">
        <f>V10*V16</f>
        <v/>
      </c>
    </row>
    <row r="18">
      <c r="A18" s="104" t="inlineStr">
        <is>
          <t>Investor share of NPAT</t>
        </is>
      </c>
      <c r="B18" s="96">
        <f>0</f>
        <v/>
      </c>
      <c r="C18" s="96">
        <f>C12*C16</f>
        <v/>
      </c>
      <c r="D18" s="96">
        <f>D12*D16</f>
        <v/>
      </c>
      <c r="E18" s="96">
        <f>E12*E16</f>
        <v/>
      </c>
      <c r="F18" s="96">
        <f>F12*F16</f>
        <v/>
      </c>
      <c r="G18" s="96">
        <f>G12*G16</f>
        <v/>
      </c>
      <c r="H18" s="96">
        <f>H12*H16</f>
        <v/>
      </c>
      <c r="I18" s="96">
        <f>I12*I16</f>
        <v/>
      </c>
      <c r="J18" s="96">
        <f>J12*J16</f>
        <v/>
      </c>
      <c r="K18" s="96">
        <f>K12*K16</f>
        <v/>
      </c>
      <c r="L18" s="96">
        <f>L12*L16</f>
        <v/>
      </c>
      <c r="M18" s="96">
        <f>M12*M16</f>
        <v/>
      </c>
      <c r="N18" s="96">
        <f>N12*N16</f>
        <v/>
      </c>
      <c r="O18" s="96">
        <f>O12*O16</f>
        <v/>
      </c>
      <c r="P18" s="96">
        <f>P12*P16</f>
        <v/>
      </c>
      <c r="Q18" s="96">
        <f>Q12*Q16</f>
        <v/>
      </c>
      <c r="R18" s="96">
        <f>R12*R16</f>
        <v/>
      </c>
      <c r="S18" s="96">
        <f>S12*S16</f>
        <v/>
      </c>
      <c r="T18" s="96">
        <f>T12*T16</f>
        <v/>
      </c>
      <c r="U18" s="96">
        <f>U12*U16</f>
        <v/>
      </c>
      <c r="V18" s="96">
        <f>V12*V16</f>
        <v/>
      </c>
    </row>
    <row r="19">
      <c r="A19" s="104" t="inlineStr">
        <is>
          <t>Cash-on-cash yield</t>
        </is>
      </c>
      <c r="B19" s="98">
        <f>""</f>
        <v/>
      </c>
      <c r="C19" s="98">
        <f>'INV - Investor KPIs'!C9</f>
        <v/>
      </c>
      <c r="D19" s="98">
        <f>'INV - Investor KPIs'!D9</f>
        <v/>
      </c>
      <c r="E19" s="98">
        <f>'INV - Investor KPIs'!E9</f>
        <v/>
      </c>
      <c r="F19" s="98">
        <f>'INV - Investor KPIs'!F9</f>
        <v/>
      </c>
      <c r="G19" s="98">
        <f>'INV - Investor KPIs'!G9</f>
        <v/>
      </c>
      <c r="H19" s="98">
        <f>'INV - Investor KPIs'!H9</f>
        <v/>
      </c>
      <c r="I19" s="98">
        <f>'INV - Investor KPIs'!I9</f>
        <v/>
      </c>
      <c r="J19" s="98">
        <f>'INV - Investor KPIs'!J9</f>
        <v/>
      </c>
      <c r="K19" s="98">
        <f>'INV - Investor KPIs'!K9</f>
        <v/>
      </c>
      <c r="L19" s="98">
        <f>'INV - Investor KPIs'!L9</f>
        <v/>
      </c>
      <c r="M19" s="98">
        <f>'INV - Investor KPIs'!M9</f>
        <v/>
      </c>
      <c r="N19" s="98">
        <f>'INV - Investor KPIs'!N9</f>
        <v/>
      </c>
      <c r="O19" s="98">
        <f>'INV - Investor KPIs'!O9</f>
        <v/>
      </c>
      <c r="P19" s="98">
        <f>'INV - Investor KPIs'!P9</f>
        <v/>
      </c>
      <c r="Q19" s="98">
        <f>'INV - Investor KPIs'!Q9</f>
        <v/>
      </c>
      <c r="R19" s="98">
        <f>'INV - Investor KPIs'!R9</f>
        <v/>
      </c>
      <c r="S19" s="98">
        <f>'INV - Investor KPIs'!S9</f>
        <v/>
      </c>
      <c r="T19" s="98">
        <f>'INV - Investor KPIs'!T9</f>
        <v/>
      </c>
      <c r="U19" s="98">
        <f>'INV - Investor KPIs'!U9</f>
        <v/>
      </c>
      <c r="V19" s="98">
        <f>'INV - Investor KPIs'!V9</f>
        <v/>
      </c>
    </row>
    <row r="20">
      <c r="A20" s="101" t="n"/>
      <c r="B20" s="94" t="n"/>
      <c r="C20" s="94" t="n"/>
      <c r="D20" s="94" t="n"/>
      <c r="E20" s="94" t="n"/>
      <c r="F20" s="94" t="n"/>
      <c r="G20" s="94" t="n"/>
      <c r="H20" s="94" t="n"/>
      <c r="I20" s="94" t="n"/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  <c r="V20" s="94" t="n"/>
    </row>
    <row r="21">
      <c r="A21" s="315" t="inlineStr">
        <is>
          <t>CONSOLIDATED BALANCE SHEET</t>
        </is>
      </c>
      <c r="B21" s="310" t="n"/>
      <c r="C21" s="310" t="n"/>
      <c r="D21" s="310" t="n"/>
      <c r="E21" s="310" t="n"/>
      <c r="F21" s="310" t="n"/>
      <c r="G21" s="310" t="n"/>
      <c r="H21" s="310" t="n"/>
      <c r="I21" s="310" t="n"/>
      <c r="J21" s="310" t="n"/>
      <c r="K21" s="310" t="n"/>
      <c r="L21" s="310" t="n"/>
      <c r="M21" s="310" t="n"/>
      <c r="N21" s="310" t="n"/>
      <c r="O21" s="310" t="n"/>
      <c r="P21" s="310" t="n"/>
      <c r="Q21" s="310" t="n"/>
      <c r="R21" s="310" t="n"/>
      <c r="S21" s="310" t="n"/>
      <c r="T21" s="310" t="n"/>
      <c r="U21" s="310" t="n"/>
      <c r="V21" s="310" t="n"/>
    </row>
    <row r="22">
      <c r="A22" s="101" t="inlineStr">
        <is>
          <t>Cash</t>
        </is>
      </c>
      <c r="B22" s="96">
        <f>0</f>
        <v/>
      </c>
      <c r="C22" s="96">
        <f>C46</f>
        <v/>
      </c>
      <c r="D22" s="96">
        <f>D46</f>
        <v/>
      </c>
      <c r="E22" s="96">
        <f>E46</f>
        <v/>
      </c>
      <c r="F22" s="96">
        <f>F46</f>
        <v/>
      </c>
      <c r="G22" s="96">
        <f>G46</f>
        <v/>
      </c>
      <c r="H22" s="96">
        <f>H46</f>
        <v/>
      </c>
      <c r="I22" s="96">
        <f>I46</f>
        <v/>
      </c>
      <c r="J22" s="96">
        <f>J46</f>
        <v/>
      </c>
      <c r="K22" s="96">
        <f>K46</f>
        <v/>
      </c>
      <c r="L22" s="96">
        <f>L46</f>
        <v/>
      </c>
      <c r="M22" s="96">
        <f>M46</f>
        <v/>
      </c>
      <c r="N22" s="96">
        <f>N46</f>
        <v/>
      </c>
      <c r="O22" s="96">
        <f>O46</f>
        <v/>
      </c>
      <c r="P22" s="96">
        <f>P46</f>
        <v/>
      </c>
      <c r="Q22" s="96">
        <f>Q46</f>
        <v/>
      </c>
      <c r="R22" s="96">
        <f>R46</f>
        <v/>
      </c>
      <c r="S22" s="96">
        <f>S46</f>
        <v/>
      </c>
      <c r="T22" s="96">
        <f>T46</f>
        <v/>
      </c>
      <c r="U22" s="96">
        <f>U46</f>
        <v/>
      </c>
      <c r="V22" s="96">
        <f>V46</f>
        <v/>
      </c>
    </row>
    <row r="23">
      <c r="A23" s="101" t="inlineStr">
        <is>
          <t>Property assets / portfolio fair value</t>
        </is>
      </c>
      <c r="B23" s="96">
        <f>Valuation!$F$9</f>
        <v/>
      </c>
      <c r="C23" s="96">
        <f>Valuation!$F$9*POWER(1+Control!$B$74,C$5)</f>
        <v/>
      </c>
      <c r="D23" s="96">
        <f>Valuation!$F$9*POWER(1+Control!$B$74,D$5)</f>
        <v/>
      </c>
      <c r="E23" s="96">
        <f>Valuation!$F$9*POWER(1+Control!$B$74,E$5)</f>
        <v/>
      </c>
      <c r="F23" s="96">
        <f>Valuation!$F$9*POWER(1+Control!$B$74,F$5)</f>
        <v/>
      </c>
      <c r="G23" s="96">
        <f>Valuation!$F$9*POWER(1+Control!$B$74,G$5)</f>
        <v/>
      </c>
      <c r="H23" s="96">
        <f>Valuation!$F$9*POWER(1+Control!$B$74,H$5)</f>
        <v/>
      </c>
      <c r="I23" s="96">
        <f>Valuation!$F$9*POWER(1+Control!$B$74,I$5)</f>
        <v/>
      </c>
      <c r="J23" s="96">
        <f>Valuation!$F$9*POWER(1+Control!$B$74,J$5)</f>
        <v/>
      </c>
      <c r="K23" s="96">
        <f>Valuation!$F$9*POWER(1+Control!$B$74,K$5)</f>
        <v/>
      </c>
      <c r="L23" s="96">
        <f>Valuation!$F$9*POWER(1+Control!$B$74,L$5)</f>
        <v/>
      </c>
      <c r="M23" s="96">
        <f>Valuation!$F$9*POWER(1+Control!$B$74,M$5)</f>
        <v/>
      </c>
      <c r="N23" s="96">
        <f>Valuation!$F$9*POWER(1+Control!$B$74,N$5)</f>
        <v/>
      </c>
      <c r="O23" s="96">
        <f>Valuation!$F$9*POWER(1+Control!$B$74,O$5)</f>
        <v/>
      </c>
      <c r="P23" s="96">
        <f>Valuation!$F$9*POWER(1+Control!$B$74,P$5)</f>
        <v/>
      </c>
      <c r="Q23" s="96">
        <f>Valuation!$F$9*POWER(1+Control!$B$74,Q$5)</f>
        <v/>
      </c>
      <c r="R23" s="96">
        <f>Valuation!$F$9*POWER(1+Control!$B$74,R$5)</f>
        <v/>
      </c>
      <c r="S23" s="96">
        <f>Valuation!$F$9*POWER(1+Control!$B$74,S$5)</f>
        <v/>
      </c>
      <c r="T23" s="96">
        <f>Valuation!$F$9*POWER(1+Control!$B$74,T$5)</f>
        <v/>
      </c>
      <c r="U23" s="96">
        <f>Valuation!$F$9*POWER(1+Control!$B$74,U$5)</f>
        <v/>
      </c>
      <c r="V23" s="96">
        <f>Valuation!$F$9*POWER(1+Control!$B$74,V$5)</f>
        <v/>
      </c>
    </row>
    <row r="24">
      <c r="A24" s="103" t="inlineStr">
        <is>
          <t>TOTAL ASSETS</t>
        </is>
      </c>
      <c r="B24" s="97">
        <f>SUM(B22:B23)</f>
        <v/>
      </c>
      <c r="C24" s="97">
        <f>SUM(C22:C23)</f>
        <v/>
      </c>
      <c r="D24" s="97">
        <f>SUM(D22:D23)</f>
        <v/>
      </c>
      <c r="E24" s="97">
        <f>SUM(E22:E23)</f>
        <v/>
      </c>
      <c r="F24" s="97">
        <f>SUM(F22:F23)</f>
        <v/>
      </c>
      <c r="G24" s="97">
        <f>SUM(G22:G23)</f>
        <v/>
      </c>
      <c r="H24" s="97">
        <f>SUM(H22:H23)</f>
        <v/>
      </c>
      <c r="I24" s="97">
        <f>SUM(I22:I23)</f>
        <v/>
      </c>
      <c r="J24" s="97">
        <f>SUM(J22:J23)</f>
        <v/>
      </c>
      <c r="K24" s="97">
        <f>SUM(K22:K23)</f>
        <v/>
      </c>
      <c r="L24" s="97">
        <f>SUM(L22:L23)</f>
        <v/>
      </c>
      <c r="M24" s="97">
        <f>SUM(M22:M23)</f>
        <v/>
      </c>
      <c r="N24" s="97">
        <f>SUM(N22:N23)</f>
        <v/>
      </c>
      <c r="O24" s="97">
        <f>SUM(O22:O23)</f>
        <v/>
      </c>
      <c r="P24" s="97">
        <f>SUM(P22:P23)</f>
        <v/>
      </c>
      <c r="Q24" s="97">
        <f>SUM(Q22:Q23)</f>
        <v/>
      </c>
      <c r="R24" s="97">
        <f>SUM(R22:R23)</f>
        <v/>
      </c>
      <c r="S24" s="97">
        <f>SUM(S22:S23)</f>
        <v/>
      </c>
      <c r="T24" s="97">
        <f>SUM(T22:T23)</f>
        <v/>
      </c>
      <c r="U24" s="97">
        <f>SUM(U22:U23)</f>
        <v/>
      </c>
      <c r="V24" s="97">
        <f>SUM(V22:V23)</f>
        <v/>
      </c>
    </row>
    <row r="25">
      <c r="A25" s="101" t="inlineStr">
        <is>
          <t>Debt</t>
        </is>
      </c>
      <c r="B25" s="96">
        <f>0</f>
        <v/>
      </c>
      <c r="C25" s="96">
        <f>0</f>
        <v/>
      </c>
      <c r="D25" s="96">
        <f>0</f>
        <v/>
      </c>
      <c r="E25" s="96">
        <f>0</f>
        <v/>
      </c>
      <c r="F25" s="96">
        <f>0</f>
        <v/>
      </c>
      <c r="G25" s="96">
        <f>0</f>
        <v/>
      </c>
      <c r="H25" s="96">
        <f>0</f>
        <v/>
      </c>
      <c r="I25" s="96">
        <f>0</f>
        <v/>
      </c>
      <c r="J25" s="96">
        <f>0</f>
        <v/>
      </c>
      <c r="K25" s="96">
        <f>0</f>
        <v/>
      </c>
      <c r="L25" s="96">
        <f>0</f>
        <v/>
      </c>
      <c r="M25" s="96">
        <f>0</f>
        <v/>
      </c>
      <c r="N25" s="96">
        <f>0</f>
        <v/>
      </c>
      <c r="O25" s="96">
        <f>0</f>
        <v/>
      </c>
      <c r="P25" s="96">
        <f>0</f>
        <v/>
      </c>
      <c r="Q25" s="96">
        <f>0</f>
        <v/>
      </c>
      <c r="R25" s="96">
        <f>0</f>
        <v/>
      </c>
      <c r="S25" s="96">
        <f>0</f>
        <v/>
      </c>
      <c r="T25" s="96">
        <f>0</f>
        <v/>
      </c>
      <c r="U25" s="96">
        <f>0</f>
        <v/>
      </c>
      <c r="V25" s="96">
        <f>0</f>
        <v/>
      </c>
    </row>
    <row r="26">
      <c r="A26" s="101" t="inlineStr">
        <is>
          <t>TOTAL LIABILITIES</t>
        </is>
      </c>
      <c r="B26" s="96">
        <f>B25</f>
        <v/>
      </c>
      <c r="C26" s="96">
        <f>C25</f>
        <v/>
      </c>
      <c r="D26" s="96">
        <f>D25</f>
        <v/>
      </c>
      <c r="E26" s="96">
        <f>E25</f>
        <v/>
      </c>
      <c r="F26" s="96">
        <f>F25</f>
        <v/>
      </c>
      <c r="G26" s="96">
        <f>G25</f>
        <v/>
      </c>
      <c r="H26" s="96">
        <f>H25</f>
        <v/>
      </c>
      <c r="I26" s="96">
        <f>I25</f>
        <v/>
      </c>
      <c r="J26" s="96">
        <f>J25</f>
        <v/>
      </c>
      <c r="K26" s="96">
        <f>K25</f>
        <v/>
      </c>
      <c r="L26" s="96">
        <f>L25</f>
        <v/>
      </c>
      <c r="M26" s="96">
        <f>M25</f>
        <v/>
      </c>
      <c r="N26" s="96">
        <f>N25</f>
        <v/>
      </c>
      <c r="O26" s="96">
        <f>O25</f>
        <v/>
      </c>
      <c r="P26" s="96">
        <f>P25</f>
        <v/>
      </c>
      <c r="Q26" s="96">
        <f>Q25</f>
        <v/>
      </c>
      <c r="R26" s="96">
        <f>R25</f>
        <v/>
      </c>
      <c r="S26" s="96">
        <f>S25</f>
        <v/>
      </c>
      <c r="T26" s="96">
        <f>T25</f>
        <v/>
      </c>
      <c r="U26" s="96">
        <f>U25</f>
        <v/>
      </c>
      <c r="V26" s="96">
        <f>V25</f>
        <v/>
      </c>
    </row>
    <row r="27">
      <c r="A27" s="101" t="inlineStr">
        <is>
          <t>Opening contributed property equity</t>
        </is>
      </c>
      <c r="B27" s="96">
        <f>Valuation!$F$9</f>
        <v/>
      </c>
      <c r="C27" s="96">
        <f>Valuation!$F$9</f>
        <v/>
      </c>
      <c r="D27" s="96">
        <f>Valuation!$F$9</f>
        <v/>
      </c>
      <c r="E27" s="96">
        <f>Valuation!$F$9</f>
        <v/>
      </c>
      <c r="F27" s="96">
        <f>Valuation!$F$9</f>
        <v/>
      </c>
      <c r="G27" s="96">
        <f>Valuation!$F$9</f>
        <v/>
      </c>
      <c r="H27" s="96">
        <f>Valuation!$F$9</f>
        <v/>
      </c>
      <c r="I27" s="96">
        <f>Valuation!$F$9</f>
        <v/>
      </c>
      <c r="J27" s="96">
        <f>Valuation!$F$9</f>
        <v/>
      </c>
      <c r="K27" s="96">
        <f>Valuation!$F$9</f>
        <v/>
      </c>
      <c r="L27" s="96">
        <f>Valuation!$F$9</f>
        <v/>
      </c>
      <c r="M27" s="96">
        <f>Valuation!$F$9</f>
        <v/>
      </c>
      <c r="N27" s="96">
        <f>Valuation!$F$9</f>
        <v/>
      </c>
      <c r="O27" s="96">
        <f>Valuation!$F$9</f>
        <v/>
      </c>
      <c r="P27" s="96">
        <f>Valuation!$F$9</f>
        <v/>
      </c>
      <c r="Q27" s="96">
        <f>Valuation!$F$9</f>
        <v/>
      </c>
      <c r="R27" s="96">
        <f>Valuation!$F$9</f>
        <v/>
      </c>
      <c r="S27" s="96">
        <f>Valuation!$F$9</f>
        <v/>
      </c>
      <c r="T27" s="96">
        <f>Valuation!$F$9</f>
        <v/>
      </c>
      <c r="U27" s="96">
        <f>Valuation!$F$9</f>
        <v/>
      </c>
      <c r="V27" s="96">
        <f>Valuation!$F$9</f>
        <v/>
      </c>
    </row>
    <row r="28">
      <c r="A28" s="101" t="inlineStr">
        <is>
          <t>Cumulative retained earnings</t>
        </is>
      </c>
      <c r="B28" s="96">
        <f>0</f>
        <v/>
      </c>
      <c r="C28" s="96">
        <f>B28+C42+C44</f>
        <v/>
      </c>
      <c r="D28" s="96">
        <f>C28+D42+D44</f>
        <v/>
      </c>
      <c r="E28" s="96">
        <f>D28+E42+E44</f>
        <v/>
      </c>
      <c r="F28" s="96">
        <f>E28+F42+F44</f>
        <v/>
      </c>
      <c r="G28" s="96">
        <f>F28+G42+G44</f>
        <v/>
      </c>
      <c r="H28" s="96">
        <f>G28+H42+H44</f>
        <v/>
      </c>
      <c r="I28" s="96">
        <f>H28+I42+I44</f>
        <v/>
      </c>
      <c r="J28" s="96">
        <f>I28+J42+J44</f>
        <v/>
      </c>
      <c r="K28" s="96">
        <f>J28+K42+K44</f>
        <v/>
      </c>
      <c r="L28" s="96">
        <f>K28+L42+L44</f>
        <v/>
      </c>
      <c r="M28" s="96">
        <f>L28+M42+M44</f>
        <v/>
      </c>
      <c r="N28" s="96">
        <f>M28+N42+N44</f>
        <v/>
      </c>
      <c r="O28" s="96">
        <f>N28+O42+O44</f>
        <v/>
      </c>
      <c r="P28" s="96">
        <f>O28+P42+P44</f>
        <v/>
      </c>
      <c r="Q28" s="96">
        <f>P28+Q42+Q44</f>
        <v/>
      </c>
      <c r="R28" s="96">
        <f>Q28+R42+R44</f>
        <v/>
      </c>
      <c r="S28" s="96">
        <f>R28+S42+S44</f>
        <v/>
      </c>
      <c r="T28" s="96">
        <f>S28+T42+T44</f>
        <v/>
      </c>
      <c r="U28" s="96">
        <f>T28+U42+U44</f>
        <v/>
      </c>
      <c r="V28" s="96">
        <f>U28+V42+V44</f>
        <v/>
      </c>
    </row>
    <row r="29">
      <c r="A29" s="101" t="inlineStr">
        <is>
          <t>Fair value / revaluation reserve</t>
        </is>
      </c>
      <c r="B29" s="96">
        <f>B30-B27-B28</f>
        <v/>
      </c>
      <c r="C29" s="96">
        <f>C30-C27-C28</f>
        <v/>
      </c>
      <c r="D29" s="96">
        <f>D30-D27-D28</f>
        <v/>
      </c>
      <c r="E29" s="96">
        <f>E30-E27-E28</f>
        <v/>
      </c>
      <c r="F29" s="96">
        <f>F30-F27-F28</f>
        <v/>
      </c>
      <c r="G29" s="96">
        <f>G30-G27-G28</f>
        <v/>
      </c>
      <c r="H29" s="96">
        <f>H30-H27-H28</f>
        <v/>
      </c>
      <c r="I29" s="96">
        <f>I30-I27-I28</f>
        <v/>
      </c>
      <c r="J29" s="96">
        <f>J30-J27-J28</f>
        <v/>
      </c>
      <c r="K29" s="96">
        <f>K30-K27-K28</f>
        <v/>
      </c>
      <c r="L29" s="96">
        <f>L30-L27-L28</f>
        <v/>
      </c>
      <c r="M29" s="96">
        <f>M30-M27-M28</f>
        <v/>
      </c>
      <c r="N29" s="96">
        <f>N30-N27-N28</f>
        <v/>
      </c>
      <c r="O29" s="96">
        <f>O30-O27-O28</f>
        <v/>
      </c>
      <c r="P29" s="96">
        <f>P30-P27-P28</f>
        <v/>
      </c>
      <c r="Q29" s="96">
        <f>Q30-Q27-Q28</f>
        <v/>
      </c>
      <c r="R29" s="96">
        <f>R30-R27-R28</f>
        <v/>
      </c>
      <c r="S29" s="96">
        <f>S30-S27-S28</f>
        <v/>
      </c>
      <c r="T29" s="96">
        <f>T30-T27-T28</f>
        <v/>
      </c>
      <c r="U29" s="96">
        <f>U30-U27-U28</f>
        <v/>
      </c>
      <c r="V29" s="96">
        <f>V30-V27-V28</f>
        <v/>
      </c>
    </row>
    <row r="30">
      <c r="A30" s="103" t="inlineStr">
        <is>
          <t>TOTAL EQUITY</t>
        </is>
      </c>
      <c r="B30" s="97">
        <f>B24-B26</f>
        <v/>
      </c>
      <c r="C30" s="97">
        <f>C24-C26</f>
        <v/>
      </c>
      <c r="D30" s="97">
        <f>D24-D26</f>
        <v/>
      </c>
      <c r="E30" s="97">
        <f>E24-E26</f>
        <v/>
      </c>
      <c r="F30" s="97">
        <f>F24-F26</f>
        <v/>
      </c>
      <c r="G30" s="97">
        <f>G24-G26</f>
        <v/>
      </c>
      <c r="H30" s="97">
        <f>H24-H26</f>
        <v/>
      </c>
      <c r="I30" s="97">
        <f>I24-I26</f>
        <v/>
      </c>
      <c r="J30" s="97">
        <f>J24-J26</f>
        <v/>
      </c>
      <c r="K30" s="97">
        <f>K24-K26</f>
        <v/>
      </c>
      <c r="L30" s="97">
        <f>L24-L26</f>
        <v/>
      </c>
      <c r="M30" s="97">
        <f>M24-M26</f>
        <v/>
      </c>
      <c r="N30" s="97">
        <f>N24-N26</f>
        <v/>
      </c>
      <c r="O30" s="97">
        <f>O24-O26</f>
        <v/>
      </c>
      <c r="P30" s="97">
        <f>P24-P26</f>
        <v/>
      </c>
      <c r="Q30" s="97">
        <f>Q24-Q26</f>
        <v/>
      </c>
      <c r="R30" s="97">
        <f>R24-R26</f>
        <v/>
      </c>
      <c r="S30" s="97">
        <f>S24-S26</f>
        <v/>
      </c>
      <c r="T30" s="97">
        <f>T24-T26</f>
        <v/>
      </c>
      <c r="U30" s="97">
        <f>U24-U26</f>
        <v/>
      </c>
      <c r="V30" s="97">
        <f>V24-V26</f>
        <v/>
      </c>
    </row>
    <row r="31">
      <c r="A31" s="103" t="inlineStr">
        <is>
          <t>TOTAL LIABILITIES + EQUITY</t>
        </is>
      </c>
      <c r="B31" s="97">
        <f>B26+B30</f>
        <v/>
      </c>
      <c r="C31" s="97">
        <f>C26+C30</f>
        <v/>
      </c>
      <c r="D31" s="97">
        <f>D26+D30</f>
        <v/>
      </c>
      <c r="E31" s="97">
        <f>E26+E30</f>
        <v/>
      </c>
      <c r="F31" s="97">
        <f>F26+F30</f>
        <v/>
      </c>
      <c r="G31" s="97">
        <f>G26+G30</f>
        <v/>
      </c>
      <c r="H31" s="97">
        <f>H26+H30</f>
        <v/>
      </c>
      <c r="I31" s="97">
        <f>I26+I30</f>
        <v/>
      </c>
      <c r="J31" s="97">
        <f>J26+J30</f>
        <v/>
      </c>
      <c r="K31" s="97">
        <f>K26+K30</f>
        <v/>
      </c>
      <c r="L31" s="97">
        <f>L26+L30</f>
        <v/>
      </c>
      <c r="M31" s="97">
        <f>M26+M30</f>
        <v/>
      </c>
      <c r="N31" s="97">
        <f>N26+N30</f>
        <v/>
      </c>
      <c r="O31" s="97">
        <f>O26+O30</f>
        <v/>
      </c>
      <c r="P31" s="97">
        <f>P26+P30</f>
        <v/>
      </c>
      <c r="Q31" s="97">
        <f>Q26+Q30</f>
        <v/>
      </c>
      <c r="R31" s="97">
        <f>R26+R30</f>
        <v/>
      </c>
      <c r="S31" s="97">
        <f>S26+S30</f>
        <v/>
      </c>
      <c r="T31" s="97">
        <f>T26+T30</f>
        <v/>
      </c>
      <c r="U31" s="97">
        <f>U26+U30</f>
        <v/>
      </c>
      <c r="V31" s="97">
        <f>V26+V30</f>
        <v/>
      </c>
    </row>
    <row r="32">
      <c r="A32" s="101" t="inlineStr">
        <is>
          <t>Balance sheet check</t>
        </is>
      </c>
      <c r="B32" s="94">
        <f>B24-B31</f>
        <v/>
      </c>
      <c r="C32" s="94">
        <f>C24-C31</f>
        <v/>
      </c>
      <c r="D32" s="94">
        <f>D24-D31</f>
        <v/>
      </c>
      <c r="E32" s="94">
        <f>E24-E31</f>
        <v/>
      </c>
      <c r="F32" s="94">
        <f>F24-F31</f>
        <v/>
      </c>
      <c r="G32" s="94">
        <f>G24-G31</f>
        <v/>
      </c>
      <c r="H32" s="94">
        <f>H24-H31</f>
        <v/>
      </c>
      <c r="I32" s="94">
        <f>I24-I31</f>
        <v/>
      </c>
      <c r="J32" s="94">
        <f>J24-J31</f>
        <v/>
      </c>
      <c r="K32" s="94">
        <f>K24-K31</f>
        <v/>
      </c>
      <c r="L32" s="94">
        <f>L24-L31</f>
        <v/>
      </c>
      <c r="M32" s="94">
        <f>M24-M31</f>
        <v/>
      </c>
      <c r="N32" s="94">
        <f>N24-N31</f>
        <v/>
      </c>
      <c r="O32" s="94">
        <f>O24-O31</f>
        <v/>
      </c>
      <c r="P32" s="94">
        <f>P24-P31</f>
        <v/>
      </c>
      <c r="Q32" s="94">
        <f>Q24-Q31</f>
        <v/>
      </c>
      <c r="R32" s="94">
        <f>R24-R31</f>
        <v/>
      </c>
      <c r="S32" s="94">
        <f>S24-S31</f>
        <v/>
      </c>
      <c r="T32" s="94">
        <f>T24-T31</f>
        <v/>
      </c>
      <c r="U32" s="94">
        <f>U24-U31</f>
        <v/>
      </c>
      <c r="V32" s="94">
        <f>V24-V31</f>
        <v/>
      </c>
    </row>
    <row r="33">
      <c r="A33" s="101" t="n"/>
      <c r="B33" s="94" t="n"/>
      <c r="C33" s="94" t="n"/>
      <c r="D33" s="94" t="n"/>
      <c r="E33" s="94" t="n"/>
      <c r="F33" s="94" t="n"/>
      <c r="G33" s="94" t="n"/>
      <c r="H33" s="94" t="n"/>
      <c r="I33" s="94" t="n"/>
      <c r="J33" s="94" t="n"/>
      <c r="K33" s="94" t="n"/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  <c r="V33" s="94" t="n"/>
    </row>
    <row r="34">
      <c r="A34" s="315" t="inlineStr">
        <is>
          <t>INVESTOR — BALANCE SHEET VIEW</t>
        </is>
      </c>
      <c r="B34" s="310" t="n"/>
      <c r="C34" s="310" t="n"/>
      <c r="D34" s="310" t="n"/>
      <c r="E34" s="310" t="n"/>
      <c r="F34" s="310" t="n"/>
      <c r="G34" s="310" t="n"/>
      <c r="H34" s="310" t="n"/>
      <c r="I34" s="310" t="n"/>
      <c r="J34" s="310" t="n"/>
      <c r="K34" s="310" t="n"/>
      <c r="L34" s="310" t="n"/>
      <c r="M34" s="310" t="n"/>
      <c r="N34" s="310" t="n"/>
      <c r="O34" s="310" t="n"/>
      <c r="P34" s="310" t="n"/>
      <c r="Q34" s="310" t="n"/>
      <c r="R34" s="310" t="n"/>
      <c r="S34" s="310" t="n"/>
      <c r="T34" s="310" t="n"/>
      <c r="U34" s="310" t="n"/>
      <c r="V34" s="310" t="n"/>
    </row>
    <row r="35">
      <c r="A35" s="105" t="inlineStr">
        <is>
          <t>Partner NAV if exit this year</t>
        </is>
      </c>
      <c r="B35" s="97">
        <f>Valuation!$F$10</f>
        <v/>
      </c>
      <c r="C35" s="97">
        <f>'INV - Investor KPIs'!C11</f>
        <v/>
      </c>
      <c r="D35" s="97">
        <f>'INV - Investor KPIs'!D11</f>
        <v/>
      </c>
      <c r="E35" s="97">
        <f>'INV - Investor KPIs'!E11</f>
        <v/>
      </c>
      <c r="F35" s="97">
        <f>'INV - Investor KPIs'!F11</f>
        <v/>
      </c>
      <c r="G35" s="97">
        <f>'INV - Investor KPIs'!G11</f>
        <v/>
      </c>
      <c r="H35" s="97">
        <f>'INV - Investor KPIs'!H11</f>
        <v/>
      </c>
      <c r="I35" s="97">
        <f>'INV - Investor KPIs'!I11</f>
        <v/>
      </c>
      <c r="J35" s="97">
        <f>'INV - Investor KPIs'!J11</f>
        <v/>
      </c>
      <c r="K35" s="97">
        <f>'INV - Investor KPIs'!K11</f>
        <v/>
      </c>
      <c r="L35" s="97">
        <f>'INV - Investor KPIs'!L11</f>
        <v/>
      </c>
      <c r="M35" s="97">
        <f>'INV - Investor KPIs'!M11</f>
        <v/>
      </c>
      <c r="N35" s="97">
        <f>'INV - Investor KPIs'!N11</f>
        <v/>
      </c>
      <c r="O35" s="97">
        <f>'INV - Investor KPIs'!O11</f>
        <v/>
      </c>
      <c r="P35" s="97">
        <f>'INV - Investor KPIs'!P11</f>
        <v/>
      </c>
      <c r="Q35" s="97">
        <f>'INV - Investor KPIs'!Q11</f>
        <v/>
      </c>
      <c r="R35" s="97">
        <f>'INV - Investor KPIs'!R11</f>
        <v/>
      </c>
      <c r="S35" s="97">
        <f>'INV - Investor KPIs'!S11</f>
        <v/>
      </c>
      <c r="T35" s="97">
        <f>'INV - Investor KPIs'!T11</f>
        <v/>
      </c>
      <c r="U35" s="97">
        <f>'INV - Investor KPIs'!U11</f>
        <v/>
      </c>
      <c r="V35" s="97">
        <f>'INV - Investor KPIs'!V11</f>
        <v/>
      </c>
    </row>
    <row r="36">
      <c r="A36" s="104" t="inlineStr">
        <is>
          <t>Unrecovered capital</t>
        </is>
      </c>
      <c r="B36" s="96">
        <f>Control!$B$15</f>
        <v/>
      </c>
      <c r="C36" s="96">
        <f>'INV - Investor KPIs'!C8</f>
        <v/>
      </c>
      <c r="D36" s="96">
        <f>'INV - Investor KPIs'!D8</f>
        <v/>
      </c>
      <c r="E36" s="96">
        <f>'INV - Investor KPIs'!E8</f>
        <v/>
      </c>
      <c r="F36" s="96">
        <f>'INV - Investor KPIs'!F8</f>
        <v/>
      </c>
      <c r="G36" s="96">
        <f>'INV - Investor KPIs'!G8</f>
        <v/>
      </c>
      <c r="H36" s="96">
        <f>'INV - Investor KPIs'!H8</f>
        <v/>
      </c>
      <c r="I36" s="96">
        <f>'INV - Investor KPIs'!I8</f>
        <v/>
      </c>
      <c r="J36" s="96">
        <f>'INV - Investor KPIs'!J8</f>
        <v/>
      </c>
      <c r="K36" s="96">
        <f>'INV - Investor KPIs'!K8</f>
        <v/>
      </c>
      <c r="L36" s="96">
        <f>'INV - Investor KPIs'!L8</f>
        <v/>
      </c>
      <c r="M36" s="96">
        <f>'INV - Investor KPIs'!M8</f>
        <v/>
      </c>
      <c r="N36" s="96">
        <f>'INV - Investor KPIs'!N8</f>
        <v/>
      </c>
      <c r="O36" s="96">
        <f>'INV - Investor KPIs'!O8</f>
        <v/>
      </c>
      <c r="P36" s="96">
        <f>'INV - Investor KPIs'!P8</f>
        <v/>
      </c>
      <c r="Q36" s="96">
        <f>'INV - Investor KPIs'!Q8</f>
        <v/>
      </c>
      <c r="R36" s="96">
        <f>'INV - Investor KPIs'!R8</f>
        <v/>
      </c>
      <c r="S36" s="96">
        <f>'INV - Investor KPIs'!S8</f>
        <v/>
      </c>
      <c r="T36" s="96">
        <f>'INV - Investor KPIs'!T8</f>
        <v/>
      </c>
      <c r="U36" s="96">
        <f>'INV - Investor KPIs'!U8</f>
        <v/>
      </c>
      <c r="V36" s="96">
        <f>'INV - Investor KPIs'!V8</f>
        <v/>
      </c>
    </row>
    <row r="37">
      <c r="A37" s="105" t="inlineStr">
        <is>
          <t>Total value if exit this year</t>
        </is>
      </c>
      <c r="B37" s="97">
        <f>B35</f>
        <v/>
      </c>
      <c r="C37" s="97">
        <f>'INV - Investor KPIs'!C12</f>
        <v/>
      </c>
      <c r="D37" s="97">
        <f>'INV - Investor KPIs'!D12</f>
        <v/>
      </c>
      <c r="E37" s="97">
        <f>'INV - Investor KPIs'!E12</f>
        <v/>
      </c>
      <c r="F37" s="97">
        <f>'INV - Investor KPIs'!F12</f>
        <v/>
      </c>
      <c r="G37" s="97">
        <f>'INV - Investor KPIs'!G12</f>
        <v/>
      </c>
      <c r="H37" s="97">
        <f>'INV - Investor KPIs'!H12</f>
        <v/>
      </c>
      <c r="I37" s="97">
        <f>'INV - Investor KPIs'!I12</f>
        <v/>
      </c>
      <c r="J37" s="97">
        <f>'INV - Investor KPIs'!J12</f>
        <v/>
      </c>
      <c r="K37" s="97">
        <f>'INV - Investor KPIs'!K12</f>
        <v/>
      </c>
      <c r="L37" s="97">
        <f>'INV - Investor KPIs'!L12</f>
        <v/>
      </c>
      <c r="M37" s="97">
        <f>'INV - Investor KPIs'!M12</f>
        <v/>
      </c>
      <c r="N37" s="97">
        <f>'INV - Investor KPIs'!N12</f>
        <v/>
      </c>
      <c r="O37" s="97">
        <f>'INV - Investor KPIs'!O12</f>
        <v/>
      </c>
      <c r="P37" s="97">
        <f>'INV - Investor KPIs'!P12</f>
        <v/>
      </c>
      <c r="Q37" s="97">
        <f>'INV - Investor KPIs'!Q12</f>
        <v/>
      </c>
      <c r="R37" s="97">
        <f>'INV - Investor KPIs'!R12</f>
        <v/>
      </c>
      <c r="S37" s="97">
        <f>'INV - Investor KPIs'!S12</f>
        <v/>
      </c>
      <c r="T37" s="97">
        <f>'INV - Investor KPIs'!T12</f>
        <v/>
      </c>
      <c r="U37" s="97">
        <f>'INV - Investor KPIs'!U12</f>
        <v/>
      </c>
      <c r="V37" s="97">
        <f>'INV - Investor KPIs'!V12</f>
        <v/>
      </c>
    </row>
    <row r="38">
      <c r="A38" s="104" t="inlineStr">
        <is>
          <t>Total MOIC if exit</t>
        </is>
      </c>
      <c r="B38" s="99">
        <f>B37/Control!$B$15</f>
        <v/>
      </c>
      <c r="C38" s="99">
        <f>'INV - Investor KPIs'!C13</f>
        <v/>
      </c>
      <c r="D38" s="99">
        <f>'INV - Investor KPIs'!D13</f>
        <v/>
      </c>
      <c r="E38" s="99">
        <f>'INV - Investor KPIs'!E13</f>
        <v/>
      </c>
      <c r="F38" s="99">
        <f>'INV - Investor KPIs'!F13</f>
        <v/>
      </c>
      <c r="G38" s="99">
        <f>'INV - Investor KPIs'!G13</f>
        <v/>
      </c>
      <c r="H38" s="99">
        <f>'INV - Investor KPIs'!H13</f>
        <v/>
      </c>
      <c r="I38" s="99">
        <f>'INV - Investor KPIs'!I13</f>
        <v/>
      </c>
      <c r="J38" s="99">
        <f>'INV - Investor KPIs'!J13</f>
        <v/>
      </c>
      <c r="K38" s="99">
        <f>'INV - Investor KPIs'!K13</f>
        <v/>
      </c>
      <c r="L38" s="99">
        <f>'INV - Investor KPIs'!L13</f>
        <v/>
      </c>
      <c r="M38" s="99">
        <f>'INV - Investor KPIs'!M13</f>
        <v/>
      </c>
      <c r="N38" s="99">
        <f>'INV - Investor KPIs'!N13</f>
        <v/>
      </c>
      <c r="O38" s="99">
        <f>'INV - Investor KPIs'!O13</f>
        <v/>
      </c>
      <c r="P38" s="99">
        <f>'INV - Investor KPIs'!P13</f>
        <v/>
      </c>
      <c r="Q38" s="99">
        <f>'INV - Investor KPIs'!Q13</f>
        <v/>
      </c>
      <c r="R38" s="99">
        <f>'INV - Investor KPIs'!R13</f>
        <v/>
      </c>
      <c r="S38" s="99">
        <f>'INV - Investor KPIs'!S13</f>
        <v/>
      </c>
      <c r="T38" s="99">
        <f>'INV - Investor KPIs'!T13</f>
        <v/>
      </c>
      <c r="U38" s="99">
        <f>'INV - Investor KPIs'!U13</f>
        <v/>
      </c>
      <c r="V38" s="99">
        <f>'INV - Investor KPIs'!V13</f>
        <v/>
      </c>
    </row>
    <row r="39">
      <c r="A39" s="101" t="n"/>
      <c r="B39" s="94" t="n"/>
      <c r="C39" s="94" t="n"/>
      <c r="D39" s="94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</row>
    <row r="40">
      <c r="A40" s="315" t="inlineStr">
        <is>
          <t>CONSOLIDATED CASH FLOW STATEMENT</t>
        </is>
      </c>
      <c r="B40" s="310" t="n"/>
      <c r="C40" s="310" t="n"/>
      <c r="D40" s="310" t="n"/>
      <c r="E40" s="310" t="n"/>
      <c r="F40" s="310" t="n"/>
      <c r="G40" s="310" t="n"/>
      <c r="H40" s="310" t="n"/>
      <c r="I40" s="310" t="n"/>
      <c r="J40" s="310" t="n"/>
      <c r="K40" s="310" t="n"/>
      <c r="L40" s="310" t="n"/>
      <c r="M40" s="310" t="n"/>
      <c r="N40" s="310" t="n"/>
      <c r="O40" s="310" t="n"/>
      <c r="P40" s="310" t="n"/>
      <c r="Q40" s="310" t="n"/>
      <c r="R40" s="310" t="n"/>
      <c r="S40" s="310" t="n"/>
      <c r="T40" s="310" t="n"/>
      <c r="U40" s="310" t="n"/>
      <c r="V40" s="310" t="n"/>
    </row>
    <row r="41">
      <c r="A41" s="101" t="inlineStr">
        <is>
          <t>Beginning cash</t>
        </is>
      </c>
      <c r="B41" s="96">
        <f>0</f>
        <v/>
      </c>
      <c r="C41" s="96">
        <f>B46</f>
        <v/>
      </c>
      <c r="D41" s="96">
        <f>C46</f>
        <v/>
      </c>
      <c r="E41" s="96">
        <f>D46</f>
        <v/>
      </c>
      <c r="F41" s="96">
        <f>E46</f>
        <v/>
      </c>
      <c r="G41" s="96">
        <f>F46</f>
        <v/>
      </c>
      <c r="H41" s="96">
        <f>G46</f>
        <v/>
      </c>
      <c r="I41" s="96">
        <f>H46</f>
        <v/>
      </c>
      <c r="J41" s="96">
        <f>I46</f>
        <v/>
      </c>
      <c r="K41" s="96">
        <f>J46</f>
        <v/>
      </c>
      <c r="L41" s="96">
        <f>K46</f>
        <v/>
      </c>
      <c r="M41" s="96">
        <f>L46</f>
        <v/>
      </c>
      <c r="N41" s="96">
        <f>M46</f>
        <v/>
      </c>
      <c r="O41" s="96">
        <f>N46</f>
        <v/>
      </c>
      <c r="P41" s="96">
        <f>O46</f>
        <v/>
      </c>
      <c r="Q41" s="96">
        <f>P46</f>
        <v/>
      </c>
      <c r="R41" s="96">
        <f>Q46</f>
        <v/>
      </c>
      <c r="S41" s="96">
        <f>R46</f>
        <v/>
      </c>
      <c r="T41" s="96">
        <f>S46</f>
        <v/>
      </c>
      <c r="U41" s="96">
        <f>T46</f>
        <v/>
      </c>
      <c r="V41" s="96">
        <f>U46</f>
        <v/>
      </c>
    </row>
    <row r="42">
      <c r="A42" s="101" t="inlineStr">
        <is>
          <t>NPAT</t>
        </is>
      </c>
      <c r="B42" s="96">
        <f>0</f>
        <v/>
      </c>
      <c r="C42" s="96">
        <f>C12</f>
        <v/>
      </c>
      <c r="D42" s="96">
        <f>D12</f>
        <v/>
      </c>
      <c r="E42" s="96">
        <f>E12</f>
        <v/>
      </c>
      <c r="F42" s="96">
        <f>F12</f>
        <v/>
      </c>
      <c r="G42" s="96">
        <f>G12</f>
        <v/>
      </c>
      <c r="H42" s="96">
        <f>H12</f>
        <v/>
      </c>
      <c r="I42" s="96">
        <f>I12</f>
        <v/>
      </c>
      <c r="J42" s="96">
        <f>J12</f>
        <v/>
      </c>
      <c r="K42" s="96">
        <f>K12</f>
        <v/>
      </c>
      <c r="L42" s="96">
        <f>L12</f>
        <v/>
      </c>
      <c r="M42" s="96">
        <f>M12</f>
        <v/>
      </c>
      <c r="N42" s="96">
        <f>N12</f>
        <v/>
      </c>
      <c r="O42" s="96">
        <f>O12</f>
        <v/>
      </c>
      <c r="P42" s="96">
        <f>P12</f>
        <v/>
      </c>
      <c r="Q42" s="96">
        <f>Q12</f>
        <v/>
      </c>
      <c r="R42" s="96">
        <f>R12</f>
        <v/>
      </c>
      <c r="S42" s="96">
        <f>S12</f>
        <v/>
      </c>
      <c r="T42" s="96">
        <f>T12</f>
        <v/>
      </c>
      <c r="U42" s="96">
        <f>U12</f>
        <v/>
      </c>
      <c r="V42" s="96">
        <f>V12</f>
        <v/>
      </c>
    </row>
    <row r="43">
      <c r="A43" s="101" t="inlineStr">
        <is>
          <t>Winchester construction capex</t>
        </is>
      </c>
      <c r="B43" s="96">
        <f>0</f>
        <v/>
      </c>
      <c r="C43" s="96">
        <f>'Portfolio NewCo'!B14</f>
        <v/>
      </c>
      <c r="D43" s="96">
        <f>'Portfolio NewCo'!C14</f>
        <v/>
      </c>
      <c r="E43" s="96">
        <f>'Portfolio NewCo'!D14</f>
        <v/>
      </c>
      <c r="F43" s="96">
        <f>'Portfolio NewCo'!E14</f>
        <v/>
      </c>
      <c r="G43" s="96">
        <f>'Portfolio NewCo'!F14</f>
        <v/>
      </c>
      <c r="H43" s="96">
        <f>'Portfolio NewCo'!G14</f>
        <v/>
      </c>
      <c r="I43" s="96">
        <f>'Portfolio NewCo'!H14</f>
        <v/>
      </c>
      <c r="J43" s="96">
        <f>'Portfolio NewCo'!I14</f>
        <v/>
      </c>
      <c r="K43" s="96">
        <f>'Portfolio NewCo'!J14</f>
        <v/>
      </c>
      <c r="L43" s="96">
        <f>'Portfolio NewCo'!K14</f>
        <v/>
      </c>
      <c r="M43" s="96">
        <f>'Portfolio NewCo'!L14</f>
        <v/>
      </c>
      <c r="N43" s="96">
        <f>'Portfolio NewCo'!M14</f>
        <v/>
      </c>
      <c r="O43" s="96">
        <f>'Portfolio NewCo'!N14</f>
        <v/>
      </c>
      <c r="P43" s="96">
        <f>'Portfolio NewCo'!O14</f>
        <v/>
      </c>
      <c r="Q43" s="96">
        <f>'Portfolio NewCo'!P14</f>
        <v/>
      </c>
      <c r="R43" s="96">
        <f>'Portfolio NewCo'!Q14</f>
        <v/>
      </c>
      <c r="S43" s="96">
        <f>'Portfolio NewCo'!R14</f>
        <v/>
      </c>
      <c r="T43" s="96">
        <f>'Portfolio NewCo'!S14</f>
        <v/>
      </c>
      <c r="U43" s="96">
        <f>'Portfolio NewCo'!T14</f>
        <v/>
      </c>
      <c r="V43" s="96">
        <f>'Portfolio NewCo'!U14</f>
        <v/>
      </c>
    </row>
    <row r="44">
      <c r="A44" s="101" t="inlineStr">
        <is>
          <t>Shareholder distributions</t>
        </is>
      </c>
      <c r="B44" s="96">
        <f>0</f>
        <v/>
      </c>
      <c r="C44" s="96">
        <f>-'Portfolio NewCo'!B15</f>
        <v/>
      </c>
      <c r="D44" s="96">
        <f>-'Portfolio NewCo'!C15</f>
        <v/>
      </c>
      <c r="E44" s="96">
        <f>-'Portfolio NewCo'!D15</f>
        <v/>
      </c>
      <c r="F44" s="96">
        <f>-'Portfolio NewCo'!E15</f>
        <v/>
      </c>
      <c r="G44" s="96">
        <f>-'Portfolio NewCo'!F15</f>
        <v/>
      </c>
      <c r="H44" s="96">
        <f>-'Portfolio NewCo'!G15</f>
        <v/>
      </c>
      <c r="I44" s="96">
        <f>-'Portfolio NewCo'!H15</f>
        <v/>
      </c>
      <c r="J44" s="96">
        <f>-'Portfolio NewCo'!I15</f>
        <v/>
      </c>
      <c r="K44" s="96">
        <f>-'Portfolio NewCo'!J15</f>
        <v/>
      </c>
      <c r="L44" s="96">
        <f>-'Portfolio NewCo'!K15</f>
        <v/>
      </c>
      <c r="M44" s="96">
        <f>-'Portfolio NewCo'!L15</f>
        <v/>
      </c>
      <c r="N44" s="96">
        <f>-'Portfolio NewCo'!M15</f>
        <v/>
      </c>
      <c r="O44" s="96">
        <f>-'Portfolio NewCo'!N15</f>
        <v/>
      </c>
      <c r="P44" s="96">
        <f>-'Portfolio NewCo'!O15</f>
        <v/>
      </c>
      <c r="Q44" s="96">
        <f>-'Portfolio NewCo'!P15</f>
        <v/>
      </c>
      <c r="R44" s="96">
        <f>-'Portfolio NewCo'!Q15</f>
        <v/>
      </c>
      <c r="S44" s="96">
        <f>-'Portfolio NewCo'!R15</f>
        <v/>
      </c>
      <c r="T44" s="96">
        <f>-'Portfolio NewCo'!S15</f>
        <v/>
      </c>
      <c r="U44" s="96">
        <f>-'Portfolio NewCo'!T15</f>
        <v/>
      </c>
      <c r="V44" s="96">
        <f>-'Portfolio NewCo'!U15</f>
        <v/>
      </c>
    </row>
    <row r="45">
      <c r="A45" s="101" t="inlineStr">
        <is>
          <t>Net change in cash</t>
        </is>
      </c>
      <c r="B45" s="96">
        <f>SUM(B42:B44)</f>
        <v/>
      </c>
      <c r="C45" s="96">
        <f>SUM(C42:C44)</f>
        <v/>
      </c>
      <c r="D45" s="96">
        <f>SUM(D42:D44)</f>
        <v/>
      </c>
      <c r="E45" s="96">
        <f>SUM(E42:E44)</f>
        <v/>
      </c>
      <c r="F45" s="96">
        <f>SUM(F42:F44)</f>
        <v/>
      </c>
      <c r="G45" s="96">
        <f>SUM(G42:G44)</f>
        <v/>
      </c>
      <c r="H45" s="96">
        <f>SUM(H42:H44)</f>
        <v/>
      </c>
      <c r="I45" s="96">
        <f>SUM(I42:I44)</f>
        <v/>
      </c>
      <c r="J45" s="96">
        <f>SUM(J42:J44)</f>
        <v/>
      </c>
      <c r="K45" s="96">
        <f>SUM(K42:K44)</f>
        <v/>
      </c>
      <c r="L45" s="96">
        <f>SUM(L42:L44)</f>
        <v/>
      </c>
      <c r="M45" s="96">
        <f>SUM(M42:M44)</f>
        <v/>
      </c>
      <c r="N45" s="96">
        <f>SUM(N42:N44)</f>
        <v/>
      </c>
      <c r="O45" s="96">
        <f>SUM(O42:O44)</f>
        <v/>
      </c>
      <c r="P45" s="96">
        <f>SUM(P42:P44)</f>
        <v/>
      </c>
      <c r="Q45" s="96">
        <f>SUM(Q42:Q44)</f>
        <v/>
      </c>
      <c r="R45" s="96">
        <f>SUM(R42:R44)</f>
        <v/>
      </c>
      <c r="S45" s="96">
        <f>SUM(S42:S44)</f>
        <v/>
      </c>
      <c r="T45" s="96">
        <f>SUM(T42:T44)</f>
        <v/>
      </c>
      <c r="U45" s="96">
        <f>SUM(U42:U44)</f>
        <v/>
      </c>
      <c r="V45" s="96">
        <f>SUM(V42:V44)</f>
        <v/>
      </c>
    </row>
    <row r="46">
      <c r="A46" s="103" t="inlineStr">
        <is>
          <t>ENDING CASH</t>
        </is>
      </c>
      <c r="B46" s="97">
        <f>B41+B45</f>
        <v/>
      </c>
      <c r="C46" s="97">
        <f>C41+C45</f>
        <v/>
      </c>
      <c r="D46" s="97">
        <f>D41+D45</f>
        <v/>
      </c>
      <c r="E46" s="97">
        <f>E41+E45</f>
        <v/>
      </c>
      <c r="F46" s="97">
        <f>F41+F45</f>
        <v/>
      </c>
      <c r="G46" s="97">
        <f>G41+G45</f>
        <v/>
      </c>
      <c r="H46" s="97">
        <f>H41+H45</f>
        <v/>
      </c>
      <c r="I46" s="97">
        <f>I41+I45</f>
        <v/>
      </c>
      <c r="J46" s="97">
        <f>J41+J45</f>
        <v/>
      </c>
      <c r="K46" s="97">
        <f>K41+K45</f>
        <v/>
      </c>
      <c r="L46" s="97">
        <f>L41+L45</f>
        <v/>
      </c>
      <c r="M46" s="97">
        <f>M41+M45</f>
        <v/>
      </c>
      <c r="N46" s="97">
        <f>N41+N45</f>
        <v/>
      </c>
      <c r="O46" s="97">
        <f>O41+O45</f>
        <v/>
      </c>
      <c r="P46" s="97">
        <f>P41+P45</f>
        <v/>
      </c>
      <c r="Q46" s="97">
        <f>Q41+Q45</f>
        <v/>
      </c>
      <c r="R46" s="97">
        <f>R41+R45</f>
        <v/>
      </c>
      <c r="S46" s="97">
        <f>S41+S45</f>
        <v/>
      </c>
      <c r="T46" s="97">
        <f>T41+T45</f>
        <v/>
      </c>
      <c r="U46" s="97">
        <f>U41+U45</f>
        <v/>
      </c>
      <c r="V46" s="97">
        <f>V41+V45</f>
        <v/>
      </c>
    </row>
    <row r="47">
      <c r="A47" s="101" t="inlineStr">
        <is>
          <t>Cash tie-out check</t>
        </is>
      </c>
      <c r="B47" s="96">
        <f>B46-B22</f>
        <v/>
      </c>
      <c r="C47" s="96">
        <f>C46-C22</f>
        <v/>
      </c>
      <c r="D47" s="96">
        <f>D46-D22</f>
        <v/>
      </c>
      <c r="E47" s="96">
        <f>E46-E22</f>
        <v/>
      </c>
      <c r="F47" s="96">
        <f>F46-F22</f>
        <v/>
      </c>
      <c r="G47" s="96">
        <f>G46-G22</f>
        <v/>
      </c>
      <c r="H47" s="96">
        <f>H46-H22</f>
        <v/>
      </c>
      <c r="I47" s="96">
        <f>I46-I22</f>
        <v/>
      </c>
      <c r="J47" s="96">
        <f>J46-J22</f>
        <v/>
      </c>
      <c r="K47" s="96">
        <f>K46-K22</f>
        <v/>
      </c>
      <c r="L47" s="96">
        <f>L46-L22</f>
        <v/>
      </c>
      <c r="M47" s="96">
        <f>M46-M22</f>
        <v/>
      </c>
      <c r="N47" s="96">
        <f>N46-N22</f>
        <v/>
      </c>
      <c r="O47" s="96">
        <f>O46-O22</f>
        <v/>
      </c>
      <c r="P47" s="96">
        <f>P46-P22</f>
        <v/>
      </c>
      <c r="Q47" s="96">
        <f>Q46-Q22</f>
        <v/>
      </c>
      <c r="R47" s="96">
        <f>R46-R22</f>
        <v/>
      </c>
      <c r="S47" s="96">
        <f>S46-S22</f>
        <v/>
      </c>
      <c r="T47" s="96">
        <f>T46-T22</f>
        <v/>
      </c>
      <c r="U47" s="96">
        <f>U46-U22</f>
        <v/>
      </c>
      <c r="V47" s="96">
        <f>V46-V22</f>
        <v/>
      </c>
    </row>
    <row r="48">
      <c r="A48" s="101" t="n"/>
      <c r="B48" s="94" t="n"/>
      <c r="C48" s="94" t="n"/>
      <c r="D48" s="94" t="n"/>
      <c r="E48" s="94" t="n"/>
      <c r="F48" s="94" t="n"/>
      <c r="G48" s="94" t="n"/>
      <c r="H48" s="94" t="n"/>
      <c r="I48" s="94" t="n"/>
      <c r="J48" s="94" t="n"/>
      <c r="K48" s="94" t="n"/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</row>
    <row r="49">
      <c r="A49" s="315" t="inlineStr">
        <is>
          <t>INVESTOR — CASH FLOW VIEW</t>
        </is>
      </c>
      <c r="B49" s="310" t="n"/>
      <c r="C49" s="310" t="n"/>
      <c r="D49" s="310" t="n"/>
      <c r="E49" s="310" t="n"/>
      <c r="F49" s="310" t="n"/>
      <c r="G49" s="310" t="n"/>
      <c r="H49" s="310" t="n"/>
      <c r="I49" s="310" t="n"/>
      <c r="J49" s="310" t="n"/>
      <c r="K49" s="310" t="n"/>
      <c r="L49" s="310" t="n"/>
      <c r="M49" s="310" t="n"/>
      <c r="N49" s="310" t="n"/>
      <c r="O49" s="310" t="n"/>
      <c r="P49" s="310" t="n"/>
      <c r="Q49" s="310" t="n"/>
      <c r="R49" s="310" t="n"/>
      <c r="S49" s="310" t="n"/>
      <c r="T49" s="310" t="n"/>
      <c r="U49" s="310" t="n"/>
      <c r="V49" s="310" t="n"/>
    </row>
    <row r="50">
      <c r="A50" s="104" t="inlineStr">
        <is>
          <t>Partner initial investment</t>
        </is>
      </c>
      <c r="B50" s="96">
        <f>-Control!$B$15</f>
        <v/>
      </c>
      <c r="C50" s="96">
        <f>0</f>
        <v/>
      </c>
      <c r="D50" s="96">
        <f>0</f>
        <v/>
      </c>
      <c r="E50" s="96">
        <f>0</f>
        <v/>
      </c>
      <c r="F50" s="96">
        <f>0</f>
        <v/>
      </c>
      <c r="G50" s="96">
        <f>0</f>
        <v/>
      </c>
      <c r="H50" s="96">
        <f>0</f>
        <v/>
      </c>
      <c r="I50" s="96">
        <f>0</f>
        <v/>
      </c>
      <c r="J50" s="96">
        <f>0</f>
        <v/>
      </c>
      <c r="K50" s="96">
        <f>0</f>
        <v/>
      </c>
      <c r="L50" s="96">
        <f>0</f>
        <v/>
      </c>
      <c r="M50" s="96">
        <f>0</f>
        <v/>
      </c>
      <c r="N50" s="96">
        <f>0</f>
        <v/>
      </c>
      <c r="O50" s="96">
        <f>0</f>
        <v/>
      </c>
      <c r="P50" s="96">
        <f>0</f>
        <v/>
      </c>
      <c r="Q50" s="96">
        <f>0</f>
        <v/>
      </c>
      <c r="R50" s="96">
        <f>0</f>
        <v/>
      </c>
      <c r="S50" s="96">
        <f>0</f>
        <v/>
      </c>
      <c r="T50" s="96">
        <f>0</f>
        <v/>
      </c>
      <c r="U50" s="96">
        <f>0</f>
        <v/>
      </c>
      <c r="V50" s="96">
        <f>0</f>
        <v/>
      </c>
    </row>
    <row r="51">
      <c r="A51" s="104" t="inlineStr">
        <is>
          <t>Partner cash distribution</t>
        </is>
      </c>
      <c r="B51" s="96">
        <f>0</f>
        <v/>
      </c>
      <c r="C51" s="96">
        <f>'INV - Investor KPIs'!C6</f>
        <v/>
      </c>
      <c r="D51" s="96">
        <f>'INV - Investor KPIs'!D6</f>
        <v/>
      </c>
      <c r="E51" s="96">
        <f>'INV - Investor KPIs'!E6</f>
        <v/>
      </c>
      <c r="F51" s="96">
        <f>'INV - Investor KPIs'!F6</f>
        <v/>
      </c>
      <c r="G51" s="96">
        <f>'INV - Investor KPIs'!G6</f>
        <v/>
      </c>
      <c r="H51" s="96">
        <f>'INV - Investor KPIs'!H6</f>
        <v/>
      </c>
      <c r="I51" s="96">
        <f>'INV - Investor KPIs'!I6</f>
        <v/>
      </c>
      <c r="J51" s="96">
        <f>'INV - Investor KPIs'!J6</f>
        <v/>
      </c>
      <c r="K51" s="96">
        <f>'INV - Investor KPIs'!K6</f>
        <v/>
      </c>
      <c r="L51" s="96">
        <f>'INV - Investor KPIs'!L6</f>
        <v/>
      </c>
      <c r="M51" s="96">
        <f>'INV - Investor KPIs'!M6</f>
        <v/>
      </c>
      <c r="N51" s="96">
        <f>'INV - Investor KPIs'!N6</f>
        <v/>
      </c>
      <c r="O51" s="96">
        <f>'INV - Investor KPIs'!O6</f>
        <v/>
      </c>
      <c r="P51" s="96">
        <f>'INV - Investor KPIs'!P6</f>
        <v/>
      </c>
      <c r="Q51" s="96">
        <f>'INV - Investor KPIs'!Q6</f>
        <v/>
      </c>
      <c r="R51" s="96">
        <f>'INV - Investor KPIs'!R6</f>
        <v/>
      </c>
      <c r="S51" s="96">
        <f>'INV - Investor KPIs'!S6</f>
        <v/>
      </c>
      <c r="T51" s="96">
        <f>'INV - Investor KPIs'!T6</f>
        <v/>
      </c>
      <c r="U51" s="96">
        <f>'INV - Investor KPIs'!U6</f>
        <v/>
      </c>
      <c r="V51" s="96">
        <f>'INV - Investor KPIs'!V6</f>
        <v/>
      </c>
    </row>
    <row r="52">
      <c r="A52" s="105" t="inlineStr">
        <is>
          <t>Cumulative partner distributions</t>
        </is>
      </c>
      <c r="B52" s="97">
        <f>0</f>
        <v/>
      </c>
      <c r="C52" s="97">
        <f>'INV - Investor KPIs'!C7</f>
        <v/>
      </c>
      <c r="D52" s="97">
        <f>'INV - Investor KPIs'!D7</f>
        <v/>
      </c>
      <c r="E52" s="97">
        <f>'INV - Investor KPIs'!E7</f>
        <v/>
      </c>
      <c r="F52" s="97">
        <f>'INV - Investor KPIs'!F7</f>
        <v/>
      </c>
      <c r="G52" s="97">
        <f>'INV - Investor KPIs'!G7</f>
        <v/>
      </c>
      <c r="H52" s="97">
        <f>'INV - Investor KPIs'!H7</f>
        <v/>
      </c>
      <c r="I52" s="97">
        <f>'INV - Investor KPIs'!I7</f>
        <v/>
      </c>
      <c r="J52" s="97">
        <f>'INV - Investor KPIs'!J7</f>
        <v/>
      </c>
      <c r="K52" s="97">
        <f>'INV - Investor KPIs'!K7</f>
        <v/>
      </c>
      <c r="L52" s="97">
        <f>'INV - Investor KPIs'!L7</f>
        <v/>
      </c>
      <c r="M52" s="97">
        <f>'INV - Investor KPIs'!M7</f>
        <v/>
      </c>
      <c r="N52" s="97">
        <f>'INV - Investor KPIs'!N7</f>
        <v/>
      </c>
      <c r="O52" s="97">
        <f>'INV - Investor KPIs'!O7</f>
        <v/>
      </c>
      <c r="P52" s="97">
        <f>'INV - Investor KPIs'!P7</f>
        <v/>
      </c>
      <c r="Q52" s="97">
        <f>'INV - Investor KPIs'!Q7</f>
        <v/>
      </c>
      <c r="R52" s="97">
        <f>'INV - Investor KPIs'!R7</f>
        <v/>
      </c>
      <c r="S52" s="97">
        <f>'INV - Investor KPIs'!S7</f>
        <v/>
      </c>
      <c r="T52" s="97">
        <f>'INV - Investor KPIs'!T7</f>
        <v/>
      </c>
      <c r="U52" s="97">
        <f>'INV - Investor KPIs'!U7</f>
        <v/>
      </c>
      <c r="V52" s="97">
        <f>'INV - Investor KPIs'!V7</f>
        <v/>
      </c>
    </row>
    <row r="53">
      <c r="A53" s="104" t="inlineStr">
        <is>
          <t>Cash MOIC</t>
        </is>
      </c>
      <c r="B53" s="99">
        <f>0</f>
        <v/>
      </c>
      <c r="C53" s="99">
        <f>'INV - Investor KPIs'!C10</f>
        <v/>
      </c>
      <c r="D53" s="99">
        <f>'INV - Investor KPIs'!D10</f>
        <v/>
      </c>
      <c r="E53" s="99">
        <f>'INV - Investor KPIs'!E10</f>
        <v/>
      </c>
      <c r="F53" s="99">
        <f>'INV - Investor KPIs'!F10</f>
        <v/>
      </c>
      <c r="G53" s="99">
        <f>'INV - Investor KPIs'!G10</f>
        <v/>
      </c>
      <c r="H53" s="99">
        <f>'INV - Investor KPIs'!H10</f>
        <v/>
      </c>
      <c r="I53" s="99">
        <f>'INV - Investor KPIs'!I10</f>
        <v/>
      </c>
      <c r="J53" s="99">
        <f>'INV - Investor KPIs'!J10</f>
        <v/>
      </c>
      <c r="K53" s="99">
        <f>'INV - Investor KPIs'!K10</f>
        <v/>
      </c>
      <c r="L53" s="99">
        <f>'INV - Investor KPIs'!L10</f>
        <v/>
      </c>
      <c r="M53" s="99">
        <f>'INV - Investor KPIs'!M10</f>
        <v/>
      </c>
      <c r="N53" s="99">
        <f>'INV - Investor KPIs'!N10</f>
        <v/>
      </c>
      <c r="O53" s="99">
        <f>'INV - Investor KPIs'!O10</f>
        <v/>
      </c>
      <c r="P53" s="99">
        <f>'INV - Investor KPIs'!P10</f>
        <v/>
      </c>
      <c r="Q53" s="99">
        <f>'INV - Investor KPIs'!Q10</f>
        <v/>
      </c>
      <c r="R53" s="99">
        <f>'INV - Investor KPIs'!R10</f>
        <v/>
      </c>
      <c r="S53" s="99">
        <f>'INV - Investor KPIs'!S10</f>
        <v/>
      </c>
      <c r="T53" s="99">
        <f>'INV - Investor KPIs'!T10</f>
        <v/>
      </c>
      <c r="U53" s="99">
        <f>'INV - Investor KPIs'!U10</f>
        <v/>
      </c>
      <c r="V53" s="99">
        <f>'INV - Investor KPIs'!V10</f>
        <v/>
      </c>
    </row>
    <row r="54">
      <c r="A54" s="104" t="inlineStr">
        <is>
          <t>Cash payback achieved?</t>
        </is>
      </c>
      <c r="B54" s="94">
        <f>"No"</f>
        <v/>
      </c>
      <c r="C54" s="94">
        <f>IF(C52&gt;=Control!$B$15,"Yes","No")</f>
        <v/>
      </c>
      <c r="D54" s="94">
        <f>IF(D52&gt;=Control!$B$15,"Yes","No")</f>
        <v/>
      </c>
      <c r="E54" s="94">
        <f>IF(E52&gt;=Control!$B$15,"Yes","No")</f>
        <v/>
      </c>
      <c r="F54" s="94">
        <f>IF(F52&gt;=Control!$B$15,"Yes","No")</f>
        <v/>
      </c>
      <c r="G54" s="94">
        <f>IF(G52&gt;=Control!$B$15,"Yes","No")</f>
        <v/>
      </c>
      <c r="H54" s="94">
        <f>IF(H52&gt;=Control!$B$15,"Yes","No")</f>
        <v/>
      </c>
      <c r="I54" s="94">
        <f>IF(I52&gt;=Control!$B$15,"Yes","No")</f>
        <v/>
      </c>
      <c r="J54" s="94">
        <f>IF(J52&gt;=Control!$B$15,"Yes","No")</f>
        <v/>
      </c>
      <c r="K54" s="94">
        <f>IF(K52&gt;=Control!$B$15,"Yes","No")</f>
        <v/>
      </c>
      <c r="L54" s="94">
        <f>IF(L52&gt;=Control!$B$15,"Yes","No")</f>
        <v/>
      </c>
      <c r="M54" s="94">
        <f>IF(M52&gt;=Control!$B$15,"Yes","No")</f>
        <v/>
      </c>
      <c r="N54" s="94">
        <f>IF(N52&gt;=Control!$B$15,"Yes","No")</f>
        <v/>
      </c>
      <c r="O54" s="94">
        <f>IF(O52&gt;=Control!$B$15,"Yes","No")</f>
        <v/>
      </c>
      <c r="P54" s="94">
        <f>IF(P52&gt;=Control!$B$15,"Yes","No")</f>
        <v/>
      </c>
      <c r="Q54" s="94">
        <f>IF(Q52&gt;=Control!$B$15,"Yes","No")</f>
        <v/>
      </c>
      <c r="R54" s="94">
        <f>IF(R52&gt;=Control!$B$15,"Yes","No")</f>
        <v/>
      </c>
      <c r="S54" s="94">
        <f>IF(S52&gt;=Control!$B$15,"Yes","No")</f>
        <v/>
      </c>
      <c r="T54" s="94">
        <f>IF(T52&gt;=Control!$B$15,"Yes","No")</f>
        <v/>
      </c>
      <c r="U54" s="94">
        <f>IF(U52&gt;=Control!$B$15,"Yes","No")</f>
        <v/>
      </c>
      <c r="V54" s="94">
        <f>IF(V52&gt;=Control!$B$15,"Yes","No")</f>
        <v/>
      </c>
    </row>
    <row r="55">
      <c r="A55" s="101" t="n"/>
      <c r="B55" s="94" t="n"/>
      <c r="C55" s="94" t="n"/>
      <c r="D55" s="94" t="n"/>
      <c r="E55" s="94" t="n"/>
      <c r="F55" s="94" t="n"/>
      <c r="G55" s="94" t="n"/>
      <c r="H55" s="94" t="n"/>
      <c r="I55" s="94" t="n"/>
      <c r="J55" s="94" t="n"/>
      <c r="K55" s="94" t="n"/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</row>
    <row r="56">
      <c r="A56" s="315" t="inlineStr">
        <is>
          <t>MODEL CHECKS</t>
        </is>
      </c>
      <c r="B56" s="310" t="n"/>
      <c r="C56" s="310" t="n"/>
      <c r="D56" s="310" t="n"/>
      <c r="E56" s="310" t="n"/>
      <c r="F56" s="310" t="n"/>
      <c r="G56" s="310" t="n"/>
      <c r="H56" s="310" t="n"/>
      <c r="I56" s="310" t="n"/>
      <c r="J56" s="310" t="n"/>
      <c r="K56" s="310" t="n"/>
      <c r="L56" s="310" t="n"/>
      <c r="M56" s="310" t="n"/>
      <c r="N56" s="310" t="n"/>
      <c r="O56" s="310" t="n"/>
      <c r="P56" s="310" t="n"/>
      <c r="Q56" s="310" t="n"/>
      <c r="R56" s="310" t="n"/>
      <c r="S56" s="310" t="n"/>
      <c r="T56" s="310" t="n"/>
      <c r="U56" s="310" t="n"/>
      <c r="V56" s="310" t="n"/>
    </row>
    <row r="57">
      <c r="A57" s="101" t="inlineStr">
        <is>
          <t>BS balances?</t>
        </is>
      </c>
      <c r="B57" s="107">
        <f>IF(ABS(B32)&lt;1,"OK","ERROR")</f>
        <v/>
      </c>
      <c r="C57" s="107">
        <f>IF(ABS(C32)&lt;1,"OK","ERROR")</f>
        <v/>
      </c>
      <c r="D57" s="107">
        <f>IF(ABS(D32)&lt;1,"OK","ERROR")</f>
        <v/>
      </c>
      <c r="E57" s="107">
        <f>IF(ABS(E32)&lt;1,"OK","ERROR")</f>
        <v/>
      </c>
      <c r="F57" s="107">
        <f>IF(ABS(F32)&lt;1,"OK","ERROR")</f>
        <v/>
      </c>
      <c r="G57" s="107">
        <f>IF(ABS(G32)&lt;1,"OK","ERROR")</f>
        <v/>
      </c>
      <c r="H57" s="107">
        <f>IF(ABS(H32)&lt;1,"OK","ERROR")</f>
        <v/>
      </c>
      <c r="I57" s="107">
        <f>IF(ABS(I32)&lt;1,"OK","ERROR")</f>
        <v/>
      </c>
      <c r="J57" s="107">
        <f>IF(ABS(J32)&lt;1,"OK","ERROR")</f>
        <v/>
      </c>
      <c r="K57" s="107">
        <f>IF(ABS(K32)&lt;1,"OK","ERROR")</f>
        <v/>
      </c>
      <c r="L57" s="107">
        <f>IF(ABS(L32)&lt;1,"OK","ERROR")</f>
        <v/>
      </c>
      <c r="M57" s="107">
        <f>IF(ABS(M32)&lt;1,"OK","ERROR")</f>
        <v/>
      </c>
      <c r="N57" s="107">
        <f>IF(ABS(N32)&lt;1,"OK","ERROR")</f>
        <v/>
      </c>
      <c r="O57" s="107">
        <f>IF(ABS(O32)&lt;1,"OK","ERROR")</f>
        <v/>
      </c>
      <c r="P57" s="107">
        <f>IF(ABS(P32)&lt;1,"OK","ERROR")</f>
        <v/>
      </c>
      <c r="Q57" s="107">
        <f>IF(ABS(Q32)&lt;1,"OK","ERROR")</f>
        <v/>
      </c>
      <c r="R57" s="107">
        <f>IF(ABS(R32)&lt;1,"OK","ERROR")</f>
        <v/>
      </c>
      <c r="S57" s="107">
        <f>IF(ABS(S32)&lt;1,"OK","ERROR")</f>
        <v/>
      </c>
      <c r="T57" s="107">
        <f>IF(ABS(T32)&lt;1,"OK","ERROR")</f>
        <v/>
      </c>
      <c r="U57" s="107">
        <f>IF(ABS(U32)&lt;1,"OK","ERROR")</f>
        <v/>
      </c>
      <c r="V57" s="107">
        <f>IF(ABS(V32)&lt;1,"OK","ERROR")</f>
        <v/>
      </c>
    </row>
    <row r="58">
      <c r="A58" s="101" t="inlineStr">
        <is>
          <t>Ending cash ties to BS cash?</t>
        </is>
      </c>
      <c r="B58" s="107">
        <f>IF(ABS(B47)&lt;1,"OK","ERROR")</f>
        <v/>
      </c>
      <c r="C58" s="107">
        <f>IF(ABS(C47)&lt;1,"OK","ERROR")</f>
        <v/>
      </c>
      <c r="D58" s="107">
        <f>IF(ABS(D47)&lt;1,"OK","ERROR")</f>
        <v/>
      </c>
      <c r="E58" s="107">
        <f>IF(ABS(E47)&lt;1,"OK","ERROR")</f>
        <v/>
      </c>
      <c r="F58" s="107">
        <f>IF(ABS(F47)&lt;1,"OK","ERROR")</f>
        <v/>
      </c>
      <c r="G58" s="107">
        <f>IF(ABS(G47)&lt;1,"OK","ERROR")</f>
        <v/>
      </c>
      <c r="H58" s="107">
        <f>IF(ABS(H47)&lt;1,"OK","ERROR")</f>
        <v/>
      </c>
      <c r="I58" s="107">
        <f>IF(ABS(I47)&lt;1,"OK","ERROR")</f>
        <v/>
      </c>
      <c r="J58" s="107">
        <f>IF(ABS(J47)&lt;1,"OK","ERROR")</f>
        <v/>
      </c>
      <c r="K58" s="107">
        <f>IF(ABS(K47)&lt;1,"OK","ERROR")</f>
        <v/>
      </c>
      <c r="L58" s="107">
        <f>IF(ABS(L47)&lt;1,"OK","ERROR")</f>
        <v/>
      </c>
      <c r="M58" s="107">
        <f>IF(ABS(M47)&lt;1,"OK","ERROR")</f>
        <v/>
      </c>
      <c r="N58" s="107">
        <f>IF(ABS(N47)&lt;1,"OK","ERROR")</f>
        <v/>
      </c>
      <c r="O58" s="107">
        <f>IF(ABS(O47)&lt;1,"OK","ERROR")</f>
        <v/>
      </c>
      <c r="P58" s="107">
        <f>IF(ABS(P47)&lt;1,"OK","ERROR")</f>
        <v/>
      </c>
      <c r="Q58" s="107">
        <f>IF(ABS(Q47)&lt;1,"OK","ERROR")</f>
        <v/>
      </c>
      <c r="R58" s="107">
        <f>IF(ABS(R47)&lt;1,"OK","ERROR")</f>
        <v/>
      </c>
      <c r="S58" s="107">
        <f>IF(ABS(S47)&lt;1,"OK","ERROR")</f>
        <v/>
      </c>
      <c r="T58" s="107">
        <f>IF(ABS(T47)&lt;1,"OK","ERROR")</f>
        <v/>
      </c>
      <c r="U58" s="107">
        <f>IF(ABS(U47)&lt;1,"OK","ERROR")</f>
        <v/>
      </c>
      <c r="V58" s="107">
        <f>IF(ABS(V47)&lt;1,"OK","ERROR")</f>
        <v/>
      </c>
    </row>
    <row r="59">
      <c r="A59" s="101" t="inlineStr">
        <is>
          <t>NPAT links to cash flow?</t>
        </is>
      </c>
      <c r="B59" s="107">
        <f>IF(ABS(B12-B42)&lt;1,"OK","ERROR")</f>
        <v/>
      </c>
      <c r="C59" s="107">
        <f>IF(ABS(C12-C42)&lt;1,"OK","ERROR")</f>
        <v/>
      </c>
      <c r="D59" s="107">
        <f>IF(ABS(D12-D42)&lt;1,"OK","ERROR")</f>
        <v/>
      </c>
      <c r="E59" s="107">
        <f>IF(ABS(E12-E42)&lt;1,"OK","ERROR")</f>
        <v/>
      </c>
      <c r="F59" s="107">
        <f>IF(ABS(F12-F42)&lt;1,"OK","ERROR")</f>
        <v/>
      </c>
      <c r="G59" s="107">
        <f>IF(ABS(G12-G42)&lt;1,"OK","ERROR")</f>
        <v/>
      </c>
      <c r="H59" s="107">
        <f>IF(ABS(H12-H42)&lt;1,"OK","ERROR")</f>
        <v/>
      </c>
      <c r="I59" s="107">
        <f>IF(ABS(I12-I42)&lt;1,"OK","ERROR")</f>
        <v/>
      </c>
      <c r="J59" s="107">
        <f>IF(ABS(J12-J42)&lt;1,"OK","ERROR")</f>
        <v/>
      </c>
      <c r="K59" s="107">
        <f>IF(ABS(K12-K42)&lt;1,"OK","ERROR")</f>
        <v/>
      </c>
      <c r="L59" s="107">
        <f>IF(ABS(L12-L42)&lt;1,"OK","ERROR")</f>
        <v/>
      </c>
      <c r="M59" s="107">
        <f>IF(ABS(M12-M42)&lt;1,"OK","ERROR")</f>
        <v/>
      </c>
      <c r="N59" s="107">
        <f>IF(ABS(N12-N42)&lt;1,"OK","ERROR")</f>
        <v/>
      </c>
      <c r="O59" s="107">
        <f>IF(ABS(O12-O42)&lt;1,"OK","ERROR")</f>
        <v/>
      </c>
      <c r="P59" s="107">
        <f>IF(ABS(P12-P42)&lt;1,"OK","ERROR")</f>
        <v/>
      </c>
      <c r="Q59" s="107">
        <f>IF(ABS(Q12-Q42)&lt;1,"OK","ERROR")</f>
        <v/>
      </c>
      <c r="R59" s="107">
        <f>IF(ABS(R12-R42)&lt;1,"OK","ERROR")</f>
        <v/>
      </c>
      <c r="S59" s="107">
        <f>IF(ABS(S12-S42)&lt;1,"OK","ERROR")</f>
        <v/>
      </c>
      <c r="T59" s="107">
        <f>IF(ABS(T12-T42)&lt;1,"OK","ERROR")</f>
        <v/>
      </c>
      <c r="U59" s="107">
        <f>IF(ABS(U12-U42)&lt;1,"OK","ERROR")</f>
        <v/>
      </c>
      <c r="V59" s="107">
        <f>IF(ABS(V12-V42)&lt;1,"OK","ERROR")</f>
        <v/>
      </c>
    </row>
    <row r="60">
      <c r="A60" s="106" t="inlineStr">
        <is>
          <t>Master check</t>
        </is>
      </c>
      <c r="B60" s="108">
        <f>IF(COUNTIF(B57:V59,"ERROR")=0,"✓ ALL CHECKS PASS","✗ REVIEW CHECKS")</f>
        <v/>
      </c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</row>
  </sheetData>
  <mergeCells count="10">
    <mergeCell ref="A2:V2"/>
    <mergeCell ref="A49:V49"/>
    <mergeCell ref="A1:V1"/>
    <mergeCell ref="A40:V40"/>
    <mergeCell ref="A56:V56"/>
    <mergeCell ref="A3:V3"/>
    <mergeCell ref="A21:V21"/>
    <mergeCell ref="A34:V34"/>
    <mergeCell ref="A15:V15"/>
    <mergeCell ref="A7:V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1F4E79"/>
    <outlinePr summaryBelow="1" summaryRight="1"/>
    <pageSetUpPr/>
  </sheetPr>
  <dimension ref="A1:V43"/>
  <sheetViews>
    <sheetView topLeftCell="A19" workbookViewId="0">
      <selection activeCell="A6" sqref="A6"/>
    </sheetView>
  </sheetViews>
  <sheetFormatPr baseColWidth="8" defaultRowHeight="14.4"/>
  <cols>
    <col width="61.109375" bestFit="1" customWidth="1" style="313" min="1" max="1"/>
    <col width="10.5546875" bestFit="1" customWidth="1" style="313" min="2" max="2"/>
    <col width="10" bestFit="1" customWidth="1" style="313" min="3" max="3"/>
    <col width="8.6640625" bestFit="1" customWidth="1" style="313" min="4" max="5"/>
    <col width="13.33203125" bestFit="1" customWidth="1" style="313" min="6" max="6"/>
    <col width="8.6640625" bestFit="1" customWidth="1" style="313" min="7" max="10"/>
    <col width="9.6640625" bestFit="1" customWidth="1" style="313" min="11" max="21"/>
    <col width="8.6640625" bestFit="1" customWidth="1" style="313" min="22" max="22"/>
  </cols>
  <sheetData>
    <row r="1">
      <c r="A1" s="109" t="inlineStr">
        <is>
          <t>PROPERTY RETURNS &amp; KPIs — per asset (property-specific partner %)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</row>
    <row r="2">
      <c r="A2" s="318" t="inlineStr">
        <is>
          <t>Each property uses its own partner ownership %. Distributions, NAV, buy-in, IRR and MOIC are calculated from the property-specific partner %.</t>
        </is>
      </c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0" t="n"/>
      <c r="O2" s="110" t="n"/>
      <c r="P2" s="110" t="n"/>
      <c r="Q2" s="110" t="n"/>
      <c r="R2" s="110" t="n"/>
      <c r="S2" s="110" t="n"/>
      <c r="T2" s="110" t="n"/>
      <c r="U2" s="110" t="n"/>
      <c r="V2" s="110" t="n"/>
    </row>
    <row r="3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  <c r="U3" s="110" t="n"/>
      <c r="V3" s="110" t="n"/>
    </row>
    <row r="4">
      <c r="A4" s="119" t="inlineStr">
        <is>
          <t>Metric</t>
        </is>
      </c>
      <c r="B4" s="119" t="inlineStr">
        <is>
          <t>African Sky</t>
        </is>
      </c>
      <c r="C4" s="119" t="inlineStr">
        <is>
          <t>Beachside</t>
        </is>
      </c>
      <c r="D4" s="119" t="inlineStr">
        <is>
          <t>Menlyn</t>
        </is>
      </c>
      <c r="F4" s="119" t="inlineStr">
        <is>
          <t>Portfolio Total</t>
        </is>
      </c>
      <c r="G4" s="110" t="n"/>
      <c r="H4" s="110" t="n"/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  <c r="U4" s="110" t="n"/>
      <c r="V4" s="110" t="n"/>
    </row>
    <row r="5">
      <c r="A5" s="110" t="inlineStr">
        <is>
          <t>Partner buy-in component</t>
        </is>
      </c>
      <c r="B5" s="114">
        <f>IF(Control!$B$5&gt;0,Control!$B$12/Control!$B$11*Control!$B$5,0)</f>
        <v/>
      </c>
      <c r="C5" s="114">
        <f>IF(Control!$B$7&gt;0,Control!$B$13/Control!$B$11*Control!$B$7,0)</f>
        <v/>
      </c>
      <c r="D5" s="114">
        <f>IF(Control!$B$8&gt;0,Control!$B$14/Control!$B$11*Control!$B$8,0)</f>
        <v/>
      </c>
      <c r="F5" s="165">
        <f>Control!$B$15</f>
        <v/>
      </c>
      <c r="G5" s="110" t="n"/>
      <c r="H5" s="110" t="n"/>
      <c r="I5" s="110" t="n"/>
      <c r="J5" s="110" t="n"/>
      <c r="K5" s="110" t="n"/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  <c r="U5" s="110" t="n"/>
      <c r="V5" s="110" t="n"/>
    </row>
    <row r="6">
      <c r="A6" s="110" t="inlineStr">
        <is>
          <t>Adopted property value (100%)</t>
        </is>
      </c>
      <c r="B6" s="114">
        <f>Valuation!C9</f>
        <v/>
      </c>
      <c r="C6" s="114">
        <f>Valuation!D9</f>
        <v/>
      </c>
      <c r="D6" s="114">
        <f>Valuation!E9</f>
        <v/>
      </c>
      <c r="F6" s="165">
        <f>Valuation!$F$9</f>
        <v/>
      </c>
      <c r="G6" s="110" t="n"/>
      <c r="H6" s="110" t="n"/>
      <c r="I6" s="110" t="n"/>
      <c r="J6" s="110" t="n"/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  <c r="U6" s="110" t="n"/>
      <c r="V6" s="110" t="n"/>
    </row>
    <row r="7">
      <c r="A7" s="110" t="inlineStr">
        <is>
          <t>Partner NAV @ property-specific %</t>
        </is>
      </c>
      <c r="B7" s="114">
        <f>Valuation!C10</f>
        <v/>
      </c>
      <c r="C7" s="114">
        <f>Valuation!D10</f>
        <v/>
      </c>
      <c r="D7" s="114">
        <f>Valuation!E10</f>
        <v/>
      </c>
      <c r="F7" s="165">
        <f>Valuation!$F$10</f>
        <v/>
      </c>
      <c r="G7" s="110" t="n"/>
      <c r="H7" s="110" t="n"/>
      <c r="I7" s="110" t="n"/>
      <c r="J7" s="110" t="n"/>
      <c r="K7" s="110" t="n"/>
      <c r="L7" s="110" t="n"/>
      <c r="M7" s="110" t="n"/>
      <c r="N7" s="110" t="n"/>
      <c r="O7" s="110" t="n"/>
      <c r="P7" s="110" t="n"/>
      <c r="Q7" s="110" t="n"/>
      <c r="R7" s="110" t="n"/>
      <c r="S7" s="110" t="n"/>
      <c r="T7" s="110" t="n"/>
      <c r="U7" s="110" t="n"/>
      <c r="V7" s="110" t="n"/>
    </row>
    <row r="8">
      <c r="A8" s="110" t="inlineStr">
        <is>
          <t>Average annual NOI (Yr 1-3)</t>
        </is>
      </c>
      <c r="B8" s="114">
        <f>AVERAGE('African Sky P&amp;L'!C26:E26)</f>
        <v/>
      </c>
      <c r="C8" s="114">
        <f>AVERAGE('Beachside P&amp;L'!C16:E16)</f>
        <v/>
      </c>
      <c r="D8" s="114">
        <f>AVERAGE('Menlyn P&amp;L'!C13:E13)</f>
        <v/>
      </c>
      <c r="F8" s="165">
        <f>AVERAGE('Portfolio NewCo'!B9:D9)</f>
        <v/>
      </c>
      <c r="G8" s="110" t="n"/>
      <c r="H8" s="110" t="n"/>
      <c r="I8" s="110" t="n"/>
      <c r="J8" s="110" t="n"/>
      <c r="K8" s="110" t="n"/>
      <c r="L8" s="110" t="n"/>
      <c r="M8" s="110" t="n"/>
      <c r="N8" s="110" t="n"/>
      <c r="O8" s="110" t="n"/>
      <c r="P8" s="110" t="n"/>
      <c r="Q8" s="110" t="n"/>
      <c r="R8" s="110" t="n"/>
      <c r="S8" s="110" t="n"/>
      <c r="T8" s="110" t="n"/>
      <c r="U8" s="110" t="n"/>
      <c r="V8" s="110" t="n"/>
    </row>
    <row r="9">
      <c r="A9" s="110" t="inlineStr">
        <is>
          <t>NOI yield on adopted value</t>
        </is>
      </c>
      <c r="B9" s="115">
        <f>IFERROR(B8/B6,"")</f>
        <v/>
      </c>
      <c r="C9" s="115">
        <f>IFERROR(C8/C6,"")</f>
        <v/>
      </c>
      <c r="D9" s="115">
        <f>IFERROR(D8/D6,"")</f>
        <v/>
      </c>
      <c r="F9" s="166">
        <f>IFERROR(F8/F6,"")</f>
        <v/>
      </c>
      <c r="G9" s="110" t="n"/>
      <c r="H9" s="110" t="n"/>
      <c r="I9" s="110" t="n"/>
      <c r="J9" s="110" t="n"/>
      <c r="K9" s="110" t="n"/>
      <c r="L9" s="110" t="n"/>
      <c r="M9" s="110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</row>
    <row r="10">
      <c r="A10" s="110" t="inlineStr">
        <is>
          <t>Implied earnings multiple (value ÷ NOI)</t>
        </is>
      </c>
      <c r="B10" s="116">
        <f>IFERROR(B6/B8,"")</f>
        <v/>
      </c>
      <c r="C10" s="116">
        <f>IFERROR(C6/C8,"")</f>
        <v/>
      </c>
      <c r="D10" s="116">
        <f>IFERROR(D6/D8,"")</f>
        <v/>
      </c>
      <c r="F10" s="167">
        <f>IFERROR(F6/F8,"")</f>
        <v/>
      </c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</row>
    <row r="11">
      <c r="A11" s="154" t="inlineStr">
        <is>
          <t>5-year Cash MOIC</t>
        </is>
      </c>
      <c r="B11" s="158">
        <f>IF(B5=0,"",INDEX($B$28:$U$28,1,5)/B5)</f>
        <v/>
      </c>
      <c r="C11" s="158">
        <f>IF(C5=0,"",INDEX($B$29:$U$29,1,5)/C5)</f>
        <v/>
      </c>
      <c r="D11" s="158">
        <f>IF(D5=0,"",INDEX($B$30:$U$30,1,5)/D5)</f>
        <v/>
      </c>
      <c r="F11" s="167">
        <f>IFERROR(INDEX('INV - Investor KPIs'!$C$10:$V$10,1,5),"")</f>
        <v/>
      </c>
      <c r="G11" s="110" t="n"/>
      <c r="H11" s="110" t="n"/>
      <c r="I11" s="110" t="n"/>
      <c r="J11" s="110" t="n"/>
      <c r="K11" s="110" t="n"/>
      <c r="L11" s="110" t="n"/>
      <c r="M11" s="110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</row>
    <row r="12">
      <c r="A12" s="154" t="inlineStr">
        <is>
          <t>5-year Total MOIC</t>
        </is>
      </c>
      <c r="B12" s="158">
        <f>IF(B5=0,"",(INDEX($B$28:$U$28,1,5)+B7*POWER(1+Control!$B$74,5)*(1-Control!$B$75))/B5)</f>
        <v/>
      </c>
      <c r="C12" s="158">
        <f>IF(C5=0,"",(INDEX($B$29:$U$29,1,5)+C7*POWER(1+Control!$B$74,5)*(1-Control!$B$75))/C5)</f>
        <v/>
      </c>
      <c r="D12" s="158">
        <f>IF(D5=0,"",(INDEX($B$30:$U$30,1,5)+D7*POWER(1+Control!$B$74,5)*(1-Control!$B$75))/D5)</f>
        <v/>
      </c>
      <c r="F12" s="167">
        <f>IFERROR(INDEX('INV - Investor KPIs'!$C$13:$V$13,1,5),"")</f>
        <v/>
      </c>
      <c r="G12" s="110" t="n"/>
      <c r="H12" s="110" t="n"/>
      <c r="I12" s="110" t="n"/>
      <c r="J12" s="110" t="n"/>
      <c r="K12" s="110" t="n"/>
      <c r="L12" s="110" t="n"/>
      <c r="M12" s="110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</row>
    <row r="13">
      <c r="A13" s="154" t="inlineStr">
        <is>
          <t>5-year Total IRR</t>
        </is>
      </c>
      <c r="B13" s="155">
        <f>IF(B5=0,"",IFERROR(IRR(B32:G32),""))</f>
        <v/>
      </c>
      <c r="C13" s="155">
        <f>IF(C5=0,"",IFERROR(IRR(B33:G33),""))</f>
        <v/>
      </c>
      <c r="D13" s="155">
        <f>IF(D5=0,"",IFERROR(IRR(B34:G34),""))</f>
        <v/>
      </c>
      <c r="F13" s="166">
        <f>'INV - Investor KPIs'!C18</f>
        <v/>
      </c>
      <c r="G13" s="110" t="n"/>
      <c r="H13" s="110" t="n"/>
      <c r="I13" s="110" t="n"/>
      <c r="J13" s="110" t="n"/>
      <c r="K13" s="110" t="n"/>
      <c r="L13" s="110" t="n"/>
      <c r="M13" s="110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</row>
    <row r="14">
      <c r="A14" s="156" t="inlineStr">
        <is>
          <t>10-year Cash MOIC</t>
        </is>
      </c>
      <c r="B14" s="158">
        <f>IF(B5=0,"",INDEX($B$28:$U$28,1,10)/B5)</f>
        <v/>
      </c>
      <c r="C14" s="158">
        <f>IF(C5=0,"",INDEX($B$29:$U$29,1,10)/C5)</f>
        <v/>
      </c>
      <c r="D14" s="158">
        <f>IF(D5=0,"",INDEX($B$30:$U$30,1,10)/D5)</f>
        <v/>
      </c>
      <c r="F14" s="167">
        <f>IFERROR(INDEX('INV - Investor KPIs'!$C$10:$V$10,1,10),"")</f>
        <v/>
      </c>
      <c r="G14" s="110" t="n"/>
      <c r="H14" s="110" t="n"/>
      <c r="I14" s="110" t="n"/>
      <c r="J14" s="110" t="n"/>
      <c r="K14" s="110" t="n"/>
      <c r="L14" s="110" t="n"/>
      <c r="M14" s="110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</row>
    <row r="15">
      <c r="A15" s="156" t="inlineStr">
        <is>
          <t>10-year Total MOIC</t>
        </is>
      </c>
      <c r="B15" s="158">
        <f>IF(B5=0,"",(INDEX($B$28:$U$28,1,10)+B7*POWER(1+Control!$B$74,10)*(1-Control!$B$75))/B5)</f>
        <v/>
      </c>
      <c r="C15" s="158">
        <f>IF(C5=0,"",(INDEX($B$29:$U$29,1,10)+C7*POWER(1+Control!$B$74,10)*(1-Control!$B$75))/C5)</f>
        <v/>
      </c>
      <c r="D15" s="158">
        <f>IF(D5=0,"",(INDEX($B$30:$U$30,1,10)+D7*POWER(1+Control!$B$74,10)*(1-Control!$B$75))/D5)</f>
        <v/>
      </c>
      <c r="F15" s="167">
        <f>IFERROR(INDEX('INV - Investor KPIs'!$C$13:$V$13,1,10),"")</f>
        <v/>
      </c>
      <c r="G15" s="110" t="n"/>
      <c r="H15" s="110" t="n"/>
      <c r="I15" s="110" t="n"/>
      <c r="J15" s="110" t="n"/>
      <c r="K15" s="110" t="n"/>
      <c r="L15" s="110" t="n"/>
      <c r="M15" s="110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</row>
    <row r="16">
      <c r="A16" s="156" t="inlineStr">
        <is>
          <t>10-year Total IRR</t>
        </is>
      </c>
      <c r="B16" s="157">
        <f>IF(B5=0,"",IFERROR(IRR(B35:L35),""))</f>
        <v/>
      </c>
      <c r="C16" s="157">
        <f>IF(C5=0,"",IFERROR(IRR(B36:L36),""))</f>
        <v/>
      </c>
      <c r="D16" s="157">
        <f>IF(D5=0,"",IFERROR(IRR(B37:L37),""))</f>
        <v/>
      </c>
      <c r="F16" s="166">
        <f>'INV - Investor KPIs'!D18</f>
        <v/>
      </c>
      <c r="G16" s="110" t="n"/>
      <c r="H16" s="110" t="n"/>
      <c r="I16" s="110" t="n"/>
      <c r="J16" s="110" t="n"/>
      <c r="K16" s="110" t="n"/>
      <c r="L16" s="110" t="n"/>
      <c r="M16" s="110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</row>
    <row r="17">
      <c r="A17" s="156" t="inlineStr">
        <is>
          <t>15-year Cash MOIC</t>
        </is>
      </c>
      <c r="B17" s="158">
        <f>IF(B5=0,"",INDEX($B$28:$U$28,1,15)/B5)</f>
        <v/>
      </c>
      <c r="C17" s="158">
        <f>IF(C5=0,"",INDEX($B$29:$U$29,1,15)/C5)</f>
        <v/>
      </c>
      <c r="D17" s="158">
        <f>IF(D5=0,"",INDEX($B$30:$U$30,1,15)/D5)</f>
        <v/>
      </c>
      <c r="F17" s="167">
        <f>IFERROR(INDEX('INV - Investor KPIs'!$C$10:$V$10,1,15),"")</f>
        <v/>
      </c>
      <c r="G17" s="110" t="n"/>
      <c r="H17" s="110" t="n"/>
      <c r="I17" s="110" t="n"/>
      <c r="J17" s="110" t="n"/>
      <c r="K17" s="110" t="n"/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</row>
    <row r="18">
      <c r="A18" s="156" t="inlineStr">
        <is>
          <t>15-year Total MOIC</t>
        </is>
      </c>
      <c r="B18" s="158">
        <f>IF(B5=0,"",(INDEX($B$28:$U$28,1,15)+B7*POWER(1+Control!$B$74,15)*(1-Control!$B$75))/B5)</f>
        <v/>
      </c>
      <c r="C18" s="158">
        <f>IF(C5=0,"",(INDEX($B$29:$U$29,1,15)+C7*POWER(1+Control!$B$74,15)*(1-Control!$B$75))/C5)</f>
        <v/>
      </c>
      <c r="D18" s="158">
        <f>IF(D5=0,"",(INDEX($B$30:$U$30,1,15)+D7*POWER(1+Control!$B$74,15)*(1-Control!$B$75))/D5)</f>
        <v/>
      </c>
      <c r="F18" s="167">
        <f>IFERROR(INDEX('INV - Investor KPIs'!$C$13:$V$13,1,15),"")</f>
        <v/>
      </c>
      <c r="G18" s="110" t="n"/>
      <c r="H18" s="110" t="n"/>
      <c r="I18" s="110" t="n"/>
      <c r="J18" s="110" t="n"/>
      <c r="K18" s="110" t="n"/>
      <c r="L18" s="110" t="n"/>
      <c r="M18" s="110" t="n"/>
      <c r="N18" s="110" t="n"/>
      <c r="O18" s="110" t="n"/>
      <c r="P18" s="110" t="n"/>
      <c r="Q18" s="110" t="n"/>
      <c r="R18" s="110" t="n"/>
      <c r="S18" s="110" t="n"/>
      <c r="T18" s="110" t="n"/>
      <c r="U18" s="110" t="n"/>
      <c r="V18" s="110" t="n"/>
    </row>
    <row r="19">
      <c r="A19" s="156" t="inlineStr">
        <is>
          <t>15-year Total IRR</t>
        </is>
      </c>
      <c r="B19" s="157">
        <f>IF(B5=0,"",IFERROR(IRR(B38:Q38),""))</f>
        <v/>
      </c>
      <c r="C19" s="157">
        <f>IF(C5=0,"",IFERROR(IRR(B39:Q39),""))</f>
        <v/>
      </c>
      <c r="D19" s="157">
        <f>IF(D5=0,"",IFERROR(IRR(B40:Q40),""))</f>
        <v/>
      </c>
      <c r="F19" s="166">
        <f>'INV - Investor KPIs'!E18</f>
        <v/>
      </c>
      <c r="G19" s="110" t="n"/>
      <c r="H19" s="110" t="n"/>
      <c r="I19" s="110" t="n"/>
      <c r="J19" s="110" t="n"/>
      <c r="K19" s="110" t="n"/>
      <c r="L19" s="110" t="n"/>
      <c r="M19" s="110" t="n"/>
      <c r="N19" s="110" t="n"/>
      <c r="O19" s="110" t="n"/>
      <c r="P19" s="110" t="n"/>
      <c r="Q19" s="110" t="n"/>
      <c r="R19" s="110" t="n"/>
      <c r="S19" s="110" t="n"/>
      <c r="T19" s="110" t="n"/>
      <c r="U19" s="110" t="n"/>
      <c r="V19" s="110" t="n"/>
    </row>
    <row r="20">
      <c r="A20" s="156" t="inlineStr">
        <is>
          <t>20-year Cash MOIC</t>
        </is>
      </c>
      <c r="B20" s="158">
        <f>IF(B5=0,"",INDEX($B$28:$U$28,1,20)/B5)</f>
        <v/>
      </c>
      <c r="C20" s="158">
        <f>IF(C5=0,"",INDEX($B$29:$U$29,1,20)/C5)</f>
        <v/>
      </c>
      <c r="D20" s="158">
        <f>IF(D5=0,"",INDEX($B$30:$U$30,1,20)/D5)</f>
        <v/>
      </c>
      <c r="F20" s="167">
        <f>IFERROR(INDEX('INV - Investor KPIs'!$C$10:$V$10,1,20),"")</f>
        <v/>
      </c>
      <c r="G20" s="110" t="n"/>
      <c r="H20" s="110" t="n"/>
      <c r="I20" s="110" t="n"/>
      <c r="J20" s="110" t="n"/>
      <c r="K20" s="110" t="n"/>
      <c r="L20" s="110" t="n"/>
      <c r="M20" s="110" t="n"/>
      <c r="N20" s="110" t="n"/>
      <c r="O20" s="110" t="n"/>
      <c r="P20" s="110" t="n"/>
      <c r="Q20" s="110" t="n"/>
      <c r="R20" s="110" t="n"/>
      <c r="S20" s="110" t="n"/>
      <c r="T20" s="110" t="n"/>
      <c r="U20" s="110" t="n"/>
      <c r="V20" s="110" t="n"/>
    </row>
    <row r="21">
      <c r="A21" s="156" t="inlineStr">
        <is>
          <t>20-year Total MOIC</t>
        </is>
      </c>
      <c r="B21" s="158">
        <f>IF(B5=0,"",(INDEX($B$28:$U$28,1,20)+B7*POWER(1+Control!$B$74,20)*(1-Control!$B$75))/B5)</f>
        <v/>
      </c>
      <c r="C21" s="158">
        <f>IF(C5=0,"",(INDEX($B$29:$U$29,1,20)+C7*POWER(1+Control!$B$74,20)*(1-Control!$B$75))/C5)</f>
        <v/>
      </c>
      <c r="D21" s="158">
        <f>IF(D5=0,"",(INDEX($B$30:$U$30,1,20)+D7*POWER(1+Control!$B$74,20)*(1-Control!$B$75))/D5)</f>
        <v/>
      </c>
      <c r="F21" s="167">
        <f>IFERROR(INDEX('INV - Investor KPIs'!$C$13:$V$13,1,20),"")</f>
        <v/>
      </c>
      <c r="G21" s="110" t="n"/>
      <c r="H21" s="110" t="n"/>
      <c r="I21" s="110" t="n"/>
      <c r="J21" s="110" t="n"/>
      <c r="K21" s="110" t="n"/>
      <c r="L21" s="110" t="n"/>
      <c r="M21" s="110" t="n"/>
      <c r="N21" s="110" t="n"/>
      <c r="O21" s="110" t="n"/>
      <c r="P21" s="110" t="n"/>
      <c r="Q21" s="110" t="n"/>
      <c r="R21" s="110" t="n"/>
      <c r="S21" s="110" t="n"/>
      <c r="T21" s="110" t="n"/>
      <c r="U21" s="110" t="n"/>
      <c r="V21" s="110" t="n"/>
    </row>
    <row r="22">
      <c r="A22" s="156" t="inlineStr">
        <is>
          <t>20-year Total IRR</t>
        </is>
      </c>
      <c r="B22" s="157">
        <f>IF(B5=0,"",IFERROR(IRR(B41:V41),""))</f>
        <v/>
      </c>
      <c r="C22" s="157">
        <f>IF(C5=0,"",IFERROR(IRR(B42:V42),""))</f>
        <v/>
      </c>
      <c r="D22" s="157">
        <f>IF(D5=0,"",IFERROR(IRR(B43:V43),""))</f>
        <v/>
      </c>
      <c r="F22" s="166">
        <f>'INV - Investor KPIs'!F18</f>
        <v/>
      </c>
      <c r="G22" s="110" t="n"/>
      <c r="H22" s="110" t="n"/>
      <c r="I22" s="110" t="n"/>
      <c r="J22" s="110" t="n"/>
      <c r="K22" s="110" t="n"/>
      <c r="L22" s="110" t="n"/>
      <c r="M22" s="110" t="n"/>
      <c r="N22" s="110" t="n"/>
      <c r="O22" s="110" t="n"/>
      <c r="P22" s="110" t="n"/>
      <c r="Q22" s="110" t="n"/>
      <c r="R22" s="110" t="n"/>
      <c r="S22" s="110" t="n"/>
      <c r="T22" s="110" t="n"/>
      <c r="U22" s="110" t="n"/>
      <c r="V22" s="110" t="n"/>
    </row>
    <row r="23">
      <c r="A23" s="133" t="n"/>
      <c r="B23" s="159" t="n"/>
      <c r="C23" s="159" t="n"/>
      <c r="D23" s="159" t="n"/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110" t="n"/>
      <c r="O23" s="110" t="n"/>
      <c r="P23" s="110" t="n"/>
      <c r="Q23" s="110" t="n"/>
      <c r="R23" s="110" t="n"/>
      <c r="S23" s="110" t="n"/>
      <c r="T23" s="110" t="n"/>
      <c r="U23" s="110" t="n"/>
      <c r="V23" s="110" t="n"/>
    </row>
    <row r="24">
      <c r="A24" s="110" t="inlineStr">
        <is>
          <t>50% PARTNER DISTRIBUTION HELPERS — by property</t>
        </is>
      </c>
      <c r="B24" s="110" t="n"/>
      <c r="C24" s="110" t="n"/>
      <c r="D24" s="110" t="n"/>
      <c r="E24" s="110" t="n"/>
      <c r="F24" s="110" t="n"/>
      <c r="G24" s="110" t="n"/>
      <c r="H24" s="110" t="n"/>
      <c r="I24" s="110" t="n"/>
      <c r="J24" s="110" t="n"/>
      <c r="K24" s="110" t="n"/>
      <c r="L24" s="110" t="n"/>
      <c r="M24" s="110" t="n"/>
      <c r="N24" s="110" t="n"/>
      <c r="O24" s="110" t="n"/>
      <c r="P24" s="110" t="n"/>
      <c r="Q24" s="110" t="n"/>
      <c r="R24" s="110" t="n"/>
      <c r="S24" s="110" t="n"/>
      <c r="T24" s="110" t="n"/>
      <c r="U24" s="110" t="n"/>
      <c r="V24" s="110" t="n"/>
    </row>
    <row r="25">
      <c r="A25" s="110" t="inlineStr">
        <is>
          <t>AS partner dist</t>
        </is>
      </c>
      <c r="B25" s="114">
        <f>'Portfolio NewCo'!B22</f>
        <v/>
      </c>
      <c r="C25" s="114">
        <f>'Portfolio NewCo'!C22</f>
        <v/>
      </c>
      <c r="D25" s="114">
        <f>'Portfolio NewCo'!D22</f>
        <v/>
      </c>
      <c r="E25" s="114">
        <f>'Portfolio NewCo'!E22</f>
        <v/>
      </c>
      <c r="F25" s="114">
        <f>'Portfolio NewCo'!F22</f>
        <v/>
      </c>
      <c r="G25" s="114">
        <f>'Portfolio NewCo'!G22</f>
        <v/>
      </c>
      <c r="H25" s="114">
        <f>'Portfolio NewCo'!H22</f>
        <v/>
      </c>
      <c r="I25" s="114">
        <f>'Portfolio NewCo'!I22</f>
        <v/>
      </c>
      <c r="J25" s="114">
        <f>'Portfolio NewCo'!J22</f>
        <v/>
      </c>
      <c r="K25" s="114">
        <f>'Portfolio NewCo'!K22</f>
        <v/>
      </c>
      <c r="L25" s="114">
        <f>'Portfolio NewCo'!L22</f>
        <v/>
      </c>
      <c r="M25" s="114">
        <f>'Portfolio NewCo'!M22</f>
        <v/>
      </c>
      <c r="N25" s="114">
        <f>'Portfolio NewCo'!N22</f>
        <v/>
      </c>
      <c r="O25" s="114">
        <f>'Portfolio NewCo'!O22</f>
        <v/>
      </c>
      <c r="P25" s="114">
        <f>'Portfolio NewCo'!P22</f>
        <v/>
      </c>
      <c r="Q25" s="114">
        <f>'Portfolio NewCo'!Q22</f>
        <v/>
      </c>
      <c r="R25" s="114">
        <f>'Portfolio NewCo'!R22</f>
        <v/>
      </c>
      <c r="S25" s="114">
        <f>'Portfolio NewCo'!S22</f>
        <v/>
      </c>
      <c r="T25" s="114">
        <f>'Portfolio NewCo'!T22</f>
        <v/>
      </c>
      <c r="U25" s="114">
        <f>'Portfolio NewCo'!U22</f>
        <v/>
      </c>
      <c r="V25" s="114" t="n"/>
    </row>
    <row r="26">
      <c r="A26" s="110" t="inlineStr">
        <is>
          <t>BS partner dist</t>
        </is>
      </c>
      <c r="B26" s="114">
        <f>'Portfolio NewCo'!B23</f>
        <v/>
      </c>
      <c r="C26" s="114">
        <f>'Portfolio NewCo'!C23</f>
        <v/>
      </c>
      <c r="D26" s="114">
        <f>'Portfolio NewCo'!D23</f>
        <v/>
      </c>
      <c r="E26" s="114">
        <f>'Portfolio NewCo'!E23</f>
        <v/>
      </c>
      <c r="F26" s="114">
        <f>'Portfolio NewCo'!F23</f>
        <v/>
      </c>
      <c r="G26" s="114">
        <f>'Portfolio NewCo'!G23</f>
        <v/>
      </c>
      <c r="H26" s="114">
        <f>'Portfolio NewCo'!H23</f>
        <v/>
      </c>
      <c r="I26" s="114">
        <f>'Portfolio NewCo'!I23</f>
        <v/>
      </c>
      <c r="J26" s="114">
        <f>'Portfolio NewCo'!J23</f>
        <v/>
      </c>
      <c r="K26" s="114">
        <f>'Portfolio NewCo'!K23</f>
        <v/>
      </c>
      <c r="L26" s="114">
        <f>'Portfolio NewCo'!L23</f>
        <v/>
      </c>
      <c r="M26" s="114">
        <f>'Portfolio NewCo'!M23</f>
        <v/>
      </c>
      <c r="N26" s="114">
        <f>'Portfolio NewCo'!N23</f>
        <v/>
      </c>
      <c r="O26" s="114">
        <f>'Portfolio NewCo'!O23</f>
        <v/>
      </c>
      <c r="P26" s="114">
        <f>'Portfolio NewCo'!P23</f>
        <v/>
      </c>
      <c r="Q26" s="114">
        <f>'Portfolio NewCo'!Q23</f>
        <v/>
      </c>
      <c r="R26" s="114">
        <f>'Portfolio NewCo'!R23</f>
        <v/>
      </c>
      <c r="S26" s="114">
        <f>'Portfolio NewCo'!S23</f>
        <v/>
      </c>
      <c r="T26" s="114">
        <f>'Portfolio NewCo'!T23</f>
        <v/>
      </c>
      <c r="U26" s="114">
        <f>'Portfolio NewCo'!U23</f>
        <v/>
      </c>
      <c r="V26" s="114" t="n"/>
    </row>
    <row r="27">
      <c r="A27" s="110" t="inlineStr">
        <is>
          <t>MN partner dist</t>
        </is>
      </c>
      <c r="B27" s="114">
        <f>'Portfolio NewCo'!B24</f>
        <v/>
      </c>
      <c r="C27" s="114">
        <f>'Portfolio NewCo'!C24</f>
        <v/>
      </c>
      <c r="D27" s="114">
        <f>'Portfolio NewCo'!D24</f>
        <v/>
      </c>
      <c r="E27" s="114">
        <f>'Portfolio NewCo'!E24</f>
        <v/>
      </c>
      <c r="F27" s="114">
        <f>'Portfolio NewCo'!F24</f>
        <v/>
      </c>
      <c r="G27" s="114">
        <f>'Portfolio NewCo'!G24</f>
        <v/>
      </c>
      <c r="H27" s="114">
        <f>'Portfolio NewCo'!H24</f>
        <v/>
      </c>
      <c r="I27" s="114">
        <f>'Portfolio NewCo'!I24</f>
        <v/>
      </c>
      <c r="J27" s="114">
        <f>'Portfolio NewCo'!J24</f>
        <v/>
      </c>
      <c r="K27" s="114">
        <f>'Portfolio NewCo'!K24</f>
        <v/>
      </c>
      <c r="L27" s="114">
        <f>'Portfolio NewCo'!L24</f>
        <v/>
      </c>
      <c r="M27" s="114">
        <f>'Portfolio NewCo'!M24</f>
        <v/>
      </c>
      <c r="N27" s="114">
        <f>'Portfolio NewCo'!N24</f>
        <v/>
      </c>
      <c r="O27" s="114">
        <f>'Portfolio NewCo'!O24</f>
        <v/>
      </c>
      <c r="P27" s="114">
        <f>'Portfolio NewCo'!P24</f>
        <v/>
      </c>
      <c r="Q27" s="114">
        <f>'Portfolio NewCo'!Q24</f>
        <v/>
      </c>
      <c r="R27" s="114">
        <f>'Portfolio NewCo'!R24</f>
        <v/>
      </c>
      <c r="S27" s="114">
        <f>'Portfolio NewCo'!S24</f>
        <v/>
      </c>
      <c r="T27" s="114">
        <f>'Portfolio NewCo'!T24</f>
        <v/>
      </c>
      <c r="U27" s="114">
        <f>'Portfolio NewCo'!U24</f>
        <v/>
      </c>
      <c r="V27" s="114" t="n"/>
    </row>
    <row r="28">
      <c r="A28" s="110" t="inlineStr">
        <is>
          <t>AS cumulative</t>
        </is>
      </c>
      <c r="B28" s="114">
        <f>'Portfolio NewCo'!B25</f>
        <v/>
      </c>
      <c r="C28" s="114">
        <f>'Portfolio NewCo'!C25</f>
        <v/>
      </c>
      <c r="D28" s="114">
        <f>'Portfolio NewCo'!D25</f>
        <v/>
      </c>
      <c r="E28" s="114">
        <f>'Portfolio NewCo'!E25</f>
        <v/>
      </c>
      <c r="F28" s="114">
        <f>'Portfolio NewCo'!F25</f>
        <v/>
      </c>
      <c r="G28" s="114">
        <f>'Portfolio NewCo'!G25</f>
        <v/>
      </c>
      <c r="H28" s="114">
        <f>'Portfolio NewCo'!H25</f>
        <v/>
      </c>
      <c r="I28" s="114">
        <f>'Portfolio NewCo'!I25</f>
        <v/>
      </c>
      <c r="J28" s="114">
        <f>'Portfolio NewCo'!J25</f>
        <v/>
      </c>
      <c r="K28" s="114">
        <f>'Portfolio NewCo'!K25</f>
        <v/>
      </c>
      <c r="L28" s="114">
        <f>'Portfolio NewCo'!L25</f>
        <v/>
      </c>
      <c r="M28" s="114">
        <f>'Portfolio NewCo'!M25</f>
        <v/>
      </c>
      <c r="N28" s="114">
        <f>'Portfolio NewCo'!N25</f>
        <v/>
      </c>
      <c r="O28" s="114">
        <f>'Portfolio NewCo'!O25</f>
        <v/>
      </c>
      <c r="P28" s="114">
        <f>'Portfolio NewCo'!P25</f>
        <v/>
      </c>
      <c r="Q28" s="114">
        <f>'Portfolio NewCo'!Q25</f>
        <v/>
      </c>
      <c r="R28" s="114">
        <f>'Portfolio NewCo'!R25</f>
        <v/>
      </c>
      <c r="S28" s="114">
        <f>'Portfolio NewCo'!S25</f>
        <v/>
      </c>
      <c r="T28" s="114">
        <f>'Portfolio NewCo'!T25</f>
        <v/>
      </c>
      <c r="U28" s="114">
        <f>'Portfolio NewCo'!U25</f>
        <v/>
      </c>
      <c r="V28" s="114" t="n"/>
    </row>
    <row r="29">
      <c r="A29" s="110" t="inlineStr">
        <is>
          <t>BS cumulative</t>
        </is>
      </c>
      <c r="B29" s="114">
        <f>'Portfolio NewCo'!B26</f>
        <v/>
      </c>
      <c r="C29" s="114">
        <f>'Portfolio NewCo'!C26</f>
        <v/>
      </c>
      <c r="D29" s="114">
        <f>'Portfolio NewCo'!D26</f>
        <v/>
      </c>
      <c r="E29" s="114">
        <f>'Portfolio NewCo'!E26</f>
        <v/>
      </c>
      <c r="F29" s="114">
        <f>'Portfolio NewCo'!F26</f>
        <v/>
      </c>
      <c r="G29" s="114">
        <f>'Portfolio NewCo'!G26</f>
        <v/>
      </c>
      <c r="H29" s="114">
        <f>'Portfolio NewCo'!H26</f>
        <v/>
      </c>
      <c r="I29" s="114">
        <f>'Portfolio NewCo'!I26</f>
        <v/>
      </c>
      <c r="J29" s="114">
        <f>'Portfolio NewCo'!J26</f>
        <v/>
      </c>
      <c r="K29" s="114">
        <f>'Portfolio NewCo'!K26</f>
        <v/>
      </c>
      <c r="L29" s="114">
        <f>'Portfolio NewCo'!L26</f>
        <v/>
      </c>
      <c r="M29" s="114">
        <f>'Portfolio NewCo'!M26</f>
        <v/>
      </c>
      <c r="N29" s="114">
        <f>'Portfolio NewCo'!N26</f>
        <v/>
      </c>
      <c r="O29" s="114">
        <f>'Portfolio NewCo'!O26</f>
        <v/>
      </c>
      <c r="P29" s="114">
        <f>'Portfolio NewCo'!P26</f>
        <v/>
      </c>
      <c r="Q29" s="114">
        <f>'Portfolio NewCo'!Q26</f>
        <v/>
      </c>
      <c r="R29" s="114">
        <f>'Portfolio NewCo'!R26</f>
        <v/>
      </c>
      <c r="S29" s="114">
        <f>'Portfolio NewCo'!S26</f>
        <v/>
      </c>
      <c r="T29" s="114">
        <f>'Portfolio NewCo'!T26</f>
        <v/>
      </c>
      <c r="U29" s="114">
        <f>'Portfolio NewCo'!U26</f>
        <v/>
      </c>
      <c r="V29" s="114" t="n"/>
    </row>
    <row r="30">
      <c r="A30" s="110" t="inlineStr">
        <is>
          <t>MN cumulative</t>
        </is>
      </c>
      <c r="B30" s="114">
        <f>'Portfolio NewCo'!B27</f>
        <v/>
      </c>
      <c r="C30" s="114">
        <f>'Portfolio NewCo'!C27</f>
        <v/>
      </c>
      <c r="D30" s="114">
        <f>'Portfolio NewCo'!D27</f>
        <v/>
      </c>
      <c r="E30" s="114">
        <f>'Portfolio NewCo'!E27</f>
        <v/>
      </c>
      <c r="F30" s="114">
        <f>'Portfolio NewCo'!F27</f>
        <v/>
      </c>
      <c r="G30" s="114">
        <f>'Portfolio NewCo'!G27</f>
        <v/>
      </c>
      <c r="H30" s="114">
        <f>'Portfolio NewCo'!H27</f>
        <v/>
      </c>
      <c r="I30" s="114">
        <f>'Portfolio NewCo'!I27</f>
        <v/>
      </c>
      <c r="J30" s="114">
        <f>'Portfolio NewCo'!J27</f>
        <v/>
      </c>
      <c r="K30" s="114">
        <f>'Portfolio NewCo'!K27</f>
        <v/>
      </c>
      <c r="L30" s="114">
        <f>'Portfolio NewCo'!L27</f>
        <v/>
      </c>
      <c r="M30" s="114">
        <f>'Portfolio NewCo'!M27</f>
        <v/>
      </c>
      <c r="N30" s="114">
        <f>'Portfolio NewCo'!N27</f>
        <v/>
      </c>
      <c r="O30" s="114">
        <f>'Portfolio NewCo'!O27</f>
        <v/>
      </c>
      <c r="P30" s="114">
        <f>'Portfolio NewCo'!P27</f>
        <v/>
      </c>
      <c r="Q30" s="114">
        <f>'Portfolio NewCo'!Q27</f>
        <v/>
      </c>
      <c r="R30" s="114">
        <f>'Portfolio NewCo'!R27</f>
        <v/>
      </c>
      <c r="S30" s="114">
        <f>'Portfolio NewCo'!S27</f>
        <v/>
      </c>
      <c r="T30" s="114">
        <f>'Portfolio NewCo'!T27</f>
        <v/>
      </c>
      <c r="U30" s="114">
        <f>'Portfolio NewCo'!U27</f>
        <v/>
      </c>
      <c r="V30" s="114" t="n"/>
    </row>
    <row r="31">
      <c r="A31" s="110" t="n"/>
      <c r="B31" s="110" t="n"/>
      <c r="C31" s="110" t="n"/>
      <c r="D31" s="110" t="n"/>
      <c r="E31" s="110" t="n"/>
      <c r="F31" s="110" t="n"/>
      <c r="G31" s="110" t="n"/>
      <c r="H31" s="110" t="n"/>
      <c r="I31" s="110" t="n"/>
      <c r="J31" s="110" t="n"/>
      <c r="K31" s="110" t="n"/>
      <c r="L31" s="110" t="n"/>
      <c r="M31" s="110" t="n"/>
      <c r="N31" s="110" t="n"/>
      <c r="O31" s="110" t="n"/>
      <c r="P31" s="110" t="n"/>
      <c r="Q31" s="110" t="n"/>
      <c r="R31" s="110" t="n"/>
      <c r="S31" s="110" t="n"/>
      <c r="T31" s="110" t="n"/>
      <c r="U31" s="110" t="n"/>
      <c r="V31" s="110" t="n"/>
    </row>
    <row r="32">
      <c r="A32" s="110" t="inlineStr">
        <is>
          <t>AS total-exit 5y</t>
        </is>
      </c>
      <c r="B32" s="114">
        <f>-B5</f>
        <v/>
      </c>
      <c r="C32" s="114">
        <f>INDEX($B$25:$U$25,1,1)</f>
        <v/>
      </c>
      <c r="D32" s="114">
        <f>INDEX($B$25:$U$25,1,2)</f>
        <v/>
      </c>
      <c r="E32" s="114">
        <f>INDEX($B$25:$U$25,1,3)</f>
        <v/>
      </c>
      <c r="F32" s="114">
        <f>INDEX($B$25:$U$25,1,4)</f>
        <v/>
      </c>
      <c r="G32" s="114">
        <f>INDEX($B$25:$U$25,1,5)+B7*POWER(1+Control!$B$74,5)*(1-Control!$B$75)</f>
        <v/>
      </c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</row>
    <row r="33">
      <c r="A33" s="110" t="inlineStr">
        <is>
          <t>BS total-exit 5y</t>
        </is>
      </c>
      <c r="B33" s="114">
        <f>-C5</f>
        <v/>
      </c>
      <c r="C33" s="114">
        <f>INDEX($B$26:$U$26,1,1)</f>
        <v/>
      </c>
      <c r="D33" s="114">
        <f>INDEX($B$26:$U$26,1,2)</f>
        <v/>
      </c>
      <c r="E33" s="114">
        <f>INDEX($B$26:$U$26,1,3)</f>
        <v/>
      </c>
      <c r="F33" s="114">
        <f>INDEX($B$26:$U$26,1,4)</f>
        <v/>
      </c>
      <c r="G33" s="114">
        <f>INDEX($B$26:$U$26,1,5)+C7*POWER(1+Control!$B$74,5)*(1-Control!$B$75)</f>
        <v/>
      </c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</row>
    <row r="34">
      <c r="A34" s="110" t="inlineStr">
        <is>
          <t>MN total-exit 5y</t>
        </is>
      </c>
      <c r="B34" s="114">
        <f>-D5</f>
        <v/>
      </c>
      <c r="C34" s="114">
        <f>INDEX($B$27:$U$27,1,1)</f>
        <v/>
      </c>
      <c r="D34" s="114">
        <f>INDEX($B$27:$U$27,1,2)</f>
        <v/>
      </c>
      <c r="E34" s="114">
        <f>INDEX($B$27:$U$27,1,3)</f>
        <v/>
      </c>
      <c r="F34" s="114">
        <f>INDEX($B$27:$U$27,1,4)</f>
        <v/>
      </c>
      <c r="G34" s="114">
        <f>INDEX($B$27:$U$27,1,5)+D7*POWER(1+Control!$B$74,5)*(1-Control!$B$75)</f>
        <v/>
      </c>
      <c r="H34" s="114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</row>
    <row r="35">
      <c r="A35" s="110" t="inlineStr">
        <is>
          <t>AS total-exit 10y</t>
        </is>
      </c>
      <c r="B35" s="114">
        <f>-B5</f>
        <v/>
      </c>
      <c r="C35" s="114">
        <f>INDEX($B$25:$U$25,1,1)</f>
        <v/>
      </c>
      <c r="D35" s="114">
        <f>INDEX($B$25:$U$25,1,2)</f>
        <v/>
      </c>
      <c r="E35" s="114">
        <f>INDEX($B$25:$U$25,1,3)</f>
        <v/>
      </c>
      <c r="F35" s="114">
        <f>INDEX($B$25:$U$25,1,4)</f>
        <v/>
      </c>
      <c r="G35" s="114">
        <f>INDEX($B$25:$U$25,1,5)</f>
        <v/>
      </c>
      <c r="H35" s="114">
        <f>INDEX($B$25:$U$25,1,6)</f>
        <v/>
      </c>
      <c r="I35" s="114">
        <f>INDEX($B$25:$U$25,1,7)</f>
        <v/>
      </c>
      <c r="J35" s="114">
        <f>INDEX($B$25:$U$25,1,8)</f>
        <v/>
      </c>
      <c r="K35" s="114">
        <f>INDEX($B$25:$U$25,1,9)</f>
        <v/>
      </c>
      <c r="L35" s="114">
        <f>INDEX($B$25:$U$25,1,10)+B7*POWER(1+Control!$B$74,10)*(1-Control!$B$75)</f>
        <v/>
      </c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</row>
    <row r="36">
      <c r="A36" s="110" t="inlineStr">
        <is>
          <t>BS total-exit 10y</t>
        </is>
      </c>
      <c r="B36" s="114">
        <f>-C5</f>
        <v/>
      </c>
      <c r="C36" s="114">
        <f>INDEX($B$26:$U$26,1,1)</f>
        <v/>
      </c>
      <c r="D36" s="114">
        <f>INDEX($B$26:$U$26,1,2)</f>
        <v/>
      </c>
      <c r="E36" s="114">
        <f>INDEX($B$26:$U$26,1,3)</f>
        <v/>
      </c>
      <c r="F36" s="114">
        <f>INDEX($B$26:$U$26,1,4)</f>
        <v/>
      </c>
      <c r="G36" s="114">
        <f>INDEX($B$26:$U$26,1,5)</f>
        <v/>
      </c>
      <c r="H36" s="114">
        <f>INDEX($B$26:$U$26,1,6)</f>
        <v/>
      </c>
      <c r="I36" s="114">
        <f>INDEX($B$26:$U$26,1,7)</f>
        <v/>
      </c>
      <c r="J36" s="114">
        <f>INDEX($B$26:$U$26,1,8)</f>
        <v/>
      </c>
      <c r="K36" s="114">
        <f>INDEX($B$26:$U$26,1,9)</f>
        <v/>
      </c>
      <c r="L36" s="114">
        <f>INDEX($B$26:$U$26,1,10)+C7*POWER(1+Control!$B$74,10)*(1-Control!$B$75)</f>
        <v/>
      </c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</row>
    <row r="37">
      <c r="A37" s="110" t="inlineStr">
        <is>
          <t>MN total-exit 10y</t>
        </is>
      </c>
      <c r="B37" s="114">
        <f>-D5</f>
        <v/>
      </c>
      <c r="C37" s="114">
        <f>INDEX($B$27:$U$27,1,1)</f>
        <v/>
      </c>
      <c r="D37" s="114">
        <f>INDEX($B$27:$U$27,1,2)</f>
        <v/>
      </c>
      <c r="E37" s="114">
        <f>INDEX($B$27:$U$27,1,3)</f>
        <v/>
      </c>
      <c r="F37" s="114">
        <f>INDEX($B$27:$U$27,1,4)</f>
        <v/>
      </c>
      <c r="G37" s="114">
        <f>INDEX($B$27:$U$27,1,5)</f>
        <v/>
      </c>
      <c r="H37" s="114">
        <f>INDEX($B$27:$U$27,1,6)</f>
        <v/>
      </c>
      <c r="I37" s="114">
        <f>INDEX($B$27:$U$27,1,7)</f>
        <v/>
      </c>
      <c r="J37" s="114">
        <f>INDEX($B$27:$U$27,1,8)</f>
        <v/>
      </c>
      <c r="K37" s="114">
        <f>INDEX($B$27:$U$27,1,9)</f>
        <v/>
      </c>
      <c r="L37" s="114">
        <f>INDEX($B$27:$U$27,1,10)+D7*POWER(1+Control!$B$74,10)*(1-Control!$B$75)</f>
        <v/>
      </c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</row>
    <row r="38">
      <c r="A38" s="110" t="inlineStr">
        <is>
          <t>AS total-exit 15y</t>
        </is>
      </c>
      <c r="B38" s="114">
        <f>-B5</f>
        <v/>
      </c>
      <c r="C38" s="114">
        <f>INDEX($B$25:$U$25,1,1)</f>
        <v/>
      </c>
      <c r="D38" s="114">
        <f>INDEX($B$25:$U$25,1,2)</f>
        <v/>
      </c>
      <c r="E38" s="114">
        <f>INDEX($B$25:$U$25,1,3)</f>
        <v/>
      </c>
      <c r="F38" s="114">
        <f>INDEX($B$25:$U$25,1,4)</f>
        <v/>
      </c>
      <c r="G38" s="114">
        <f>INDEX($B$25:$U$25,1,5)</f>
        <v/>
      </c>
      <c r="H38" s="114">
        <f>INDEX($B$25:$U$25,1,6)</f>
        <v/>
      </c>
      <c r="I38" s="114">
        <f>INDEX($B$25:$U$25,1,7)</f>
        <v/>
      </c>
      <c r="J38" s="114">
        <f>INDEX($B$25:$U$25,1,8)</f>
        <v/>
      </c>
      <c r="K38" s="114">
        <f>INDEX($B$25:$U$25,1,9)</f>
        <v/>
      </c>
      <c r="L38" s="114">
        <f>INDEX($B$25:$U$25,1,10)</f>
        <v/>
      </c>
      <c r="M38" s="114">
        <f>INDEX($B$25:$U$25,1,11)</f>
        <v/>
      </c>
      <c r="N38" s="114">
        <f>INDEX($B$25:$U$25,1,12)</f>
        <v/>
      </c>
      <c r="O38" s="114">
        <f>INDEX($B$25:$U$25,1,13)</f>
        <v/>
      </c>
      <c r="P38" s="114">
        <f>INDEX($B$25:$U$25,1,14)</f>
        <v/>
      </c>
      <c r="Q38" s="114">
        <f>INDEX($B$25:$U$25,1,15)+B7*POWER(1+Control!$B$74,15)*(1-Control!$B$75)</f>
        <v/>
      </c>
      <c r="R38" s="114" t="n"/>
      <c r="S38" s="114" t="n"/>
      <c r="T38" s="114" t="n"/>
      <c r="U38" s="114" t="n"/>
      <c r="V38" s="114" t="n"/>
    </row>
    <row r="39">
      <c r="A39" s="110" t="inlineStr">
        <is>
          <t>BS total-exit 15y</t>
        </is>
      </c>
      <c r="B39" s="114">
        <f>-C5</f>
        <v/>
      </c>
      <c r="C39" s="114">
        <f>INDEX($B$26:$U$26,1,1)</f>
        <v/>
      </c>
      <c r="D39" s="114">
        <f>INDEX($B$26:$U$26,1,2)</f>
        <v/>
      </c>
      <c r="E39" s="114">
        <f>INDEX($B$26:$U$26,1,3)</f>
        <v/>
      </c>
      <c r="F39" s="114">
        <f>INDEX($B$26:$U$26,1,4)</f>
        <v/>
      </c>
      <c r="G39" s="114">
        <f>INDEX($B$26:$U$26,1,5)</f>
        <v/>
      </c>
      <c r="H39" s="114">
        <f>INDEX($B$26:$U$26,1,6)</f>
        <v/>
      </c>
      <c r="I39" s="114">
        <f>INDEX($B$26:$U$26,1,7)</f>
        <v/>
      </c>
      <c r="J39" s="114">
        <f>INDEX($B$26:$U$26,1,8)</f>
        <v/>
      </c>
      <c r="K39" s="114">
        <f>INDEX($B$26:$U$26,1,9)</f>
        <v/>
      </c>
      <c r="L39" s="114">
        <f>INDEX($B$26:$U$26,1,10)</f>
        <v/>
      </c>
      <c r="M39" s="114">
        <f>INDEX($B$26:$U$26,1,11)</f>
        <v/>
      </c>
      <c r="N39" s="114">
        <f>INDEX($B$26:$U$26,1,12)</f>
        <v/>
      </c>
      <c r="O39" s="114">
        <f>INDEX($B$26:$U$26,1,13)</f>
        <v/>
      </c>
      <c r="P39" s="114">
        <f>INDEX($B$26:$U$26,1,14)</f>
        <v/>
      </c>
      <c r="Q39" s="114">
        <f>INDEX($B$26:$U$26,1,15)+C7*POWER(1+Control!$B$74,15)*(1-Control!$B$75)</f>
        <v/>
      </c>
      <c r="R39" s="114" t="n"/>
      <c r="S39" s="114" t="n"/>
      <c r="T39" s="114" t="n"/>
      <c r="U39" s="114" t="n"/>
      <c r="V39" s="114" t="n"/>
    </row>
    <row r="40">
      <c r="A40" s="110" t="inlineStr">
        <is>
          <t>MN total-exit 15y</t>
        </is>
      </c>
      <c r="B40" s="114">
        <f>-D5</f>
        <v/>
      </c>
      <c r="C40" s="114">
        <f>INDEX($B$27:$U$27,1,1)</f>
        <v/>
      </c>
      <c r="D40" s="114">
        <f>INDEX($B$27:$U$27,1,2)</f>
        <v/>
      </c>
      <c r="E40" s="114">
        <f>INDEX($B$27:$U$27,1,3)</f>
        <v/>
      </c>
      <c r="F40" s="114">
        <f>INDEX($B$27:$U$27,1,4)</f>
        <v/>
      </c>
      <c r="G40" s="114">
        <f>INDEX($B$27:$U$27,1,5)</f>
        <v/>
      </c>
      <c r="H40" s="114">
        <f>INDEX($B$27:$U$27,1,6)</f>
        <v/>
      </c>
      <c r="I40" s="114">
        <f>INDEX($B$27:$U$27,1,7)</f>
        <v/>
      </c>
      <c r="J40" s="114">
        <f>INDEX($B$27:$U$27,1,8)</f>
        <v/>
      </c>
      <c r="K40" s="114">
        <f>INDEX($B$27:$U$27,1,9)</f>
        <v/>
      </c>
      <c r="L40" s="114">
        <f>INDEX($B$27:$U$27,1,10)</f>
        <v/>
      </c>
      <c r="M40" s="114">
        <f>INDEX($B$27:$U$27,1,11)</f>
        <v/>
      </c>
      <c r="N40" s="114">
        <f>INDEX($B$27:$U$27,1,12)</f>
        <v/>
      </c>
      <c r="O40" s="114">
        <f>INDEX($B$27:$U$27,1,13)</f>
        <v/>
      </c>
      <c r="P40" s="114">
        <f>INDEX($B$27:$U$27,1,14)</f>
        <v/>
      </c>
      <c r="Q40" s="114">
        <f>INDEX($B$27:$U$27,1,15)+D7*POWER(1+Control!$B$74,15)*(1-Control!$B$75)</f>
        <v/>
      </c>
      <c r="R40" s="114" t="n"/>
      <c r="S40" s="114" t="n"/>
      <c r="T40" s="114" t="n"/>
      <c r="U40" s="114" t="n"/>
      <c r="V40" s="114" t="n"/>
    </row>
    <row r="41">
      <c r="A41" s="110" t="inlineStr">
        <is>
          <t>AS total-exit 20y</t>
        </is>
      </c>
      <c r="B41" s="114">
        <f>-B5</f>
        <v/>
      </c>
      <c r="C41" s="114">
        <f>INDEX($B$25:$U$25,1,1)</f>
        <v/>
      </c>
      <c r="D41" s="114">
        <f>INDEX($B$25:$U$25,1,2)</f>
        <v/>
      </c>
      <c r="E41" s="114">
        <f>INDEX($B$25:$U$25,1,3)</f>
        <v/>
      </c>
      <c r="F41" s="114">
        <f>INDEX($B$25:$U$25,1,4)</f>
        <v/>
      </c>
      <c r="G41" s="114">
        <f>INDEX($B$25:$U$25,1,5)</f>
        <v/>
      </c>
      <c r="H41" s="114">
        <f>INDEX($B$25:$U$25,1,6)</f>
        <v/>
      </c>
      <c r="I41" s="114">
        <f>INDEX($B$25:$U$25,1,7)</f>
        <v/>
      </c>
      <c r="J41" s="114">
        <f>INDEX($B$25:$U$25,1,8)</f>
        <v/>
      </c>
      <c r="K41" s="114">
        <f>INDEX($B$25:$U$25,1,9)</f>
        <v/>
      </c>
      <c r="L41" s="114">
        <f>INDEX($B$25:$U$25,1,10)</f>
        <v/>
      </c>
      <c r="M41" s="114">
        <f>INDEX($B$25:$U$25,1,11)</f>
        <v/>
      </c>
      <c r="N41" s="114">
        <f>INDEX($B$25:$U$25,1,12)</f>
        <v/>
      </c>
      <c r="O41" s="114">
        <f>INDEX($B$25:$U$25,1,13)</f>
        <v/>
      </c>
      <c r="P41" s="114">
        <f>INDEX($B$25:$U$25,1,14)</f>
        <v/>
      </c>
      <c r="Q41" s="114">
        <f>INDEX($B$25:$U$25,1,15)</f>
        <v/>
      </c>
      <c r="R41" s="114">
        <f>INDEX($B$25:$U$25,1,16)</f>
        <v/>
      </c>
      <c r="S41" s="114">
        <f>INDEX($B$25:$U$25,1,17)</f>
        <v/>
      </c>
      <c r="T41" s="114">
        <f>INDEX($B$25:$U$25,1,18)</f>
        <v/>
      </c>
      <c r="U41" s="114">
        <f>INDEX($B$25:$U$25,1,19)</f>
        <v/>
      </c>
      <c r="V41" s="114">
        <f>INDEX($B$25:$U$25,1,20)+B7*POWER(1+Control!$B$74,20)*(1-Control!$B$75)</f>
        <v/>
      </c>
    </row>
    <row r="42">
      <c r="A42" s="110" t="inlineStr">
        <is>
          <t>BS total-exit 20y</t>
        </is>
      </c>
      <c r="B42" s="114">
        <f>-C5</f>
        <v/>
      </c>
      <c r="C42" s="114">
        <f>INDEX($B$26:$U$26,1,1)</f>
        <v/>
      </c>
      <c r="D42" s="114">
        <f>INDEX($B$26:$U$26,1,2)</f>
        <v/>
      </c>
      <c r="E42" s="114">
        <f>INDEX($B$26:$U$26,1,3)</f>
        <v/>
      </c>
      <c r="F42" s="114">
        <f>INDEX($B$26:$U$26,1,4)</f>
        <v/>
      </c>
      <c r="G42" s="114">
        <f>INDEX($B$26:$U$26,1,5)</f>
        <v/>
      </c>
      <c r="H42" s="114">
        <f>INDEX($B$26:$U$26,1,6)</f>
        <v/>
      </c>
      <c r="I42" s="114">
        <f>INDEX($B$26:$U$26,1,7)</f>
        <v/>
      </c>
      <c r="J42" s="114">
        <f>INDEX($B$26:$U$26,1,8)</f>
        <v/>
      </c>
      <c r="K42" s="114">
        <f>INDEX($B$26:$U$26,1,9)</f>
        <v/>
      </c>
      <c r="L42" s="114">
        <f>INDEX($B$26:$U$26,1,10)</f>
        <v/>
      </c>
      <c r="M42" s="114">
        <f>INDEX($B$26:$U$26,1,11)</f>
        <v/>
      </c>
      <c r="N42" s="114">
        <f>INDEX($B$26:$U$26,1,12)</f>
        <v/>
      </c>
      <c r="O42" s="114">
        <f>INDEX($B$26:$U$26,1,13)</f>
        <v/>
      </c>
      <c r="P42" s="114">
        <f>INDEX($B$26:$U$26,1,14)</f>
        <v/>
      </c>
      <c r="Q42" s="114">
        <f>INDEX($B$26:$U$26,1,15)</f>
        <v/>
      </c>
      <c r="R42" s="114">
        <f>INDEX($B$26:$U$26,1,16)</f>
        <v/>
      </c>
      <c r="S42" s="114">
        <f>INDEX($B$26:$U$26,1,17)</f>
        <v/>
      </c>
      <c r="T42" s="114">
        <f>INDEX($B$26:$U$26,1,18)</f>
        <v/>
      </c>
      <c r="U42" s="114">
        <f>INDEX($B$26:$U$26,1,19)</f>
        <v/>
      </c>
      <c r="V42" s="114">
        <f>INDEX($B$26:$U$26,1,20)+C7*POWER(1+Control!$B$74,20)*(1-Control!$B$75)</f>
        <v/>
      </c>
    </row>
    <row r="43">
      <c r="A43" s="110" t="inlineStr">
        <is>
          <t>MN total-exit 20y</t>
        </is>
      </c>
      <c r="B43" s="114">
        <f>-D5</f>
        <v/>
      </c>
      <c r="C43" s="114">
        <f>INDEX($B$27:$U$27,1,1)</f>
        <v/>
      </c>
      <c r="D43" s="114">
        <f>INDEX($B$27:$U$27,1,2)</f>
        <v/>
      </c>
      <c r="E43" s="114">
        <f>INDEX($B$27:$U$27,1,3)</f>
        <v/>
      </c>
      <c r="F43" s="114">
        <f>INDEX($B$27:$U$27,1,4)</f>
        <v/>
      </c>
      <c r="G43" s="114">
        <f>INDEX($B$27:$U$27,1,5)</f>
        <v/>
      </c>
      <c r="H43" s="114">
        <f>INDEX($B$27:$U$27,1,6)</f>
        <v/>
      </c>
      <c r="I43" s="114">
        <f>INDEX($B$27:$U$27,1,7)</f>
        <v/>
      </c>
      <c r="J43" s="114">
        <f>INDEX($B$27:$U$27,1,8)</f>
        <v/>
      </c>
      <c r="K43" s="114">
        <f>INDEX($B$27:$U$27,1,9)</f>
        <v/>
      </c>
      <c r="L43" s="114">
        <f>INDEX($B$27:$U$27,1,10)</f>
        <v/>
      </c>
      <c r="M43" s="114">
        <f>INDEX($B$27:$U$27,1,11)</f>
        <v/>
      </c>
      <c r="N43" s="114">
        <f>INDEX($B$27:$U$27,1,12)</f>
        <v/>
      </c>
      <c r="O43" s="114">
        <f>INDEX($B$27:$U$27,1,13)</f>
        <v/>
      </c>
      <c r="P43" s="114">
        <f>INDEX($B$27:$U$27,1,14)</f>
        <v/>
      </c>
      <c r="Q43" s="114">
        <f>INDEX($B$27:$U$27,1,15)</f>
        <v/>
      </c>
      <c r="R43" s="114">
        <f>INDEX($B$27:$U$27,1,16)</f>
        <v/>
      </c>
      <c r="S43" s="114">
        <f>INDEX($B$27:$U$27,1,17)</f>
        <v/>
      </c>
      <c r="T43" s="114">
        <f>INDEX($B$27:$U$27,1,18)</f>
        <v/>
      </c>
      <c r="U43" s="114">
        <f>INDEX($B$27:$U$27,1,19)</f>
        <v/>
      </c>
      <c r="V43" s="114">
        <f>INDEX($B$27:$U$27,1,20)+D7*POWER(1+Control!$B$74,20)*(1-Control!$B$75)</f>
        <v/>
      </c>
    </row>
  </sheetData>
  <mergeCells count="1"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1F4E79"/>
    <outlinePr summaryBelow="1" summaryRight="1"/>
    <pageSetUpPr/>
  </sheetPr>
  <dimension ref="A1:W39"/>
  <sheetViews>
    <sheetView topLeftCell="A10" workbookViewId="0">
      <selection activeCell="F17" sqref="F17:F18"/>
    </sheetView>
  </sheetViews>
  <sheetFormatPr baseColWidth="8" defaultRowHeight="14.4"/>
  <cols>
    <col width="51.21875" bestFit="1" customWidth="1" style="313" min="1" max="1"/>
    <col width="10.21875" bestFit="1" customWidth="1" style="313" min="2" max="2"/>
    <col width="9.33203125" bestFit="1" customWidth="1" style="313" min="3" max="3"/>
    <col width="11" bestFit="1" customWidth="1" style="313" min="4" max="4"/>
    <col width="12" bestFit="1" customWidth="1" style="313" min="5" max="11"/>
    <col width="11" bestFit="1" customWidth="1" style="313" min="12" max="12"/>
    <col width="12" bestFit="1" customWidth="1" style="313" min="13" max="15"/>
    <col width="11" bestFit="1" customWidth="1" style="313" min="16" max="16"/>
    <col width="12" bestFit="1" customWidth="1" style="313" min="17" max="18"/>
    <col width="11" bestFit="1" customWidth="1" style="313" min="19" max="19"/>
    <col width="12" bestFit="1" customWidth="1" style="313" min="20" max="23"/>
  </cols>
  <sheetData>
    <row r="1">
      <c r="A1" s="109" t="inlineStr">
        <is>
          <t>INVESTOR RETURNS &amp; KPIs — property-specific partner %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  <c r="W1" s="110" t="n"/>
    </row>
    <row r="2" ht="41.4" customHeight="1" s="313">
      <c r="A2" s="111" t="inlineStr">
        <is>
          <t>Cash = property-specific partner distributions. Total = distributions + property-specific partner share of property value at exit.</t>
        </is>
      </c>
      <c r="B2" s="110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0" t="n"/>
      <c r="O2" s="110" t="n"/>
      <c r="P2" s="110" t="n"/>
      <c r="Q2" s="110" t="n"/>
      <c r="R2" s="110" t="n"/>
      <c r="S2" s="110" t="n"/>
      <c r="T2" s="110" t="n"/>
      <c r="U2" s="110" t="n"/>
      <c r="V2" s="110" t="n"/>
      <c r="W2" s="110" t="n"/>
    </row>
    <row r="3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  <c r="U3" s="110" t="n"/>
      <c r="V3" s="110" t="n"/>
      <c r="W3" s="110" t="n"/>
    </row>
    <row r="4">
      <c r="A4" s="112" t="inlineStr">
        <is>
          <t>Year</t>
        </is>
      </c>
      <c r="B4" s="110" t="n"/>
      <c r="C4" s="113" t="n">
        <v>1</v>
      </c>
      <c r="D4" s="113" t="n">
        <v>2</v>
      </c>
      <c r="E4" s="113" t="n">
        <v>3</v>
      </c>
      <c r="F4" s="113" t="n">
        <v>4</v>
      </c>
      <c r="G4" s="113" t="n">
        <v>5</v>
      </c>
      <c r="H4" s="113" t="n">
        <v>6</v>
      </c>
      <c r="I4" s="113" t="n">
        <v>7</v>
      </c>
      <c r="J4" s="113" t="n">
        <v>8</v>
      </c>
      <c r="K4" s="113" t="n">
        <v>9</v>
      </c>
      <c r="L4" s="113" t="n">
        <v>10</v>
      </c>
      <c r="M4" s="113" t="n">
        <v>11</v>
      </c>
      <c r="N4" s="113" t="n">
        <v>12</v>
      </c>
      <c r="O4" s="113" t="n">
        <v>13</v>
      </c>
      <c r="P4" s="113" t="n">
        <v>14</v>
      </c>
      <c r="Q4" s="113" t="n">
        <v>15</v>
      </c>
      <c r="R4" s="113" t="n">
        <v>16</v>
      </c>
      <c r="S4" s="113" t="n">
        <v>17</v>
      </c>
      <c r="T4" s="113" t="n">
        <v>18</v>
      </c>
      <c r="U4" s="113" t="n">
        <v>19</v>
      </c>
      <c r="V4" s="113" t="n">
        <v>20</v>
      </c>
      <c r="W4" s="110" t="n"/>
    </row>
    <row r="5">
      <c r="A5" s="110" t="n"/>
      <c r="B5" s="110" t="n"/>
      <c r="C5" s="110" t="n"/>
      <c r="D5" s="110" t="n"/>
      <c r="E5" s="110" t="n"/>
      <c r="F5" s="110" t="n"/>
      <c r="G5" s="110" t="n"/>
      <c r="H5" s="110" t="n"/>
      <c r="I5" s="110" t="n"/>
      <c r="J5" s="110" t="n"/>
      <c r="K5" s="110" t="n"/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  <c r="U5" s="110" t="n"/>
      <c r="V5" s="110" t="n"/>
      <c r="W5" s="110" t="n"/>
    </row>
    <row r="6">
      <c r="A6" s="110" t="inlineStr">
        <is>
          <t>Partner distribution</t>
        </is>
      </c>
      <c r="B6" s="110" t="n"/>
      <c r="C6" s="114">
        <f>'Portfolio NewCo'!B16</f>
        <v/>
      </c>
      <c r="D6" s="114">
        <f>'Portfolio NewCo'!C16</f>
        <v/>
      </c>
      <c r="E6" s="114">
        <f>'Portfolio NewCo'!D16</f>
        <v/>
      </c>
      <c r="F6" s="114">
        <f>'Portfolio NewCo'!E16</f>
        <v/>
      </c>
      <c r="G6" s="114">
        <f>'Portfolio NewCo'!F16</f>
        <v/>
      </c>
      <c r="H6" s="114">
        <f>'Portfolio NewCo'!G16</f>
        <v/>
      </c>
      <c r="I6" s="114">
        <f>'Portfolio NewCo'!H16</f>
        <v/>
      </c>
      <c r="J6" s="114">
        <f>'Portfolio NewCo'!I16</f>
        <v/>
      </c>
      <c r="K6" s="114">
        <f>'Portfolio NewCo'!J16</f>
        <v/>
      </c>
      <c r="L6" s="114">
        <f>'Portfolio NewCo'!K16</f>
        <v/>
      </c>
      <c r="M6" s="114">
        <f>'Portfolio NewCo'!L16</f>
        <v/>
      </c>
      <c r="N6" s="114">
        <f>'Portfolio NewCo'!M16</f>
        <v/>
      </c>
      <c r="O6" s="114">
        <f>'Portfolio NewCo'!N16</f>
        <v/>
      </c>
      <c r="P6" s="114">
        <f>'Portfolio NewCo'!O16</f>
        <v/>
      </c>
      <c r="Q6" s="114">
        <f>'Portfolio NewCo'!P16</f>
        <v/>
      </c>
      <c r="R6" s="114">
        <f>'Portfolio NewCo'!Q16</f>
        <v/>
      </c>
      <c r="S6" s="114">
        <f>'Portfolio NewCo'!R16</f>
        <v/>
      </c>
      <c r="T6" s="114">
        <f>'Portfolio NewCo'!S16</f>
        <v/>
      </c>
      <c r="U6" s="114">
        <f>'Portfolio NewCo'!T16</f>
        <v/>
      </c>
      <c r="V6" s="114">
        <f>'Portfolio NewCo'!U16</f>
        <v/>
      </c>
      <c r="W6" s="110" t="n"/>
    </row>
    <row r="7">
      <c r="A7" s="110" t="inlineStr">
        <is>
          <t>Cumulative distribution</t>
        </is>
      </c>
      <c r="B7" s="110" t="n"/>
      <c r="C7" s="114">
        <f>'Portfolio NewCo'!B17</f>
        <v/>
      </c>
      <c r="D7" s="114">
        <f>'Portfolio NewCo'!C17</f>
        <v/>
      </c>
      <c r="E7" s="114">
        <f>'Portfolio NewCo'!D17</f>
        <v/>
      </c>
      <c r="F7" s="114">
        <f>'Portfolio NewCo'!E17</f>
        <v/>
      </c>
      <c r="G7" s="114">
        <f>'Portfolio NewCo'!F17</f>
        <v/>
      </c>
      <c r="H7" s="114">
        <f>'Portfolio NewCo'!G17</f>
        <v/>
      </c>
      <c r="I7" s="114">
        <f>'Portfolio NewCo'!H17</f>
        <v/>
      </c>
      <c r="J7" s="114">
        <f>'Portfolio NewCo'!I17</f>
        <v/>
      </c>
      <c r="K7" s="114">
        <f>'Portfolio NewCo'!J17</f>
        <v/>
      </c>
      <c r="L7" s="114">
        <f>'Portfolio NewCo'!K17</f>
        <v/>
      </c>
      <c r="M7" s="114">
        <f>'Portfolio NewCo'!L17</f>
        <v/>
      </c>
      <c r="N7" s="114">
        <f>'Portfolio NewCo'!M17</f>
        <v/>
      </c>
      <c r="O7" s="114">
        <f>'Portfolio NewCo'!N17</f>
        <v/>
      </c>
      <c r="P7" s="114">
        <f>'Portfolio NewCo'!O17</f>
        <v/>
      </c>
      <c r="Q7" s="114">
        <f>'Portfolio NewCo'!P17</f>
        <v/>
      </c>
      <c r="R7" s="114">
        <f>'Portfolio NewCo'!Q17</f>
        <v/>
      </c>
      <c r="S7" s="114">
        <f>'Portfolio NewCo'!R17</f>
        <v/>
      </c>
      <c r="T7" s="114">
        <f>'Portfolio NewCo'!S17</f>
        <v/>
      </c>
      <c r="U7" s="114">
        <f>'Portfolio NewCo'!T17</f>
        <v/>
      </c>
      <c r="V7" s="114">
        <f>'Portfolio NewCo'!U17</f>
        <v/>
      </c>
      <c r="W7" s="110" t="n"/>
    </row>
    <row r="8">
      <c r="A8" s="110" t="inlineStr">
        <is>
          <t>Unrecovered capital</t>
        </is>
      </c>
      <c r="B8" s="110" t="n"/>
      <c r="C8" s="114">
        <f>MAX(0,Control!$B$15-C7)</f>
        <v/>
      </c>
      <c r="D8" s="114">
        <f>MAX(0,Control!$B$15-D7)</f>
        <v/>
      </c>
      <c r="E8" s="114">
        <f>MAX(0,Control!$B$15-E7)</f>
        <v/>
      </c>
      <c r="F8" s="114">
        <f>MAX(0,Control!$B$15-F7)</f>
        <v/>
      </c>
      <c r="G8" s="114">
        <f>MAX(0,Control!$B$15-G7)</f>
        <v/>
      </c>
      <c r="H8" s="114">
        <f>MAX(0,Control!$B$15-H7)</f>
        <v/>
      </c>
      <c r="I8" s="114">
        <f>MAX(0,Control!$B$15-I7)</f>
        <v/>
      </c>
      <c r="J8" s="114">
        <f>MAX(0,Control!$B$15-J7)</f>
        <v/>
      </c>
      <c r="K8" s="114">
        <f>MAX(0,Control!$B$15-K7)</f>
        <v/>
      </c>
      <c r="L8" s="114">
        <f>MAX(0,Control!$B$15-L7)</f>
        <v/>
      </c>
      <c r="M8" s="114">
        <f>MAX(0,Control!$B$15-M7)</f>
        <v/>
      </c>
      <c r="N8" s="114">
        <f>MAX(0,Control!$B$15-N7)</f>
        <v/>
      </c>
      <c r="O8" s="114">
        <f>MAX(0,Control!$B$15-O7)</f>
        <v/>
      </c>
      <c r="P8" s="114">
        <f>MAX(0,Control!$B$15-P7)</f>
        <v/>
      </c>
      <c r="Q8" s="114">
        <f>MAX(0,Control!$B$15-Q7)</f>
        <v/>
      </c>
      <c r="R8" s="114">
        <f>MAX(0,Control!$B$15-R7)</f>
        <v/>
      </c>
      <c r="S8" s="114">
        <f>MAX(0,Control!$B$15-S7)</f>
        <v/>
      </c>
      <c r="T8" s="114">
        <f>MAX(0,Control!$B$15-T7)</f>
        <v/>
      </c>
      <c r="U8" s="114">
        <f>MAX(0,Control!$B$15-U7)</f>
        <v/>
      </c>
      <c r="V8" s="114">
        <f>MAX(0,Control!$B$15-V7)</f>
        <v/>
      </c>
      <c r="W8" s="110" t="n"/>
    </row>
    <row r="9">
      <c r="A9" s="110" t="inlineStr">
        <is>
          <t>Cash-on-cash yield</t>
        </is>
      </c>
      <c r="B9" s="110" t="n"/>
      <c r="C9" s="115">
        <f>IF(Control!$B$15=0,"",C6/Control!$B$15)</f>
        <v/>
      </c>
      <c r="D9" s="115">
        <f>IF(Control!$B$15=0,"",D6/Control!$B$15)</f>
        <v/>
      </c>
      <c r="E9" s="115">
        <f>IF(Control!$B$15=0,"",E6/Control!$B$15)</f>
        <v/>
      </c>
      <c r="F9" s="115">
        <f>IF(Control!$B$15=0,"",F6/Control!$B$15)</f>
        <v/>
      </c>
      <c r="G9" s="115">
        <f>IF(Control!$B$15=0,"",G6/Control!$B$15)</f>
        <v/>
      </c>
      <c r="H9" s="115">
        <f>IF(Control!$B$15=0,"",H6/Control!$B$15)</f>
        <v/>
      </c>
      <c r="I9" s="115">
        <f>IF(Control!$B$15=0,"",I6/Control!$B$15)</f>
        <v/>
      </c>
      <c r="J9" s="115">
        <f>IF(Control!$B$15=0,"",J6/Control!$B$15)</f>
        <v/>
      </c>
      <c r="K9" s="115">
        <f>IF(Control!$B$15=0,"",K6/Control!$B$15)</f>
        <v/>
      </c>
      <c r="L9" s="115">
        <f>IF(Control!$B$15=0,"",L6/Control!$B$15)</f>
        <v/>
      </c>
      <c r="M9" s="115">
        <f>IF(Control!$B$15=0,"",M6/Control!$B$15)</f>
        <v/>
      </c>
      <c r="N9" s="115">
        <f>IF(Control!$B$15=0,"",N6/Control!$B$15)</f>
        <v/>
      </c>
      <c r="O9" s="115">
        <f>IF(Control!$B$15=0,"",O6/Control!$B$15)</f>
        <v/>
      </c>
      <c r="P9" s="115">
        <f>IF(Control!$B$15=0,"",P6/Control!$B$15)</f>
        <v/>
      </c>
      <c r="Q9" s="115">
        <f>IF(Control!$B$15=0,"",Q6/Control!$B$15)</f>
        <v/>
      </c>
      <c r="R9" s="115">
        <f>IF(Control!$B$15=0,"",R6/Control!$B$15)</f>
        <v/>
      </c>
      <c r="S9" s="115">
        <f>IF(Control!$B$15=0,"",S6/Control!$B$15)</f>
        <v/>
      </c>
      <c r="T9" s="115">
        <f>IF(Control!$B$15=0,"",T6/Control!$B$15)</f>
        <v/>
      </c>
      <c r="U9" s="115">
        <f>IF(Control!$B$15=0,"",U6/Control!$B$15)</f>
        <v/>
      </c>
      <c r="V9" s="115">
        <f>IF(Control!$B$15=0,"",V6/Control!$B$15)</f>
        <v/>
      </c>
      <c r="W9" s="110" t="n"/>
    </row>
    <row r="10">
      <c r="A10" s="110" t="inlineStr">
        <is>
          <t>Cash MOIC</t>
        </is>
      </c>
      <c r="B10" s="110" t="n"/>
      <c r="C10" s="116">
        <f>IF(Control!$B$15=0,"",C7/Control!$B$15)</f>
        <v/>
      </c>
      <c r="D10" s="116">
        <f>IF(Control!$B$15=0,"",D7/Control!$B$15)</f>
        <v/>
      </c>
      <c r="E10" s="116">
        <f>IF(Control!$B$15=0,"",E7/Control!$B$15)</f>
        <v/>
      </c>
      <c r="F10" s="116">
        <f>IF(Control!$B$15=0,"",F7/Control!$B$15)</f>
        <v/>
      </c>
      <c r="G10" s="116">
        <f>IF(Control!$B$15=0,"",G7/Control!$B$15)</f>
        <v/>
      </c>
      <c r="H10" s="116">
        <f>IF(Control!$B$15=0,"",H7/Control!$B$15)</f>
        <v/>
      </c>
      <c r="I10" s="116">
        <f>IF(Control!$B$15=0,"",I7/Control!$B$15)</f>
        <v/>
      </c>
      <c r="J10" s="116">
        <f>IF(Control!$B$15=0,"",J7/Control!$B$15)</f>
        <v/>
      </c>
      <c r="K10" s="116">
        <f>IF(Control!$B$15=0,"",K7/Control!$B$15)</f>
        <v/>
      </c>
      <c r="L10" s="116">
        <f>IF(Control!$B$15=0,"",L7/Control!$B$15)</f>
        <v/>
      </c>
      <c r="M10" s="116">
        <f>IF(Control!$B$15=0,"",M7/Control!$B$15)</f>
        <v/>
      </c>
      <c r="N10" s="116">
        <f>IF(Control!$B$15=0,"",N7/Control!$B$15)</f>
        <v/>
      </c>
      <c r="O10" s="116">
        <f>IF(Control!$B$15=0,"",O7/Control!$B$15)</f>
        <v/>
      </c>
      <c r="P10" s="116">
        <f>IF(Control!$B$15=0,"",P7/Control!$B$15)</f>
        <v/>
      </c>
      <c r="Q10" s="116">
        <f>IF(Control!$B$15=0,"",Q7/Control!$B$15)</f>
        <v/>
      </c>
      <c r="R10" s="116">
        <f>IF(Control!$B$15=0,"",R7/Control!$B$15)</f>
        <v/>
      </c>
      <c r="S10" s="116">
        <f>IF(Control!$B$15=0,"",S7/Control!$B$15)</f>
        <v/>
      </c>
      <c r="T10" s="116">
        <f>IF(Control!$B$15=0,"",T7/Control!$B$15)</f>
        <v/>
      </c>
      <c r="U10" s="116">
        <f>IF(Control!$B$15=0,"",U7/Control!$B$15)</f>
        <v/>
      </c>
      <c r="V10" s="116">
        <f>IF(Control!$B$15=0,"",V7/Control!$B$15)</f>
        <v/>
      </c>
      <c r="W10" s="110" t="n"/>
    </row>
    <row r="11">
      <c r="A11" s="110" t="inlineStr">
        <is>
          <t>Partner NAV if exit this year</t>
        </is>
      </c>
      <c r="B11" s="110" t="n"/>
      <c r="C11" s="114">
        <f>Valuation!$F$10*POWER(1+Control!$B$74,C$4)*(1-Control!$B$75)</f>
        <v/>
      </c>
      <c r="D11" s="114">
        <f>Valuation!$F$10*POWER(1+Control!$B$74,D$4)*(1-Control!$B$75)</f>
        <v/>
      </c>
      <c r="E11" s="114">
        <f>Valuation!$F$10*POWER(1+Control!$B$74,E$4)*(1-Control!$B$75)</f>
        <v/>
      </c>
      <c r="F11" s="114">
        <f>Valuation!$F$10*POWER(1+Control!$B$74,F$4)*(1-Control!$B$75)</f>
        <v/>
      </c>
      <c r="G11" s="114">
        <f>Valuation!$F$10*POWER(1+Control!$B$74,G$4)*(1-Control!$B$75)</f>
        <v/>
      </c>
      <c r="H11" s="114">
        <f>Valuation!$F$10*POWER(1+Control!$B$74,H$4)*(1-Control!$B$75)</f>
        <v/>
      </c>
      <c r="I11" s="114">
        <f>Valuation!$F$10*POWER(1+Control!$B$74,I$4)*(1-Control!$B$75)</f>
        <v/>
      </c>
      <c r="J11" s="114">
        <f>Valuation!$F$10*POWER(1+Control!$B$74,J$4)*(1-Control!$B$75)</f>
        <v/>
      </c>
      <c r="K11" s="114">
        <f>Valuation!$F$10*POWER(1+Control!$B$74,K$4)*(1-Control!$B$75)</f>
        <v/>
      </c>
      <c r="L11" s="114">
        <f>Valuation!$F$10*POWER(1+Control!$B$74,L$4)*(1-Control!$B$75)</f>
        <v/>
      </c>
      <c r="M11" s="114">
        <f>Valuation!$F$10*POWER(1+Control!$B$74,M$4)*(1-Control!$B$75)</f>
        <v/>
      </c>
      <c r="N11" s="114">
        <f>Valuation!$F$10*POWER(1+Control!$B$74,N$4)*(1-Control!$B$75)</f>
        <v/>
      </c>
      <c r="O11" s="114">
        <f>Valuation!$F$10*POWER(1+Control!$B$74,O$4)*(1-Control!$B$75)</f>
        <v/>
      </c>
      <c r="P11" s="114">
        <f>Valuation!$F$10*POWER(1+Control!$B$74,P$4)*(1-Control!$B$75)</f>
        <v/>
      </c>
      <c r="Q11" s="114">
        <f>Valuation!$F$10*POWER(1+Control!$B$74,Q$4)*(1-Control!$B$75)</f>
        <v/>
      </c>
      <c r="R11" s="114">
        <f>Valuation!$F$10*POWER(1+Control!$B$74,R$4)*(1-Control!$B$75)</f>
        <v/>
      </c>
      <c r="S11" s="114">
        <f>Valuation!$F$10*POWER(1+Control!$B$74,S$4)*(1-Control!$B$75)</f>
        <v/>
      </c>
      <c r="T11" s="114">
        <f>Valuation!$F$10*POWER(1+Control!$B$74,T$4)*(1-Control!$B$75)</f>
        <v/>
      </c>
      <c r="U11" s="114">
        <f>Valuation!$F$10*POWER(1+Control!$B$74,U$4)*(1-Control!$B$75)</f>
        <v/>
      </c>
      <c r="V11" s="114">
        <f>Valuation!$F$10*POWER(1+Control!$B$74,V$4)*(1-Control!$B$75)</f>
        <v/>
      </c>
      <c r="W11" s="110" t="n"/>
    </row>
    <row r="12">
      <c r="A12" s="112" t="inlineStr">
        <is>
          <t>Total value if exit (cash + NAV)</t>
        </is>
      </c>
      <c r="B12" s="110" t="n"/>
      <c r="C12" s="117">
        <f>C7+C11</f>
        <v/>
      </c>
      <c r="D12" s="117">
        <f>D7+D11</f>
        <v/>
      </c>
      <c r="E12" s="117">
        <f>E7+E11</f>
        <v/>
      </c>
      <c r="F12" s="117">
        <f>F7+F11</f>
        <v/>
      </c>
      <c r="G12" s="117">
        <f>G7+G11</f>
        <v/>
      </c>
      <c r="H12" s="117">
        <f>H7+H11</f>
        <v/>
      </c>
      <c r="I12" s="117">
        <f>I7+I11</f>
        <v/>
      </c>
      <c r="J12" s="117">
        <f>J7+J11</f>
        <v/>
      </c>
      <c r="K12" s="117">
        <f>K7+K11</f>
        <v/>
      </c>
      <c r="L12" s="117">
        <f>L7+L11</f>
        <v/>
      </c>
      <c r="M12" s="117">
        <f>M7+M11</f>
        <v/>
      </c>
      <c r="N12" s="117">
        <f>N7+N11</f>
        <v/>
      </c>
      <c r="O12" s="117">
        <f>O7+O11</f>
        <v/>
      </c>
      <c r="P12" s="117">
        <f>P7+P11</f>
        <v/>
      </c>
      <c r="Q12" s="117">
        <f>Q7+Q11</f>
        <v/>
      </c>
      <c r="R12" s="117">
        <f>R7+R11</f>
        <v/>
      </c>
      <c r="S12" s="117">
        <f>S7+S11</f>
        <v/>
      </c>
      <c r="T12" s="117">
        <f>T7+T11</f>
        <v/>
      </c>
      <c r="U12" s="117">
        <f>U7+U11</f>
        <v/>
      </c>
      <c r="V12" s="117">
        <f>V7+V11</f>
        <v/>
      </c>
      <c r="W12" s="110" t="n"/>
    </row>
    <row r="13">
      <c r="A13" s="112" t="inlineStr">
        <is>
          <t>Total MOIC (incl. property value)</t>
        </is>
      </c>
      <c r="B13" s="110" t="n"/>
      <c r="C13" s="118">
        <f>IF(Control!$B$15=0,"",C12/Control!$B$15)</f>
        <v/>
      </c>
      <c r="D13" s="118">
        <f>IF(Control!$B$15=0,"",D12/Control!$B$15)</f>
        <v/>
      </c>
      <c r="E13" s="118">
        <f>IF(Control!$B$15=0,"",E12/Control!$B$15)</f>
        <v/>
      </c>
      <c r="F13" s="118">
        <f>IF(Control!$B$15=0,"",F12/Control!$B$15)</f>
        <v/>
      </c>
      <c r="G13" s="118">
        <f>IF(Control!$B$15=0,"",G12/Control!$B$15)</f>
        <v/>
      </c>
      <c r="H13" s="118">
        <f>IF(Control!$B$15=0,"",H12/Control!$B$15)</f>
        <v/>
      </c>
      <c r="I13" s="118">
        <f>IF(Control!$B$15=0,"",I12/Control!$B$15)</f>
        <v/>
      </c>
      <c r="J13" s="118">
        <f>IF(Control!$B$15=0,"",J12/Control!$B$15)</f>
        <v/>
      </c>
      <c r="K13" s="118">
        <f>IF(Control!$B$15=0,"",K12/Control!$B$15)</f>
        <v/>
      </c>
      <c r="L13" s="118">
        <f>IF(Control!$B$15=0,"",L12/Control!$B$15)</f>
        <v/>
      </c>
      <c r="M13" s="118">
        <f>IF(Control!$B$15=0,"",M12/Control!$B$15)</f>
        <v/>
      </c>
      <c r="N13" s="118">
        <f>IF(Control!$B$15=0,"",N12/Control!$B$15)</f>
        <v/>
      </c>
      <c r="O13" s="118">
        <f>IF(Control!$B$15=0,"",O12/Control!$B$15)</f>
        <v/>
      </c>
      <c r="P13" s="118">
        <f>IF(Control!$B$15=0,"",P12/Control!$B$15)</f>
        <v/>
      </c>
      <c r="Q13" s="118">
        <f>IF(Control!$B$15=0,"",Q12/Control!$B$15)</f>
        <v/>
      </c>
      <c r="R13" s="118">
        <f>IF(Control!$B$15=0,"",R12/Control!$B$15)</f>
        <v/>
      </c>
      <c r="S13" s="118">
        <f>IF(Control!$B$15=0,"",S12/Control!$B$15)</f>
        <v/>
      </c>
      <c r="T13" s="118">
        <f>IF(Control!$B$15=0,"",T12/Control!$B$15)</f>
        <v/>
      </c>
      <c r="U13" s="118">
        <f>IF(Control!$B$15=0,"",U12/Control!$B$15)</f>
        <v/>
      </c>
      <c r="V13" s="118">
        <f>IF(Control!$B$15=0,"",V12/Control!$B$15)</f>
        <v/>
      </c>
      <c r="W13" s="110" t="n"/>
    </row>
    <row r="14">
      <c r="A14" s="110" t="n"/>
      <c r="B14" s="110" t="n"/>
      <c r="C14" s="110" t="n"/>
      <c r="D14" s="110" t="n"/>
      <c r="E14" s="110" t="n"/>
      <c r="F14" s="110" t="n"/>
      <c r="G14" s="110" t="n"/>
      <c r="H14" s="110" t="n"/>
      <c r="I14" s="110" t="n"/>
      <c r="J14" s="110" t="n"/>
      <c r="K14" s="110" t="n"/>
      <c r="L14" s="110" t="n"/>
      <c r="M14" s="110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119" t="inlineStr">
        <is>
          <t>HOLD-PERIOD KPIs</t>
        </is>
      </c>
      <c r="B15" s="120" t="n"/>
      <c r="C15" s="120" t="n"/>
      <c r="D15" s="120" t="n"/>
      <c r="E15" s="120" t="n"/>
      <c r="F15" s="120" t="n"/>
      <c r="G15" s="110" t="n"/>
      <c r="H15" s="110" t="n"/>
      <c r="I15" s="110" t="n"/>
      <c r="J15" s="110" t="n"/>
      <c r="K15" s="110" t="n"/>
      <c r="L15" s="110" t="n"/>
      <c r="M15" s="110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147" t="inlineStr">
        <is>
          <t>Hold period</t>
        </is>
      </c>
      <c r="B16" s="148" t="inlineStr">
        <is>
          <t>3-year</t>
        </is>
      </c>
      <c r="C16" s="148" t="inlineStr">
        <is>
          <t>5-year</t>
        </is>
      </c>
      <c r="D16" s="148" t="inlineStr">
        <is>
          <t>10-year</t>
        </is>
      </c>
      <c r="E16" s="148" t="inlineStr">
        <is>
          <t>15-year</t>
        </is>
      </c>
      <c r="F16" s="149" t="inlineStr">
        <is>
          <t>20-year</t>
        </is>
      </c>
      <c r="G16" s="110" t="n"/>
      <c r="H16" s="110" t="n"/>
      <c r="I16" s="110" t="n"/>
      <c r="J16" s="110" t="n"/>
      <c r="K16" s="110" t="n"/>
      <c r="L16" s="110" t="n"/>
      <c r="M16" s="110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112" t="inlineStr">
        <is>
          <t>Cash IRR</t>
        </is>
      </c>
      <c r="B17" s="121">
        <f>IF(Control!$B$15=0,"",IFERROR(IRR(C30:F30),""))</f>
        <v/>
      </c>
      <c r="C17" s="121">
        <f>IF(Control!$B$15=0,"",IFERROR(IRR(C31:H31),""))</f>
        <v/>
      </c>
      <c r="D17" s="121">
        <f>IF(Control!$B$15=0,"",IFERROR(IRR(C32:M32),""))</f>
        <v/>
      </c>
      <c r="E17" s="121">
        <f>IF(Control!$B$15=0,"",IFERROR(IRR(C33:R33),""))</f>
        <v/>
      </c>
      <c r="F17" s="121">
        <f>IF(Control!$B$15=0,"",IFERROR(IRR(C34:W34),""))</f>
        <v/>
      </c>
      <c r="G17" s="110" t="n"/>
      <c r="H17" s="110" t="n"/>
      <c r="I17" s="110" t="n"/>
      <c r="J17" s="110" t="n"/>
      <c r="K17" s="110" t="n"/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0" t="n"/>
    </row>
    <row r="18">
      <c r="A18" s="112" t="inlineStr">
        <is>
          <t>Total IRR (incl. property value)</t>
        </is>
      </c>
      <c r="B18" s="121">
        <f>IF(Control!$B$15=0,"",IFERROR(IRR(C35:F35),""))</f>
        <v/>
      </c>
      <c r="C18" s="121">
        <f>IF(Control!$B$15=0,"",IFERROR(IRR(C36:H36),""))</f>
        <v/>
      </c>
      <c r="D18" s="121">
        <f>IF(Control!$B$15=0,"",IFERROR(IRR(C37:M37),""))</f>
        <v/>
      </c>
      <c r="E18" s="121">
        <f>IF(Control!$B$15=0,"",IFERROR(IRR(C38:R38),""))</f>
        <v/>
      </c>
      <c r="F18" s="121">
        <f>IF(Control!$B$15=0,"",IFERROR(IRR(C39:W39),""))</f>
        <v/>
      </c>
      <c r="G18" s="110" t="n"/>
      <c r="H18" s="110" t="n"/>
      <c r="I18" s="110" t="n"/>
      <c r="J18" s="110" t="n"/>
      <c r="K18" s="110" t="n"/>
      <c r="L18" s="110" t="n"/>
      <c r="M18" s="110" t="n"/>
      <c r="N18" s="110" t="n"/>
      <c r="O18" s="110" t="n"/>
      <c r="P18" s="110" t="n"/>
      <c r="Q18" s="110" t="n"/>
      <c r="R18" s="110" t="n"/>
      <c r="S18" s="110" t="n"/>
      <c r="T18" s="110" t="n"/>
      <c r="U18" s="110" t="n"/>
      <c r="V18" s="110" t="n"/>
      <c r="W18" s="110" t="n"/>
    </row>
    <row r="19">
      <c r="A19" s="112" t="inlineStr">
        <is>
          <t>Cash MOIC</t>
        </is>
      </c>
      <c r="B19" s="151">
        <f>IF(Control!$B$15=0,"",INDEX($C$10:$V$10,1,3))</f>
        <v/>
      </c>
      <c r="C19" s="151">
        <f>IF(Control!$B$15=0,"",INDEX($C$10:$V$10,1,5))</f>
        <v/>
      </c>
      <c r="D19" s="151">
        <f>IF(Control!$B$15=0,"",INDEX($C$10:$V$10,1,10))</f>
        <v/>
      </c>
      <c r="E19" s="151">
        <f>IF(Control!$B$15=0,"",INDEX($C$10:$V$10,1,15))</f>
        <v/>
      </c>
      <c r="F19" s="151">
        <f>IF(Control!$B$15=0,"",INDEX($C$10:$V$10,1,20))</f>
        <v/>
      </c>
      <c r="G19" s="110" t="n"/>
      <c r="H19" s="110" t="n"/>
      <c r="I19" s="110" t="n"/>
      <c r="J19" s="110" t="n"/>
      <c r="K19" s="110" t="n"/>
      <c r="L19" s="110" t="n"/>
      <c r="M19" s="110" t="n"/>
      <c r="N19" s="110" t="n"/>
      <c r="O19" s="110" t="n"/>
      <c r="P19" s="110" t="n"/>
      <c r="Q19" s="110" t="n"/>
      <c r="R19" s="110" t="n"/>
      <c r="S19" s="110" t="n"/>
      <c r="T19" s="110" t="n"/>
      <c r="U19" s="110" t="n"/>
      <c r="V19" s="110" t="n"/>
      <c r="W19" s="110" t="n"/>
    </row>
    <row r="20">
      <c r="A20" s="112" t="inlineStr">
        <is>
          <t>Total MOIC</t>
        </is>
      </c>
      <c r="B20" s="151">
        <f>IF(Control!$B$15=0,"",INDEX($C$13:$V$13,1,3))</f>
        <v/>
      </c>
      <c r="C20" s="151">
        <f>IF(Control!$B$15=0,"",INDEX($C$13:$V$13,1,5))</f>
        <v/>
      </c>
      <c r="D20" s="151">
        <f>IF(Control!$B$15=0,"",INDEX($C$13:$V$13,1,10))</f>
        <v/>
      </c>
      <c r="E20" s="151">
        <f>IF(Control!$B$15=0,"",INDEX($C$13:$V$13,1,15))</f>
        <v/>
      </c>
      <c r="F20" s="151">
        <f>IF(Control!$B$15=0,"",INDEX($C$13:$V$13,1,20))</f>
        <v/>
      </c>
      <c r="G20" s="110" t="n"/>
      <c r="H20" s="110" t="n"/>
      <c r="I20" s="110" t="n"/>
      <c r="J20" s="110" t="n"/>
      <c r="K20" s="110" t="n"/>
      <c r="L20" s="110" t="n"/>
      <c r="M20" s="110" t="n"/>
      <c r="N20" s="110" t="n"/>
      <c r="O20" s="110" t="n"/>
      <c r="P20" s="110" t="n"/>
      <c r="Q20" s="110" t="n"/>
      <c r="R20" s="110" t="n"/>
      <c r="S20" s="110" t="n"/>
      <c r="T20" s="110" t="n"/>
      <c r="U20" s="110" t="n"/>
      <c r="V20" s="110" t="n"/>
      <c r="W20" s="110" t="n"/>
    </row>
    <row r="21">
      <c r="A21" s="110" t="n"/>
      <c r="B21" s="110" t="n"/>
      <c r="C21" s="110" t="n"/>
      <c r="D21" s="110" t="n"/>
      <c r="E21" s="110" t="n"/>
      <c r="F21" s="110" t="n"/>
      <c r="G21" s="110" t="n"/>
      <c r="H21" s="110" t="n"/>
      <c r="I21" s="110" t="n"/>
      <c r="J21" s="110" t="n"/>
      <c r="K21" s="110" t="n"/>
      <c r="L21" s="110" t="n"/>
      <c r="M21" s="110" t="n"/>
      <c r="N21" s="110" t="n"/>
      <c r="O21" s="110" t="n"/>
      <c r="P21" s="110" t="n"/>
      <c r="Q21" s="110" t="n"/>
      <c r="R21" s="110" t="n"/>
      <c r="S21" s="110" t="n"/>
      <c r="T21" s="110" t="n"/>
      <c r="U21" s="110" t="n"/>
      <c r="V21" s="110" t="n"/>
      <c r="W21" s="110" t="n"/>
    </row>
    <row r="22">
      <c r="A22" s="150" t="inlineStr">
        <is>
          <t>50% PARTNER VIEW — key investor context</t>
        </is>
      </c>
      <c r="B22" s="150" t="n"/>
      <c r="C22" s="150" t="n"/>
      <c r="D22" s="150" t="n"/>
      <c r="E22" s="150" t="n"/>
      <c r="F22" s="150" t="n"/>
      <c r="G22" s="110" t="n"/>
      <c r="H22" s="110" t="n"/>
      <c r="I22" s="110" t="n"/>
      <c r="J22" s="110" t="n"/>
      <c r="K22" s="110" t="n"/>
      <c r="L22" s="110" t="n"/>
      <c r="M22" s="110" t="n"/>
      <c r="N22" s="110" t="n"/>
      <c r="O22" s="110" t="n"/>
      <c r="P22" s="110" t="n"/>
      <c r="Q22" s="110" t="n"/>
      <c r="R22" s="110" t="n"/>
      <c r="S22" s="110" t="n"/>
      <c r="T22" s="110" t="n"/>
      <c r="U22" s="110" t="n"/>
      <c r="V22" s="110" t="n"/>
      <c r="W22" s="110" t="n"/>
    </row>
    <row r="23">
      <c r="A23" s="110" t="inlineStr">
        <is>
          <t>Buy-in paid by 50% partner</t>
        </is>
      </c>
      <c r="B23" s="152">
        <f>Control!$B$15</f>
        <v/>
      </c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110" t="n"/>
      <c r="O23" s="110" t="n"/>
      <c r="P23" s="110" t="n"/>
      <c r="Q23" s="110" t="n"/>
      <c r="R23" s="110" t="n"/>
      <c r="S23" s="110" t="n"/>
      <c r="T23" s="110" t="n"/>
      <c r="U23" s="110" t="n"/>
      <c r="V23" s="110" t="n"/>
      <c r="W23" s="110" t="n"/>
    </row>
    <row r="24">
      <c r="A24" s="110" t="inlineStr">
        <is>
          <t>Partner NAV today @ 50%</t>
        </is>
      </c>
      <c r="B24" s="153">
        <f>Valuation!$F$10</f>
        <v/>
      </c>
      <c r="C24" s="110" t="n"/>
      <c r="D24" s="110" t="n"/>
      <c r="E24" s="110" t="n"/>
      <c r="F24" s="110" t="n"/>
      <c r="G24" s="110" t="n"/>
      <c r="H24" s="110" t="n"/>
      <c r="I24" s="110" t="n"/>
      <c r="J24" s="110" t="n"/>
      <c r="K24" s="110" t="n"/>
      <c r="L24" s="110" t="n"/>
      <c r="M24" s="110" t="n"/>
      <c r="N24" s="110" t="n"/>
      <c r="O24" s="110" t="n"/>
      <c r="P24" s="110" t="n"/>
      <c r="Q24" s="110" t="n"/>
      <c r="R24" s="110" t="n"/>
      <c r="S24" s="110" t="n"/>
      <c r="T24" s="110" t="n"/>
      <c r="U24" s="110" t="n"/>
      <c r="V24" s="110" t="n"/>
      <c r="W24" s="110" t="n"/>
    </row>
    <row r="25">
      <c r="A25" s="110" t="inlineStr">
        <is>
          <t>Cash payback year</t>
        </is>
      </c>
      <c r="B25" s="122">
        <f>IF(Control!$B$15=0,"No active properties",COUNTIF('Portfolio NewCo'!B17:U17,"&lt;"&amp;Control!$B$15)+1)</f>
        <v/>
      </c>
      <c r="C25" s="110" t="n"/>
      <c r="D25" s="110" t="n"/>
      <c r="E25" s="110" t="n"/>
      <c r="F25" s="110" t="n"/>
      <c r="G25" s="110" t="n"/>
      <c r="H25" s="110" t="n"/>
      <c r="I25" s="110" t="n"/>
      <c r="J25" s="110" t="n"/>
      <c r="K25" s="110" t="n"/>
      <c r="L25" s="110" t="n"/>
      <c r="M25" s="110" t="n"/>
      <c r="N25" s="110" t="n"/>
      <c r="O25" s="110" t="n"/>
      <c r="P25" s="110" t="n"/>
      <c r="Q25" s="110" t="n"/>
      <c r="R25" s="110" t="n"/>
      <c r="S25" s="110" t="n"/>
      <c r="T25" s="110" t="n"/>
      <c r="U25" s="110" t="n"/>
      <c r="V25" s="110" t="n"/>
      <c r="W25" s="110" t="n"/>
    </row>
    <row r="26">
      <c r="A26" s="110" t="n"/>
      <c r="B26" s="110" t="n"/>
      <c r="C26" s="110" t="n"/>
      <c r="D26" s="110" t="n"/>
      <c r="E26" s="110" t="n"/>
      <c r="F26" s="110" t="n"/>
      <c r="G26" s="110" t="n"/>
      <c r="H26" s="110" t="n"/>
      <c r="I26" s="110" t="n"/>
      <c r="J26" s="110" t="n"/>
      <c r="K26" s="110" t="n"/>
      <c r="L26" s="110" t="n"/>
      <c r="M26" s="110" t="n"/>
      <c r="N26" s="110" t="n"/>
      <c r="O26" s="110" t="n"/>
      <c r="P26" s="110" t="n"/>
      <c r="Q26" s="110" t="n"/>
      <c r="R26" s="110" t="n"/>
      <c r="S26" s="110" t="n"/>
      <c r="T26" s="110" t="n"/>
      <c r="U26" s="110" t="n"/>
      <c r="V26" s="110" t="n"/>
      <c r="W26" s="110" t="n"/>
    </row>
    <row r="27">
      <c r="A27" s="110" t="n"/>
      <c r="B27" s="110" t="n"/>
      <c r="C27" s="110" t="n"/>
      <c r="D27" s="110" t="n"/>
      <c r="E27" s="110" t="n"/>
      <c r="F27" s="110" t="n"/>
      <c r="G27" s="110" t="n"/>
      <c r="H27" s="110" t="n"/>
      <c r="I27" s="110" t="n"/>
      <c r="J27" s="110" t="n"/>
      <c r="K27" s="110" t="n"/>
      <c r="L27" s="110" t="n"/>
      <c r="M27" s="110" t="n"/>
      <c r="N27" s="110" t="n"/>
      <c r="O27" s="110" t="n"/>
      <c r="P27" s="110" t="n"/>
      <c r="Q27" s="110" t="n"/>
      <c r="R27" s="110" t="n"/>
      <c r="S27" s="110" t="n"/>
      <c r="T27" s="110" t="n"/>
      <c r="U27" s="110" t="n"/>
      <c r="V27" s="110" t="n"/>
      <c r="W27" s="110" t="n"/>
    </row>
    <row r="28">
      <c r="A28" s="110" t="n"/>
      <c r="B28" s="110" t="n"/>
      <c r="C28" s="110" t="n"/>
      <c r="D28" s="110" t="n"/>
      <c r="E28" s="110" t="n"/>
      <c r="F28" s="110" t="n"/>
      <c r="G28" s="110" t="n"/>
      <c r="H28" s="110" t="n"/>
      <c r="I28" s="110" t="n"/>
      <c r="J28" s="110" t="n"/>
      <c r="K28" s="110" t="n"/>
      <c r="L28" s="110" t="n"/>
      <c r="M28" s="110" t="n"/>
      <c r="N28" s="110" t="n"/>
      <c r="O28" s="110" t="n"/>
      <c r="P28" s="110" t="n"/>
      <c r="Q28" s="110" t="n"/>
      <c r="R28" s="110" t="n"/>
      <c r="S28" s="110" t="n"/>
      <c r="T28" s="110" t="n"/>
      <c r="U28" s="110" t="n"/>
      <c r="V28" s="110" t="n"/>
      <c r="W28" s="110" t="n"/>
    </row>
    <row r="29">
      <c r="A29" s="110" t="inlineStr">
        <is>
          <t>— exit cashflow helpers (t0 col C … t20 col W) —</t>
        </is>
      </c>
      <c r="B29" s="110" t="n"/>
      <c r="C29" s="110" t="n"/>
      <c r="D29" s="110" t="n"/>
      <c r="E29" s="110" t="n"/>
      <c r="F29" s="110" t="n"/>
      <c r="G29" s="110" t="n"/>
      <c r="H29" s="110" t="n"/>
      <c r="I29" s="110" t="n"/>
      <c r="J29" s="110" t="n"/>
      <c r="K29" s="110" t="n"/>
      <c r="L29" s="110" t="n"/>
      <c r="M29" s="110" t="n"/>
      <c r="N29" s="110" t="n"/>
      <c r="O29" s="110" t="n"/>
      <c r="P29" s="110" t="n"/>
      <c r="Q29" s="110" t="n"/>
      <c r="R29" s="110" t="n"/>
      <c r="S29" s="110" t="n"/>
      <c r="T29" s="110" t="n"/>
      <c r="U29" s="110" t="n"/>
      <c r="V29" s="110" t="n"/>
      <c r="W29" s="110" t="n"/>
    </row>
    <row r="30">
      <c r="A30" s="110" t="inlineStr">
        <is>
          <t>cash 3y</t>
        </is>
      </c>
      <c r="B30" s="110" t="n"/>
      <c r="C30" s="114">
        <f>-Control!$B$15</f>
        <v/>
      </c>
      <c r="D30" s="110">
        <f>INDEX($C$6:$V$6,1,1)</f>
        <v/>
      </c>
      <c r="E30" s="110">
        <f>INDEX($C$6:$V$6,1,2)</f>
        <v/>
      </c>
      <c r="F30" s="110">
        <f>INDEX($C$6:$V$6,1,3)</f>
        <v/>
      </c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  <c r="P30" s="110" t="n"/>
      <c r="Q30" s="110" t="n"/>
      <c r="R30" s="110" t="n"/>
      <c r="S30" s="110" t="n"/>
      <c r="T30" s="110" t="n"/>
      <c r="U30" s="110" t="n"/>
      <c r="V30" s="110" t="n"/>
      <c r="W30" s="110" t="n"/>
    </row>
    <row r="31">
      <c r="A31" s="110" t="inlineStr">
        <is>
          <t>cash 5y</t>
        </is>
      </c>
      <c r="B31" s="110" t="n"/>
      <c r="C31" s="114">
        <f>-Control!$B$15</f>
        <v/>
      </c>
      <c r="D31" s="110">
        <f>INDEX($C$6:$V$6,1,1)</f>
        <v/>
      </c>
      <c r="E31" s="110">
        <f>INDEX($C$6:$V$6,1,2)</f>
        <v/>
      </c>
      <c r="F31" s="110">
        <f>INDEX($C$6:$V$6,1,3)</f>
        <v/>
      </c>
      <c r="G31" s="110">
        <f>INDEX($C$6:$V$6,1,4)</f>
        <v/>
      </c>
      <c r="H31" s="110">
        <f>INDEX($C$6:$V$6,1,5)</f>
        <v/>
      </c>
      <c r="I31" s="110" t="n"/>
      <c r="J31" s="110" t="n"/>
      <c r="K31" s="110" t="n"/>
      <c r="L31" s="110" t="n"/>
      <c r="M31" s="110" t="n"/>
      <c r="N31" s="110" t="n"/>
      <c r="O31" s="110" t="n"/>
      <c r="P31" s="110" t="n"/>
      <c r="Q31" s="110" t="n"/>
      <c r="R31" s="110" t="n"/>
      <c r="S31" s="110" t="n"/>
      <c r="T31" s="110" t="n"/>
      <c r="U31" s="110" t="n"/>
      <c r="V31" s="110" t="n"/>
      <c r="W31" s="110" t="n"/>
    </row>
    <row r="32">
      <c r="A32" s="110" t="inlineStr">
        <is>
          <t>cash 10y</t>
        </is>
      </c>
      <c r="B32" s="110" t="n"/>
      <c r="C32" s="114">
        <f>-Control!$B$15</f>
        <v/>
      </c>
      <c r="D32" s="110">
        <f>INDEX($C$6:$V$6,1,1)</f>
        <v/>
      </c>
      <c r="E32" s="110">
        <f>INDEX($C$6:$V$6,1,2)</f>
        <v/>
      </c>
      <c r="F32" s="110">
        <f>INDEX($C$6:$V$6,1,3)</f>
        <v/>
      </c>
      <c r="G32" s="110">
        <f>INDEX($C$6:$V$6,1,4)</f>
        <v/>
      </c>
      <c r="H32" s="110">
        <f>INDEX($C$6:$V$6,1,5)</f>
        <v/>
      </c>
      <c r="I32" s="110">
        <f>INDEX($C$6:$V$6,1,6)</f>
        <v/>
      </c>
      <c r="J32" s="110">
        <f>INDEX($C$6:$V$6,1,7)</f>
        <v/>
      </c>
      <c r="K32" s="110">
        <f>INDEX($C$6:$V$6,1,8)</f>
        <v/>
      </c>
      <c r="L32" s="110">
        <f>INDEX($C$6:$V$6,1,9)</f>
        <v/>
      </c>
      <c r="M32" s="110">
        <f>INDEX($C$6:$V$6,1,10)</f>
        <v/>
      </c>
      <c r="N32" s="110" t="n"/>
      <c r="O32" s="110" t="n"/>
      <c r="P32" s="110" t="n"/>
      <c r="Q32" s="110" t="n"/>
      <c r="R32" s="110" t="n"/>
      <c r="S32" s="110" t="n"/>
      <c r="T32" s="110" t="n"/>
      <c r="U32" s="110" t="n"/>
      <c r="V32" s="110" t="n"/>
      <c r="W32" s="110" t="n"/>
    </row>
    <row r="33">
      <c r="A33" s="110" t="inlineStr">
        <is>
          <t>cash 15y</t>
        </is>
      </c>
      <c r="B33" s="110" t="n"/>
      <c r="C33" s="114">
        <f>-Control!$B$15</f>
        <v/>
      </c>
      <c r="D33" s="110">
        <f>INDEX($C$6:$V$6,1,1)</f>
        <v/>
      </c>
      <c r="E33" s="110">
        <f>INDEX($C$6:$V$6,1,2)</f>
        <v/>
      </c>
      <c r="F33" s="110">
        <f>INDEX($C$6:$V$6,1,3)</f>
        <v/>
      </c>
      <c r="G33" s="110">
        <f>INDEX($C$6:$V$6,1,4)</f>
        <v/>
      </c>
      <c r="H33" s="110">
        <f>INDEX($C$6:$V$6,1,5)</f>
        <v/>
      </c>
      <c r="I33" s="110">
        <f>INDEX($C$6:$V$6,1,6)</f>
        <v/>
      </c>
      <c r="J33" s="110">
        <f>INDEX($C$6:$V$6,1,7)</f>
        <v/>
      </c>
      <c r="K33" s="110">
        <f>INDEX($C$6:$V$6,1,8)</f>
        <v/>
      </c>
      <c r="L33" s="110">
        <f>INDEX($C$6:$V$6,1,9)</f>
        <v/>
      </c>
      <c r="M33" s="110">
        <f>INDEX($C$6:$V$6,1,10)</f>
        <v/>
      </c>
      <c r="N33" s="110">
        <f>INDEX($C$6:$V$6,1,11)</f>
        <v/>
      </c>
      <c r="O33" s="110">
        <f>INDEX($C$6:$V$6,1,12)</f>
        <v/>
      </c>
      <c r="P33" s="110">
        <f>INDEX($C$6:$V$6,1,13)</f>
        <v/>
      </c>
      <c r="Q33" s="110">
        <f>INDEX($C$6:$V$6,1,14)</f>
        <v/>
      </c>
      <c r="R33" s="110">
        <f>INDEX($C$6:$V$6,1,15)</f>
        <v/>
      </c>
      <c r="S33" s="110" t="n"/>
      <c r="T33" s="110" t="n"/>
      <c r="U33" s="110" t="n"/>
      <c r="V33" s="110" t="n"/>
      <c r="W33" s="110" t="n"/>
    </row>
    <row r="34">
      <c r="A34" s="110" t="inlineStr">
        <is>
          <t>cash 20y</t>
        </is>
      </c>
      <c r="B34" s="110" t="n"/>
      <c r="C34" s="114">
        <f>-Control!$B$15</f>
        <v/>
      </c>
      <c r="D34" s="110">
        <f>INDEX($C$6:$V$6,1,1)</f>
        <v/>
      </c>
      <c r="E34" s="110">
        <f>INDEX($C$6:$V$6,1,2)</f>
        <v/>
      </c>
      <c r="F34" s="110">
        <f>INDEX($C$6:$V$6,1,3)</f>
        <v/>
      </c>
      <c r="G34" s="110">
        <f>INDEX($C$6:$V$6,1,4)</f>
        <v/>
      </c>
      <c r="H34" s="110">
        <f>INDEX($C$6:$V$6,1,5)</f>
        <v/>
      </c>
      <c r="I34" s="110">
        <f>INDEX($C$6:$V$6,1,6)</f>
        <v/>
      </c>
      <c r="J34" s="110">
        <f>INDEX($C$6:$V$6,1,7)</f>
        <v/>
      </c>
      <c r="K34" s="110">
        <f>INDEX($C$6:$V$6,1,8)</f>
        <v/>
      </c>
      <c r="L34" s="110">
        <f>INDEX($C$6:$V$6,1,9)</f>
        <v/>
      </c>
      <c r="M34" s="110">
        <f>INDEX($C$6:$V$6,1,10)</f>
        <v/>
      </c>
      <c r="N34" s="110">
        <f>INDEX($C$6:$V$6,1,11)</f>
        <v/>
      </c>
      <c r="O34" s="110">
        <f>INDEX($C$6:$V$6,1,12)</f>
        <v/>
      </c>
      <c r="P34" s="110">
        <f>INDEX($C$6:$V$6,1,13)</f>
        <v/>
      </c>
      <c r="Q34" s="110">
        <f>INDEX($C$6:$V$6,1,14)</f>
        <v/>
      </c>
      <c r="R34" s="110">
        <f>INDEX($C$6:$V$6,1,15)</f>
        <v/>
      </c>
      <c r="S34" s="110">
        <f>INDEX($C$6:$V$6,1,16)</f>
        <v/>
      </c>
      <c r="T34" s="110">
        <f>INDEX($C$6:$V$6,1,17)</f>
        <v/>
      </c>
      <c r="U34" s="110">
        <f>INDEX($C$6:$V$6,1,18)</f>
        <v/>
      </c>
      <c r="V34" s="110">
        <f>INDEX($C$6:$V$6,1,19)</f>
        <v/>
      </c>
      <c r="W34" s="110">
        <f>INDEX($C$6:$V$6,1,20)</f>
        <v/>
      </c>
    </row>
    <row r="35">
      <c r="A35" s="110" t="inlineStr">
        <is>
          <t>total 3y</t>
        </is>
      </c>
      <c r="B35" s="110" t="n"/>
      <c r="C35" s="114">
        <f>-Control!$B$15</f>
        <v/>
      </c>
      <c r="D35" s="110">
        <f>INDEX($C$6:$V$6,1,1)</f>
        <v/>
      </c>
      <c r="E35" s="110">
        <f>INDEX($C$6:$V$6,1,2)</f>
        <v/>
      </c>
      <c r="F35" s="110">
        <f>INDEX($C$6:$V$6,1,3)+Valuation!$F$10*POWER(1+Control!$B$74,3)*(1-Control!$B$75)</f>
        <v/>
      </c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  <c r="P35" s="110" t="n"/>
      <c r="Q35" s="110" t="n"/>
      <c r="R35" s="110" t="n"/>
      <c r="S35" s="110" t="n"/>
      <c r="T35" s="110" t="n"/>
      <c r="U35" s="110" t="n"/>
      <c r="V35" s="110" t="n"/>
      <c r="W35" s="110" t="n"/>
    </row>
    <row r="36">
      <c r="A36" s="110" t="inlineStr">
        <is>
          <t>total 5y</t>
        </is>
      </c>
      <c r="B36" s="110" t="n"/>
      <c r="C36" s="114">
        <f>-Control!$B$15</f>
        <v/>
      </c>
      <c r="D36" s="110">
        <f>INDEX($C$6:$V$6,1,1)</f>
        <v/>
      </c>
      <c r="E36" s="110">
        <f>INDEX($C$6:$V$6,1,2)</f>
        <v/>
      </c>
      <c r="F36" s="110">
        <f>INDEX($C$6:$V$6,1,3)</f>
        <v/>
      </c>
      <c r="G36" s="110">
        <f>INDEX($C$6:$V$6,1,4)</f>
        <v/>
      </c>
      <c r="H36" s="110">
        <f>INDEX($C$6:$V$6,1,5)+Valuation!$F$10*POWER(1+Control!$B$74,5)*(1-Control!$B$75)</f>
        <v/>
      </c>
      <c r="I36" s="110" t="n"/>
      <c r="J36" s="110" t="n"/>
      <c r="K36" s="110" t="n"/>
      <c r="L36" s="110" t="n"/>
      <c r="M36" s="110" t="n"/>
      <c r="N36" s="110" t="n"/>
      <c r="O36" s="110" t="n"/>
      <c r="P36" s="110" t="n"/>
      <c r="Q36" s="110" t="n"/>
      <c r="R36" s="110" t="n"/>
      <c r="S36" s="110" t="n"/>
      <c r="T36" s="110" t="n"/>
      <c r="U36" s="110" t="n"/>
      <c r="V36" s="110" t="n"/>
      <c r="W36" s="110" t="n"/>
    </row>
    <row r="37">
      <c r="A37" s="110" t="inlineStr">
        <is>
          <t>total 10y</t>
        </is>
      </c>
      <c r="B37" s="110" t="n"/>
      <c r="C37" s="114">
        <f>-Control!$B$15</f>
        <v/>
      </c>
      <c r="D37" s="110">
        <f>INDEX($C$6:$V$6,1,1)</f>
        <v/>
      </c>
      <c r="E37" s="110">
        <f>INDEX($C$6:$V$6,1,2)</f>
        <v/>
      </c>
      <c r="F37" s="110">
        <f>INDEX($C$6:$V$6,1,3)</f>
        <v/>
      </c>
      <c r="G37" s="110">
        <f>INDEX($C$6:$V$6,1,4)</f>
        <v/>
      </c>
      <c r="H37" s="110">
        <f>INDEX($C$6:$V$6,1,5)</f>
        <v/>
      </c>
      <c r="I37" s="110">
        <f>INDEX($C$6:$V$6,1,6)</f>
        <v/>
      </c>
      <c r="J37" s="110">
        <f>INDEX($C$6:$V$6,1,7)</f>
        <v/>
      </c>
      <c r="K37" s="110">
        <f>INDEX($C$6:$V$6,1,8)</f>
        <v/>
      </c>
      <c r="L37" s="110">
        <f>INDEX($C$6:$V$6,1,9)</f>
        <v/>
      </c>
      <c r="M37" s="110">
        <f>INDEX($C$6:$V$6,1,10)+Valuation!$F$10*POWER(1+Control!$B$74,10)*(1-Control!$B$75)</f>
        <v/>
      </c>
      <c r="N37" s="110" t="n"/>
      <c r="O37" s="110" t="n"/>
      <c r="P37" s="110" t="n"/>
      <c r="Q37" s="110" t="n"/>
      <c r="R37" s="110" t="n"/>
      <c r="S37" s="110" t="n"/>
      <c r="T37" s="110" t="n"/>
      <c r="U37" s="110" t="n"/>
      <c r="V37" s="110" t="n"/>
      <c r="W37" s="110" t="n"/>
    </row>
    <row r="38">
      <c r="A38" s="110" t="inlineStr">
        <is>
          <t>total 15y</t>
        </is>
      </c>
      <c r="B38" s="110" t="n"/>
      <c r="C38" s="114">
        <f>-Control!$B$15</f>
        <v/>
      </c>
      <c r="D38" s="110">
        <f>INDEX($C$6:$V$6,1,1)</f>
        <v/>
      </c>
      <c r="E38" s="110">
        <f>INDEX($C$6:$V$6,1,2)</f>
        <v/>
      </c>
      <c r="F38" s="110">
        <f>INDEX($C$6:$V$6,1,3)</f>
        <v/>
      </c>
      <c r="G38" s="110">
        <f>INDEX($C$6:$V$6,1,4)</f>
        <v/>
      </c>
      <c r="H38" s="110">
        <f>INDEX($C$6:$V$6,1,5)</f>
        <v/>
      </c>
      <c r="I38" s="110">
        <f>INDEX($C$6:$V$6,1,6)</f>
        <v/>
      </c>
      <c r="J38" s="110">
        <f>INDEX($C$6:$V$6,1,7)</f>
        <v/>
      </c>
      <c r="K38" s="110">
        <f>INDEX($C$6:$V$6,1,8)</f>
        <v/>
      </c>
      <c r="L38" s="110">
        <f>INDEX($C$6:$V$6,1,9)</f>
        <v/>
      </c>
      <c r="M38" s="110">
        <f>INDEX($C$6:$V$6,1,10)</f>
        <v/>
      </c>
      <c r="N38" s="110">
        <f>INDEX($C$6:$V$6,1,11)</f>
        <v/>
      </c>
      <c r="O38" s="110">
        <f>INDEX($C$6:$V$6,1,12)</f>
        <v/>
      </c>
      <c r="P38" s="110">
        <f>INDEX($C$6:$V$6,1,13)</f>
        <v/>
      </c>
      <c r="Q38" s="110">
        <f>INDEX($C$6:$V$6,1,14)</f>
        <v/>
      </c>
      <c r="R38" s="110">
        <f>INDEX($C$6:$V$6,1,15)+Valuation!$F$10*POWER(1+Control!$B$74,15)*(1-Control!$B$75)</f>
        <v/>
      </c>
      <c r="S38" s="110" t="n"/>
      <c r="T38" s="110" t="n"/>
      <c r="U38" s="110" t="n"/>
      <c r="V38" s="110" t="n"/>
      <c r="W38" s="110" t="n"/>
    </row>
    <row r="39">
      <c r="A39" s="110" t="inlineStr">
        <is>
          <t>total 20y</t>
        </is>
      </c>
      <c r="B39" s="110" t="n"/>
      <c r="C39" s="114">
        <f>-Control!$B$15</f>
        <v/>
      </c>
      <c r="D39" s="110">
        <f>INDEX($C$6:$V$6,1,1)</f>
        <v/>
      </c>
      <c r="E39" s="110">
        <f>INDEX($C$6:$V$6,1,2)</f>
        <v/>
      </c>
      <c r="F39" s="110">
        <f>INDEX($C$6:$V$6,1,3)</f>
        <v/>
      </c>
      <c r="G39" s="110">
        <f>INDEX($C$6:$V$6,1,4)</f>
        <v/>
      </c>
      <c r="H39" s="110">
        <f>INDEX($C$6:$V$6,1,5)</f>
        <v/>
      </c>
      <c r="I39" s="110">
        <f>INDEX($C$6:$V$6,1,6)</f>
        <v/>
      </c>
      <c r="J39" s="110">
        <f>INDEX($C$6:$V$6,1,7)</f>
        <v/>
      </c>
      <c r="K39" s="110">
        <f>INDEX($C$6:$V$6,1,8)</f>
        <v/>
      </c>
      <c r="L39" s="110">
        <f>INDEX($C$6:$V$6,1,9)</f>
        <v/>
      </c>
      <c r="M39" s="110">
        <f>INDEX($C$6:$V$6,1,10)</f>
        <v/>
      </c>
      <c r="N39" s="110">
        <f>INDEX($C$6:$V$6,1,11)</f>
        <v/>
      </c>
      <c r="O39" s="110">
        <f>INDEX($C$6:$V$6,1,12)</f>
        <v/>
      </c>
      <c r="P39" s="110">
        <f>INDEX($C$6:$V$6,1,13)</f>
        <v/>
      </c>
      <c r="Q39" s="110">
        <f>INDEX($C$6:$V$6,1,14)</f>
        <v/>
      </c>
      <c r="R39" s="110">
        <f>INDEX($C$6:$V$6,1,15)</f>
        <v/>
      </c>
      <c r="S39" s="110">
        <f>INDEX($C$6:$V$6,1,16)</f>
        <v/>
      </c>
      <c r="T39" s="110">
        <f>INDEX($C$6:$V$6,1,17)</f>
        <v/>
      </c>
      <c r="U39" s="110">
        <f>INDEX($C$6:$V$6,1,18)</f>
        <v/>
      </c>
      <c r="V39" s="110">
        <f>INDEX($C$6:$V$6,1,19)</f>
        <v/>
      </c>
      <c r="W39" s="110">
        <f>INDEX($C$6:$V$6,1,20)+Valuation!$F$10*POWER(1+Control!$B$74,20)*(1-Control!$B$75)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1F4E79"/>
    <outlinePr summaryBelow="1" summaryRight="1"/>
    <pageSetUpPr/>
  </sheetPr>
  <dimension ref="A1:W96"/>
  <sheetViews>
    <sheetView topLeftCell="A10" zoomScaleNormal="100" workbookViewId="0">
      <selection activeCell="E14" sqref="E14"/>
    </sheetView>
  </sheetViews>
  <sheetFormatPr baseColWidth="8" defaultRowHeight="14.4"/>
  <cols>
    <col width="24.33203125" customWidth="1" style="313" min="1" max="1"/>
    <col width="17" customWidth="1" style="313" min="2" max="2"/>
    <col width="15.21875" bestFit="1" customWidth="1" style="313" min="3" max="3"/>
    <col width="12" bestFit="1" customWidth="1" style="313" min="4" max="4"/>
    <col width="43.5546875" bestFit="1" customWidth="1" style="313" min="5" max="5"/>
    <col width="12" bestFit="1" customWidth="1" style="313" min="6" max="23"/>
  </cols>
  <sheetData>
    <row r="1">
      <c r="A1" s="109" t="inlineStr">
        <is>
          <t>SENSITIVITY &amp; RISKS — live one-way IRR data-tables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  <c r="W1" s="110" t="n"/>
    </row>
    <row r="2">
      <c r="A2" s="318" t="inlineStr">
        <is>
          <t>Each row recomputes the FULL 20-year partner return with one input changed (all other Control inputs held live). Base row is highlighted and equals the main model. Scenario input cells are yellow — edit them freely.</t>
        </is>
      </c>
      <c r="F2" s="110" t="n"/>
      <c r="G2" s="110" t="n"/>
      <c r="H2" s="110" t="n"/>
      <c r="I2" s="110" t="n"/>
      <c r="J2" s="110" t="n"/>
      <c r="K2" s="110" t="n"/>
      <c r="L2" s="110" t="n"/>
      <c r="M2" s="110" t="n"/>
      <c r="N2" s="110" t="n"/>
      <c r="O2" s="110" t="n"/>
      <c r="P2" s="110" t="n"/>
      <c r="Q2" s="110" t="n"/>
      <c r="R2" s="110" t="n"/>
      <c r="S2" s="110" t="n"/>
      <c r="T2" s="110" t="n"/>
      <c r="U2" s="110" t="n"/>
      <c r="V2" s="110" t="n"/>
      <c r="W2" s="110" t="n"/>
    </row>
    <row r="3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  <c r="U3" s="110" t="n"/>
      <c r="V3" s="110" t="n"/>
      <c r="W3" s="110" t="n"/>
    </row>
    <row r="4" ht="30.6" customHeight="1" s="313">
      <c r="A4" s="319" t="inlineStr">
        <is>
          <t>Note: scenarios recompute the full 20-year return. 5-, 10-, and 15-year base-case partner KPIs are now shown on Investor KPIs and Investor Close Summary to avoid mixing base hold periods with scenario sensitivities.</t>
        </is>
      </c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</row>
    <row r="5" ht="30.6" customHeight="1" s="313">
      <c r="A5" s="319" t="n"/>
      <c r="B5" s="319" t="n"/>
      <c r="C5" s="319" t="n"/>
      <c r="D5" s="319" t="n"/>
      <c r="E5" s="319" t="n"/>
      <c r="F5" s="220" t="n"/>
      <c r="G5" s="220" t="n"/>
      <c r="H5" s="220" t="n"/>
      <c r="I5" s="220" t="n"/>
      <c r="J5" s="220" t="n"/>
      <c r="K5" s="220" t="n"/>
      <c r="L5" s="220" t="n"/>
      <c r="M5" s="220" t="n"/>
      <c r="N5" s="220" t="n"/>
      <c r="O5" s="220" t="n"/>
      <c r="P5" s="220" t="n"/>
      <c r="Q5" s="220" t="n"/>
      <c r="R5" s="220" t="n"/>
      <c r="S5" s="220" t="n"/>
      <c r="T5" s="220" t="n"/>
      <c r="U5" s="220" t="n"/>
      <c r="V5" s="220" t="n"/>
      <c r="W5" s="220" t="n"/>
    </row>
    <row r="6">
      <c r="A6" s="228" t="inlineStr">
        <is>
          <t>Occupancy</t>
        </is>
      </c>
      <c r="B6" s="229" t="inlineStr">
        <is>
          <t>20-yr Total IRR</t>
        </is>
      </c>
      <c r="C6" s="229" t="inlineStr">
        <is>
          <t>20-yr Total MOIC</t>
        </is>
      </c>
      <c r="D6" s="229" t="inlineStr">
        <is>
          <t>Payback (yr)</t>
        </is>
      </c>
      <c r="E6" s="110" t="n"/>
      <c r="F6" s="110" t="n"/>
      <c r="G6" s="110" t="n"/>
      <c r="H6" s="110" t="n"/>
      <c r="I6" s="110" t="n"/>
      <c r="J6" s="110" t="n"/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  <c r="U6" s="110" t="n"/>
      <c r="V6" s="110" t="n"/>
      <c r="W6" s="110" t="n"/>
    </row>
    <row r="7">
      <c r="A7" s="221" t="n">
        <v>0.65</v>
      </c>
      <c r="B7" s="230">
        <f>IRR(C51:W51)</f>
        <v/>
      </c>
      <c r="C7" s="231">
        <f>SUM(D51:W51)/Control!$B$15</f>
        <v/>
      </c>
      <c r="D7" s="232">
        <f>COUNTIF(D52:V52,"&lt;"&amp;Control!$B$15)+1</f>
        <v/>
      </c>
      <c r="E7" s="110" t="n"/>
      <c r="F7" s="110" t="n"/>
      <c r="G7" s="110" t="n"/>
      <c r="H7" s="110" t="n"/>
      <c r="I7" s="110" t="n"/>
      <c r="J7" s="110" t="n"/>
      <c r="K7" s="110" t="n"/>
      <c r="L7" s="110" t="n"/>
      <c r="M7" s="110" t="n"/>
      <c r="N7" s="110" t="n"/>
      <c r="O7" s="110" t="n"/>
      <c r="P7" s="110" t="n"/>
      <c r="Q7" s="110" t="n"/>
      <c r="R7" s="110" t="n"/>
      <c r="S7" s="110" t="n"/>
      <c r="T7" s="110" t="n"/>
      <c r="U7" s="110" t="n"/>
      <c r="V7" s="110" t="n"/>
      <c r="W7" s="110" t="n"/>
    </row>
    <row r="8">
      <c r="A8" s="221" t="n">
        <v>0.7</v>
      </c>
      <c r="B8" s="230">
        <f>IRR(C53:W53)</f>
        <v/>
      </c>
      <c r="C8" s="231">
        <f>SUM(D53:W53)/Control!$B$15</f>
        <v/>
      </c>
      <c r="D8" s="232">
        <f>COUNTIF(D54:V54,"&lt;"&amp;Control!$B$15)+1</f>
        <v/>
      </c>
      <c r="E8" s="110" t="n"/>
      <c r="F8" s="110" t="n"/>
      <c r="G8" s="110" t="n"/>
      <c r="H8" s="110" t="n"/>
      <c r="I8" s="110" t="n"/>
      <c r="J8" s="110" t="n"/>
      <c r="K8" s="110" t="n"/>
      <c r="L8" s="110" t="n"/>
      <c r="M8" s="110" t="n"/>
      <c r="N8" s="110" t="n"/>
      <c r="O8" s="110" t="n"/>
      <c r="P8" s="110" t="n"/>
      <c r="Q8" s="110" t="n"/>
      <c r="R8" s="110" t="n"/>
      <c r="S8" s="110" t="n"/>
      <c r="T8" s="110" t="n"/>
      <c r="U8" s="110" t="n"/>
      <c r="V8" s="110" t="n"/>
      <c r="W8" s="110" t="n"/>
    </row>
    <row r="9">
      <c r="A9" s="222" t="n">
        <v>0.75</v>
      </c>
      <c r="B9" s="233">
        <f>IRR(C55:W55)</f>
        <v/>
      </c>
      <c r="C9" s="226">
        <f>SUM(D55:W55)/Control!$B$15</f>
        <v/>
      </c>
      <c r="D9" s="234">
        <f>COUNTIF(D56:V56,"&lt;"&amp;Control!$B$15)+1</f>
        <v/>
      </c>
      <c r="E9" s="110" t="n"/>
      <c r="F9" s="110" t="n"/>
      <c r="G9" s="110" t="n"/>
      <c r="H9" s="110" t="n"/>
      <c r="I9" s="110" t="n"/>
      <c r="J9" s="110" t="n"/>
      <c r="K9" s="110" t="n"/>
      <c r="L9" s="110" t="n"/>
      <c r="M9" s="110" t="n"/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</row>
    <row r="10">
      <c r="A10" s="221" t="n">
        <v>0.8</v>
      </c>
      <c r="B10" s="230">
        <f>IRR(C57:W57)</f>
        <v/>
      </c>
      <c r="C10" s="231">
        <f>SUM(D57:W57)/Control!$B$15</f>
        <v/>
      </c>
      <c r="D10" s="232">
        <f>COUNTIF(D58:V58,"&lt;"&amp;Control!$B$15)+1</f>
        <v/>
      </c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</row>
    <row r="11">
      <c r="A11" s="221" t="n">
        <v>0.85</v>
      </c>
      <c r="B11" s="230">
        <f>IRR(C59:W59)</f>
        <v/>
      </c>
      <c r="C11" s="231">
        <f>SUM(D59:W59)/Control!$B$15</f>
        <v/>
      </c>
      <c r="D11" s="232">
        <f>COUNTIF(D60:V60,"&lt;"&amp;Control!$B$15)+1</f>
        <v/>
      </c>
      <c r="E11" s="110" t="n"/>
      <c r="F11" s="110" t="n"/>
      <c r="G11" s="110" t="n"/>
      <c r="H11" s="110" t="n"/>
      <c r="I11" s="110" t="n"/>
      <c r="J11" s="110" t="n"/>
      <c r="K11" s="110" t="n"/>
      <c r="L11" s="110" t="n"/>
      <c r="M11" s="110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</row>
    <row r="12">
      <c r="A12" s="110" t="n"/>
      <c r="B12" s="110" t="n"/>
      <c r="C12" s="110" t="n"/>
      <c r="D12" s="110" t="n"/>
      <c r="E12" s="110" t="n"/>
      <c r="F12" s="110" t="n"/>
      <c r="G12" s="110" t="n"/>
      <c r="H12" s="110" t="n"/>
      <c r="I12" s="110" t="n"/>
      <c r="J12" s="110" t="n"/>
      <c r="K12" s="110" t="n"/>
      <c r="L12" s="110" t="n"/>
      <c r="M12" s="110" t="n"/>
      <c r="N12" s="110" t="n"/>
      <c r="O12" s="110" t="n"/>
      <c r="P12" s="110" t="n"/>
      <c r="Q12" s="110" t="n"/>
      <c r="R12" s="110" t="n"/>
      <c r="S12" s="110" t="n"/>
      <c r="T12" s="110" t="n"/>
      <c r="U12" s="110" t="n"/>
      <c r="V12" s="110" t="n"/>
      <c r="W12" s="110" t="n"/>
    </row>
    <row r="13">
      <c r="A13" s="142" t="inlineStr">
        <is>
          <t>ADR / RATE ESCALATION p.a. (Control!B11)</t>
        </is>
      </c>
      <c r="B13" s="143" t="n"/>
      <c r="C13" s="143" t="n"/>
      <c r="D13" s="143" t="n"/>
      <c r="E13" s="110" t="n"/>
      <c r="F13" s="110" t="n"/>
      <c r="G13" s="110" t="n"/>
      <c r="H13" s="110" t="n"/>
      <c r="I13" s="110" t="n"/>
      <c r="J13" s="110" t="n"/>
      <c r="K13" s="110" t="n"/>
      <c r="L13" s="110" t="n"/>
      <c r="M13" s="110" t="n"/>
      <c r="N13" s="110" t="n"/>
      <c r="O13" s="110" t="n"/>
      <c r="P13" s="110" t="n"/>
      <c r="Q13" s="110" t="n"/>
      <c r="R13" s="110" t="n"/>
      <c r="S13" s="110" t="n"/>
      <c r="T13" s="110" t="n"/>
      <c r="U13" s="110" t="n"/>
      <c r="V13" s="110" t="n"/>
      <c r="W13" s="110" t="n"/>
    </row>
    <row r="14">
      <c r="A14" s="228" t="inlineStr">
        <is>
          <t>ADR escalation</t>
        </is>
      </c>
      <c r="B14" s="229" t="inlineStr">
        <is>
          <t>20-yr Total IRR</t>
        </is>
      </c>
      <c r="C14" s="229" t="inlineStr">
        <is>
          <t>20-yr Total MOIC</t>
        </is>
      </c>
      <c r="D14" s="229" t="inlineStr">
        <is>
          <t>Payback (yr)</t>
        </is>
      </c>
      <c r="E14" s="110" t="n"/>
      <c r="F14" s="110" t="n"/>
      <c r="G14" s="110" t="n"/>
      <c r="H14" s="110" t="n"/>
      <c r="I14" s="110" t="n"/>
      <c r="J14" s="110" t="n"/>
      <c r="K14" s="110" t="n"/>
      <c r="L14" s="110" t="n"/>
      <c r="M14" s="110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</row>
    <row r="15">
      <c r="A15" s="223" t="n">
        <v>0.03</v>
      </c>
      <c r="B15" s="230">
        <f>IRR(C63:W63)</f>
        <v/>
      </c>
      <c r="C15" s="231">
        <f>SUM(D63:W63)/Control!$B$15</f>
        <v/>
      </c>
      <c r="D15" s="232">
        <f>COUNTIF(D64:V64,"&lt;"&amp;Control!$B$15)+1</f>
        <v/>
      </c>
      <c r="E15" s="110" t="n"/>
      <c r="F15" s="110" t="n"/>
      <c r="G15" s="110" t="n"/>
      <c r="H15" s="110" t="n"/>
      <c r="I15" s="110" t="n"/>
      <c r="J15" s="110" t="n"/>
      <c r="K15" s="110" t="n"/>
      <c r="L15" s="110" t="n"/>
      <c r="M15" s="110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</row>
    <row r="16">
      <c r="A16" s="223" t="n">
        <v>0.04</v>
      </c>
      <c r="B16" s="230">
        <f>IRR(C65:W65)</f>
        <v/>
      </c>
      <c r="C16" s="231">
        <f>SUM(D65:W65)/Control!$B$15</f>
        <v/>
      </c>
      <c r="D16" s="232">
        <f>COUNTIF(D66:V66,"&lt;"&amp;Control!$B$15)+1</f>
        <v/>
      </c>
      <c r="E16" s="110" t="n"/>
      <c r="F16" s="110" t="n"/>
      <c r="G16" s="110" t="n"/>
      <c r="H16" s="110" t="n"/>
      <c r="I16" s="110" t="n"/>
      <c r="J16" s="110" t="n"/>
      <c r="K16" s="110" t="n"/>
      <c r="L16" s="110" t="n"/>
      <c r="M16" s="110" t="n"/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</row>
    <row r="17">
      <c r="A17" s="224" t="n">
        <v>0.05</v>
      </c>
      <c r="B17" s="233">
        <f>IRR(C67:W67)</f>
        <v/>
      </c>
      <c r="C17" s="226">
        <f>SUM(D67:W67)/Control!$B$15</f>
        <v/>
      </c>
      <c r="D17" s="234">
        <f>COUNTIF(D68:V68,"&lt;"&amp;Control!$B$15)+1</f>
        <v/>
      </c>
      <c r="E17" s="110" t="n"/>
      <c r="F17" s="110" t="n"/>
      <c r="G17" s="110" t="n"/>
      <c r="H17" s="110" t="n"/>
      <c r="I17" s="110" t="n"/>
      <c r="J17" s="110" t="n"/>
      <c r="K17" s="110" t="n"/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0" t="n"/>
    </row>
    <row r="18">
      <c r="A18" s="223" t="n">
        <v>0.06</v>
      </c>
      <c r="B18" s="230">
        <f>IRR(C69:W69)</f>
        <v/>
      </c>
      <c r="C18" s="231">
        <f>SUM(D69:W69)/Control!$B$15</f>
        <v/>
      </c>
      <c r="D18" s="232">
        <f>COUNTIF(D70:V70,"&lt;"&amp;Control!$B$15)+1</f>
        <v/>
      </c>
      <c r="E18" s="110" t="n"/>
      <c r="F18" s="110" t="n"/>
      <c r="G18" s="110" t="n"/>
      <c r="H18" s="110" t="n"/>
      <c r="I18" s="110" t="n"/>
      <c r="J18" s="110" t="n"/>
      <c r="K18" s="110" t="n"/>
      <c r="L18" s="110" t="n"/>
      <c r="M18" s="110" t="n"/>
      <c r="N18" s="110" t="n"/>
      <c r="O18" s="110" t="n"/>
      <c r="P18" s="110" t="n"/>
      <c r="Q18" s="110" t="n"/>
      <c r="R18" s="110" t="n"/>
      <c r="S18" s="110" t="n"/>
      <c r="T18" s="110" t="n"/>
      <c r="U18" s="110" t="n"/>
      <c r="V18" s="110" t="n"/>
      <c r="W18" s="110" t="n"/>
    </row>
    <row r="19">
      <c r="A19" s="223" t="n">
        <v>0.07000000000000001</v>
      </c>
      <c r="B19" s="230">
        <f>IRR(C71:W71)</f>
        <v/>
      </c>
      <c r="C19" s="231">
        <f>SUM(D71:W71)/Control!$B$15</f>
        <v/>
      </c>
      <c r="D19" s="232">
        <f>COUNTIF(D72:V72,"&lt;"&amp;Control!$B$15)+1</f>
        <v/>
      </c>
      <c r="E19" s="110" t="n"/>
      <c r="F19" s="110" t="n"/>
      <c r="G19" s="110" t="n"/>
      <c r="H19" s="110" t="n"/>
      <c r="I19" s="110" t="n"/>
      <c r="J19" s="110" t="n"/>
      <c r="K19" s="110" t="n"/>
      <c r="L19" s="110" t="n"/>
      <c r="M19" s="110" t="n"/>
      <c r="N19" s="110" t="n"/>
      <c r="O19" s="110" t="n"/>
      <c r="P19" s="110" t="n"/>
      <c r="Q19" s="110" t="n"/>
      <c r="R19" s="110" t="n"/>
      <c r="S19" s="110" t="n"/>
      <c r="T19" s="110" t="n"/>
      <c r="U19" s="110" t="n"/>
      <c r="V19" s="110" t="n"/>
      <c r="W19" s="110" t="n"/>
    </row>
    <row r="20">
      <c r="A20" s="110" t="n"/>
      <c r="B20" s="110" t="n"/>
      <c r="C20" s="110" t="n"/>
      <c r="D20" s="110" t="n"/>
      <c r="E20" s="110" t="n"/>
      <c r="F20" s="110" t="n"/>
      <c r="G20" s="110" t="n"/>
      <c r="H20" s="110" t="n"/>
      <c r="I20" s="110" t="n"/>
      <c r="J20" s="110" t="n"/>
      <c r="K20" s="110" t="n"/>
      <c r="L20" s="110" t="n"/>
      <c r="M20" s="110" t="n"/>
      <c r="N20" s="110" t="n"/>
      <c r="O20" s="110" t="n"/>
      <c r="P20" s="110" t="n"/>
      <c r="Q20" s="110" t="n"/>
      <c r="R20" s="110" t="n"/>
      <c r="S20" s="110" t="n"/>
      <c r="T20" s="110" t="n"/>
      <c r="U20" s="110" t="n"/>
      <c r="V20" s="110" t="n"/>
      <c r="W20" s="110" t="n"/>
    </row>
    <row r="21">
      <c r="A21" s="142" t="inlineStr">
        <is>
          <t>TOUR GROSS PROFIT (× base, via ASKY Tours Calcs)</t>
        </is>
      </c>
      <c r="B21" s="143" t="n"/>
      <c r="C21" s="143" t="n"/>
      <c r="D21" s="143" t="n"/>
      <c r="E21" s="110" t="n"/>
      <c r="F21" s="110" t="n"/>
      <c r="G21" s="110" t="n"/>
      <c r="H21" s="110" t="n"/>
      <c r="I21" s="110" t="n"/>
      <c r="J21" s="110" t="n"/>
      <c r="K21" s="110" t="n"/>
      <c r="L21" s="110" t="n"/>
      <c r="M21" s="110" t="n"/>
      <c r="N21" s="110" t="n"/>
      <c r="O21" s="110" t="n"/>
      <c r="P21" s="110" t="n"/>
      <c r="Q21" s="110" t="n"/>
      <c r="R21" s="110" t="n"/>
      <c r="S21" s="110" t="n"/>
      <c r="T21" s="110" t="n"/>
      <c r="U21" s="110" t="n"/>
      <c r="V21" s="110" t="n"/>
      <c r="W21" s="110" t="n"/>
    </row>
    <row r="22">
      <c r="A22" s="228" t="inlineStr">
        <is>
          <t>Tour GP (× base)</t>
        </is>
      </c>
      <c r="B22" s="229" t="inlineStr">
        <is>
          <t>20-yr Total IRR</t>
        </is>
      </c>
      <c r="C22" s="229" t="inlineStr">
        <is>
          <t>20-yr Total MOIC</t>
        </is>
      </c>
      <c r="D22" s="229" t="inlineStr">
        <is>
          <t>Payback (yr)</t>
        </is>
      </c>
      <c r="E22" s="110" t="n"/>
      <c r="F22" s="110" t="n"/>
      <c r="G22" s="110" t="n"/>
      <c r="H22" s="110" t="n"/>
      <c r="I22" s="110" t="n"/>
      <c r="J22" s="110" t="n"/>
      <c r="K22" s="110" t="n"/>
      <c r="L22" s="110" t="n"/>
      <c r="M22" s="110" t="n"/>
      <c r="N22" s="110" t="n"/>
      <c r="O22" s="110" t="n"/>
      <c r="P22" s="110" t="n"/>
      <c r="Q22" s="110" t="n"/>
      <c r="R22" s="110" t="n"/>
      <c r="S22" s="110" t="n"/>
      <c r="T22" s="110" t="n"/>
      <c r="U22" s="110" t="n"/>
      <c r="V22" s="110" t="n"/>
      <c r="W22" s="110" t="n"/>
    </row>
    <row r="23">
      <c r="A23" s="225" t="n">
        <v>0.6</v>
      </c>
      <c r="B23" s="230">
        <f>IRR(C75:W75)</f>
        <v/>
      </c>
      <c r="C23" s="231">
        <f>SUM(D75:W75)/Control!$B$15</f>
        <v/>
      </c>
      <c r="D23" s="232">
        <f>COUNTIF(D76:V76,"&lt;"&amp;Control!$B$15)+1</f>
        <v/>
      </c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110" t="n"/>
      <c r="O23" s="110" t="n"/>
      <c r="P23" s="110" t="n"/>
      <c r="Q23" s="110" t="n"/>
      <c r="R23" s="110" t="n"/>
      <c r="S23" s="110" t="n"/>
      <c r="T23" s="110" t="n"/>
      <c r="U23" s="110" t="n"/>
      <c r="V23" s="110" t="n"/>
      <c r="W23" s="110" t="n"/>
    </row>
    <row r="24">
      <c r="A24" s="225" t="n">
        <v>0.8</v>
      </c>
      <c r="B24" s="230">
        <f>IRR(C77:W77)</f>
        <v/>
      </c>
      <c r="C24" s="231">
        <f>SUM(D77:W77)/Control!$B$15</f>
        <v/>
      </c>
      <c r="D24" s="232">
        <f>COUNTIF(D78:V78,"&lt;"&amp;Control!$B$15)+1</f>
        <v/>
      </c>
      <c r="E24" s="110" t="n"/>
      <c r="F24" s="110" t="n"/>
      <c r="G24" s="110" t="n"/>
      <c r="H24" s="110" t="n"/>
      <c r="I24" s="110" t="n"/>
      <c r="J24" s="110" t="n"/>
      <c r="K24" s="110" t="n"/>
      <c r="L24" s="110" t="n"/>
      <c r="M24" s="110" t="n"/>
      <c r="N24" s="110" t="n"/>
      <c r="O24" s="110" t="n"/>
      <c r="P24" s="110" t="n"/>
      <c r="Q24" s="110" t="n"/>
      <c r="R24" s="110" t="n"/>
      <c r="S24" s="110" t="n"/>
      <c r="T24" s="110" t="n"/>
      <c r="U24" s="110" t="n"/>
      <c r="V24" s="110" t="n"/>
      <c r="W24" s="110" t="n"/>
    </row>
    <row r="25">
      <c r="A25" s="226" t="n">
        <v>1</v>
      </c>
      <c r="B25" s="233">
        <f>IRR(C79:W79)</f>
        <v/>
      </c>
      <c r="C25" s="226">
        <f>SUM(D79:W79)/Control!$B$15</f>
        <v/>
      </c>
      <c r="D25" s="234">
        <f>COUNTIF(D80:V80,"&lt;"&amp;Control!$B$15)+1</f>
        <v/>
      </c>
      <c r="E25" s="110" t="n"/>
      <c r="F25" s="110" t="n"/>
      <c r="G25" s="110" t="n"/>
      <c r="H25" s="110" t="n"/>
      <c r="I25" s="110" t="n"/>
      <c r="J25" s="110" t="n"/>
      <c r="K25" s="110" t="n"/>
      <c r="L25" s="110" t="n"/>
      <c r="M25" s="110" t="n"/>
      <c r="N25" s="110" t="n"/>
      <c r="O25" s="110" t="n"/>
      <c r="P25" s="110" t="n"/>
      <c r="Q25" s="110" t="n"/>
      <c r="R25" s="110" t="n"/>
      <c r="S25" s="110" t="n"/>
      <c r="T25" s="110" t="n"/>
      <c r="U25" s="110" t="n"/>
      <c r="V25" s="110" t="n"/>
      <c r="W25" s="110" t="n"/>
    </row>
    <row r="26">
      <c r="A26" s="225" t="n">
        <v>1.2</v>
      </c>
      <c r="B26" s="230">
        <f>IRR(C81:W81)</f>
        <v/>
      </c>
      <c r="C26" s="231">
        <f>SUM(D81:W81)/Control!$B$15</f>
        <v/>
      </c>
      <c r="D26" s="232">
        <f>COUNTIF(D82:V82,"&lt;"&amp;Control!$B$15)+1</f>
        <v/>
      </c>
      <c r="E26" s="110" t="n"/>
      <c r="F26" s="110" t="n"/>
      <c r="G26" s="110" t="n"/>
      <c r="H26" s="110" t="n"/>
      <c r="I26" s="110" t="n"/>
      <c r="J26" s="110" t="n"/>
      <c r="K26" s="110" t="n"/>
      <c r="L26" s="110" t="n"/>
      <c r="M26" s="110" t="n"/>
      <c r="N26" s="110" t="n"/>
      <c r="O26" s="110" t="n"/>
      <c r="P26" s="110" t="n"/>
      <c r="Q26" s="110" t="n"/>
      <c r="R26" s="110" t="n"/>
      <c r="S26" s="110" t="n"/>
      <c r="T26" s="110" t="n"/>
      <c r="U26" s="110" t="n"/>
      <c r="V26" s="110" t="n"/>
      <c r="W26" s="110" t="n"/>
    </row>
    <row r="27">
      <c r="A27" s="225" t="n">
        <v>1.4</v>
      </c>
      <c r="B27" s="230">
        <f>IRR(C83:W83)</f>
        <v/>
      </c>
      <c r="C27" s="231">
        <f>SUM(D83:W83)/Control!$B$15</f>
        <v/>
      </c>
      <c r="D27" s="232">
        <f>COUNTIF(D84:V84,"&lt;"&amp;Control!$B$15)+1</f>
        <v/>
      </c>
      <c r="E27" s="110" t="n"/>
      <c r="F27" s="110" t="n"/>
      <c r="G27" s="110" t="n"/>
      <c r="H27" s="110" t="n"/>
      <c r="I27" s="110" t="n"/>
      <c r="J27" s="110" t="n"/>
      <c r="K27" s="110" t="n"/>
      <c r="L27" s="110" t="n"/>
      <c r="M27" s="110" t="n"/>
      <c r="N27" s="110" t="n"/>
      <c r="O27" s="110" t="n"/>
      <c r="P27" s="110" t="n"/>
      <c r="Q27" s="110" t="n"/>
      <c r="R27" s="110" t="n"/>
      <c r="S27" s="110" t="n"/>
      <c r="T27" s="110" t="n"/>
      <c r="U27" s="110" t="n"/>
      <c r="V27" s="110" t="n"/>
      <c r="W27" s="110" t="n"/>
    </row>
    <row r="28">
      <c r="A28" s="110" t="n"/>
      <c r="B28" s="110" t="n"/>
      <c r="C28" s="110" t="n"/>
      <c r="D28" s="110" t="n"/>
      <c r="E28" s="110" t="n"/>
      <c r="F28" s="110" t="n"/>
      <c r="G28" s="110" t="n"/>
      <c r="H28" s="110" t="n"/>
      <c r="I28" s="110" t="n"/>
      <c r="J28" s="110" t="n"/>
      <c r="K28" s="110" t="n"/>
      <c r="L28" s="110" t="n"/>
      <c r="M28" s="110" t="n"/>
      <c r="N28" s="110" t="n"/>
      <c r="O28" s="110" t="n"/>
      <c r="P28" s="110" t="n"/>
      <c r="Q28" s="110" t="n"/>
      <c r="R28" s="110" t="n"/>
      <c r="S28" s="110" t="n"/>
      <c r="T28" s="110" t="n"/>
      <c r="U28" s="110" t="n"/>
      <c r="V28" s="110" t="n"/>
      <c r="W28" s="110" t="n"/>
    </row>
    <row r="29">
      <c r="A29" s="142" t="inlineStr">
        <is>
          <t>EXIT PROPERTY GROWTH p.a. (Control!B70)</t>
        </is>
      </c>
      <c r="B29" s="143" t="n"/>
      <c r="C29" s="143" t="n"/>
      <c r="D29" s="143" t="n"/>
      <c r="E29" s="110" t="n"/>
      <c r="F29" s="110" t="n"/>
      <c r="G29" s="110" t="n"/>
      <c r="H29" s="110" t="n"/>
      <c r="I29" s="110" t="n"/>
      <c r="J29" s="110" t="n"/>
      <c r="K29" s="110" t="n"/>
      <c r="L29" s="110" t="n"/>
      <c r="M29" s="110" t="n"/>
      <c r="N29" s="110" t="n"/>
      <c r="O29" s="110" t="n"/>
      <c r="P29" s="110" t="n"/>
      <c r="Q29" s="110" t="n"/>
      <c r="R29" s="110" t="n"/>
      <c r="S29" s="110" t="n"/>
      <c r="T29" s="110" t="n"/>
      <c r="U29" s="110" t="n"/>
      <c r="V29" s="110" t="n"/>
      <c r="W29" s="110" t="n"/>
    </row>
    <row r="30">
      <c r="A30" s="228" t="inlineStr">
        <is>
          <t>Exit growth</t>
        </is>
      </c>
      <c r="B30" s="229" t="inlineStr">
        <is>
          <t>20-yr Total IRR</t>
        </is>
      </c>
      <c r="C30" s="229" t="inlineStr">
        <is>
          <t>20-yr Total MOIC</t>
        </is>
      </c>
      <c r="D30" s="229" t="inlineStr">
        <is>
          <t>Payback (yr)</t>
        </is>
      </c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  <c r="P30" s="110" t="n"/>
      <c r="Q30" s="110" t="n"/>
      <c r="R30" s="110" t="n"/>
      <c r="S30" s="110" t="n"/>
      <c r="T30" s="110" t="n"/>
      <c r="U30" s="110" t="n"/>
      <c r="V30" s="110" t="n"/>
      <c r="W30" s="110" t="n"/>
    </row>
    <row r="31">
      <c r="A31" s="223" t="n">
        <v>0</v>
      </c>
      <c r="B31" s="230">
        <f>IRR(C87:W87)</f>
        <v/>
      </c>
      <c r="C31" s="231">
        <f>SUM(D87:W87)/Control!$B$15</f>
        <v/>
      </c>
      <c r="D31" s="232">
        <f>COUNTIF(D88:V88,"&lt;"&amp;Control!$B$15)+1</f>
        <v/>
      </c>
      <c r="E31" s="110" t="n"/>
      <c r="F31" s="110" t="n"/>
      <c r="G31" s="110" t="n"/>
      <c r="H31" s="110" t="n"/>
      <c r="I31" s="110" t="n"/>
      <c r="J31" s="110" t="n"/>
      <c r="K31" s="110" t="n"/>
      <c r="L31" s="110" t="n"/>
      <c r="M31" s="110" t="n"/>
      <c r="N31" s="110" t="n"/>
      <c r="O31" s="110" t="n"/>
      <c r="P31" s="110" t="n"/>
      <c r="Q31" s="110" t="n"/>
      <c r="R31" s="110" t="n"/>
      <c r="S31" s="110" t="n"/>
      <c r="T31" s="110" t="n"/>
      <c r="U31" s="110" t="n"/>
      <c r="V31" s="110" t="n"/>
      <c r="W31" s="110" t="n"/>
    </row>
    <row r="32">
      <c r="A32" s="223" t="n">
        <v>0.03</v>
      </c>
      <c r="B32" s="230">
        <f>IRR(C89:W89)</f>
        <v/>
      </c>
      <c r="C32" s="231">
        <f>SUM(D89:W89)/Control!$B$15</f>
        <v/>
      </c>
      <c r="D32" s="232">
        <f>COUNTIF(D90:V90,"&lt;"&amp;Control!$B$15)+1</f>
        <v/>
      </c>
      <c r="E32" s="110" t="n"/>
      <c r="F32" s="110" t="n"/>
      <c r="G32" s="110" t="n"/>
      <c r="H32" s="110" t="n"/>
      <c r="I32" s="110" t="n"/>
      <c r="J32" s="110" t="n"/>
      <c r="K32" s="110" t="n"/>
      <c r="L32" s="110" t="n"/>
      <c r="M32" s="110" t="n"/>
      <c r="N32" s="110" t="n"/>
      <c r="O32" s="110" t="n"/>
      <c r="P32" s="110" t="n"/>
      <c r="Q32" s="110" t="n"/>
      <c r="R32" s="110" t="n"/>
      <c r="S32" s="110" t="n"/>
      <c r="T32" s="110" t="n"/>
      <c r="U32" s="110" t="n"/>
      <c r="V32" s="110" t="n"/>
      <c r="W32" s="110" t="n"/>
    </row>
    <row r="33">
      <c r="A33" s="224" t="n">
        <v>0.05</v>
      </c>
      <c r="B33" s="233">
        <f>IRR(C91:W91)</f>
        <v/>
      </c>
      <c r="C33" s="226">
        <f>SUM(D91:W91)/Control!$B$15</f>
        <v/>
      </c>
      <c r="D33" s="234">
        <f>COUNTIF(D92:V92,"&lt;"&amp;Control!$B$15)+1</f>
        <v/>
      </c>
      <c r="E33" s="110" t="n"/>
      <c r="F33" s="110" t="n"/>
      <c r="G33" s="110" t="n"/>
      <c r="H33" s="110" t="n"/>
      <c r="I33" s="110" t="n"/>
      <c r="J33" s="110" t="n"/>
      <c r="K33" s="110" t="n"/>
      <c r="L33" s="110" t="n"/>
      <c r="M33" s="110" t="n"/>
      <c r="N33" s="110" t="n"/>
      <c r="O33" s="110" t="n"/>
      <c r="P33" s="110" t="n"/>
      <c r="Q33" s="110" t="n"/>
      <c r="R33" s="110" t="n"/>
      <c r="S33" s="110" t="n"/>
      <c r="T33" s="110" t="n"/>
      <c r="U33" s="110" t="n"/>
      <c r="V33" s="110" t="n"/>
      <c r="W33" s="110" t="n"/>
    </row>
    <row r="34">
      <c r="A34" s="223" t="n">
        <v>0.07000000000000001</v>
      </c>
      <c r="B34" s="230">
        <f>IRR(C93:W93)</f>
        <v/>
      </c>
      <c r="C34" s="231">
        <f>SUM(D93:W93)/Control!$B$15</f>
        <v/>
      </c>
      <c r="D34" s="232">
        <f>COUNTIF(D94:V94,"&lt;"&amp;Control!$B$15)+1</f>
        <v/>
      </c>
      <c r="E34" s="110" t="n"/>
      <c r="F34" s="110" t="n"/>
      <c r="G34" s="110" t="n"/>
      <c r="H34" s="110" t="n"/>
      <c r="I34" s="110" t="n"/>
      <c r="J34" s="110" t="n"/>
      <c r="K34" s="110" t="n"/>
      <c r="L34" s="110" t="n"/>
      <c r="M34" s="110" t="n"/>
      <c r="N34" s="110" t="n"/>
      <c r="O34" s="110" t="n"/>
      <c r="P34" s="110" t="n"/>
      <c r="Q34" s="110" t="n"/>
      <c r="R34" s="110" t="n"/>
      <c r="S34" s="110" t="n"/>
      <c r="T34" s="110" t="n"/>
      <c r="U34" s="110" t="n"/>
      <c r="V34" s="110" t="n"/>
      <c r="W34" s="110" t="n"/>
    </row>
    <row r="35">
      <c r="A35" s="223" t="n">
        <v>0.09</v>
      </c>
      <c r="B35" s="230">
        <f>IRR(C95:W95)</f>
        <v/>
      </c>
      <c r="C35" s="231">
        <f>SUM(D95:W95)/Control!$B$15</f>
        <v/>
      </c>
      <c r="D35" s="232">
        <f>COUNTIF(D96:V96,"&lt;"&amp;Control!$B$15)+1</f>
        <v/>
      </c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  <c r="P35" s="110" t="n"/>
      <c r="Q35" s="110" t="n"/>
      <c r="R35" s="110" t="n"/>
      <c r="S35" s="110" t="n"/>
      <c r="T35" s="110" t="n"/>
      <c r="U35" s="110" t="n"/>
      <c r="V35" s="110" t="n"/>
      <c r="W35" s="110" t="n"/>
    </row>
    <row r="36">
      <c r="A36" s="110" t="n"/>
      <c r="B36" s="110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  <c r="P36" s="110" t="n"/>
      <c r="Q36" s="110" t="n"/>
      <c r="R36" s="110" t="n"/>
      <c r="S36" s="110" t="n"/>
      <c r="T36" s="110" t="n"/>
      <c r="U36" s="110" t="n"/>
      <c r="V36" s="110" t="n"/>
      <c r="W36" s="110" t="n"/>
    </row>
    <row r="37">
      <c r="A37" s="110" t="n"/>
      <c r="B37" s="110" t="n"/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  <c r="P37" s="110" t="n"/>
      <c r="Q37" s="110" t="n"/>
      <c r="R37" s="110" t="n"/>
      <c r="S37" s="110" t="n"/>
      <c r="T37" s="110" t="n"/>
      <c r="U37" s="110" t="n"/>
      <c r="V37" s="110" t="n"/>
      <c r="W37" s="110" t="n"/>
    </row>
    <row r="38">
      <c r="A38" s="142" t="inlineStr">
        <is>
          <t>RISK REGISTER &amp; MITIGANTS</t>
        </is>
      </c>
      <c r="B38" s="143" t="n"/>
      <c r="C38" s="143" t="n"/>
      <c r="D38" s="143" t="n"/>
      <c r="E38" s="143" t="n"/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  <c r="P38" s="110" t="n"/>
      <c r="Q38" s="110" t="n"/>
      <c r="R38" s="110" t="n"/>
      <c r="S38" s="110" t="n"/>
      <c r="T38" s="110" t="n"/>
      <c r="U38" s="110" t="n"/>
      <c r="V38" s="110" t="n"/>
      <c r="W38" s="110" t="n"/>
    </row>
    <row r="39">
      <c r="A39" s="144" t="inlineStr">
        <is>
          <t>Risk</t>
        </is>
      </c>
      <c r="B39" s="227" t="inlineStr">
        <is>
          <t>Why it matters</t>
        </is>
      </c>
      <c r="C39" s="227" t="n"/>
      <c r="D39" s="227" t="n"/>
      <c r="E39" s="145" t="inlineStr">
        <is>
          <t>Mitigant / response</t>
        </is>
      </c>
      <c r="F39" s="110" t="n"/>
      <c r="G39" s="110" t="n"/>
      <c r="H39" s="110" t="n"/>
      <c r="I39" s="110" t="n"/>
      <c r="J39" s="110" t="n"/>
      <c r="K39" s="110" t="n"/>
      <c r="L39" s="110" t="n"/>
      <c r="M39" s="110" t="n"/>
      <c r="N39" s="110" t="n"/>
      <c r="O39" s="110" t="n"/>
      <c r="P39" s="110" t="n"/>
      <c r="Q39" s="110" t="n"/>
      <c r="R39" s="110" t="n"/>
      <c r="S39" s="110" t="n"/>
      <c r="T39" s="110" t="n"/>
      <c r="U39" s="110" t="n"/>
      <c r="V39" s="110" t="n"/>
      <c r="W39" s="110" t="n"/>
    </row>
    <row r="40" ht="27.6" customHeight="1" s="313">
      <c r="A40" s="111" t="inlineStr">
        <is>
          <t>VAT / tax treatment</t>
        </is>
      </c>
      <c r="B40" s="318" t="inlineStr">
        <is>
          <t>Can affect net cashflows and transaction structure; turnover (incl. tours) is well over the R1m threshold.</t>
        </is>
      </c>
      <c r="E40" s="111" t="inlineStr">
        <is>
          <t>Keep flagged; obtain accountant sign-off before closing.</t>
        </is>
      </c>
      <c r="F40" s="110" t="n"/>
      <c r="G40" s="110" t="n"/>
      <c r="H40" s="110" t="n"/>
      <c r="I40" s="110" t="n"/>
      <c r="J40" s="110" t="n"/>
      <c r="K40" s="110" t="n"/>
      <c r="L40" s="110" t="n"/>
      <c r="M40" s="110" t="n"/>
      <c r="N40" s="110" t="n"/>
      <c r="O40" s="110" t="n"/>
      <c r="P40" s="110" t="n"/>
      <c r="Q40" s="110" t="n"/>
      <c r="R40" s="110" t="n"/>
      <c r="S40" s="110" t="n"/>
      <c r="T40" s="110" t="n"/>
      <c r="U40" s="110" t="n"/>
      <c r="V40" s="110" t="n"/>
      <c r="W40" s="110" t="n"/>
    </row>
    <row r="41" ht="27.6" customHeight="1" s="313">
      <c r="A41" s="111" t="inlineStr">
        <is>
          <t>Property transfer / legal structuring</t>
        </is>
      </c>
      <c r="B41" s="318" t="inlineStr">
        <is>
          <t>Transfer duty, VAT, CGT, s42 roll-over and shareholder docs affect execution.</t>
        </is>
      </c>
      <c r="E41" s="111" t="inlineStr">
        <is>
          <t>Attorney review and final deal structure before signature.</t>
        </is>
      </c>
      <c r="F41" s="110" t="n"/>
      <c r="G41" s="110" t="n"/>
      <c r="H41" s="110" t="n"/>
      <c r="I41" s="110" t="n"/>
      <c r="J41" s="110" t="n"/>
      <c r="K41" s="110" t="n"/>
      <c r="L41" s="110" t="n"/>
      <c r="M41" s="110" t="n"/>
      <c r="N41" s="110" t="n"/>
      <c r="O41" s="110" t="n"/>
      <c r="P41" s="110" t="n"/>
      <c r="Q41" s="110" t="n"/>
      <c r="R41" s="110" t="n"/>
      <c r="S41" s="110" t="n"/>
      <c r="T41" s="110" t="n"/>
      <c r="U41" s="110" t="n"/>
      <c r="V41" s="110" t="n"/>
      <c r="W41" s="110" t="n"/>
    </row>
    <row r="42" ht="27.6" customHeight="1" s="313">
      <c r="A42" s="111" t="inlineStr">
        <is>
          <t>African Sky operating income vs property value</t>
        </is>
      </c>
      <c r="B42" s="318" t="inlineStr">
        <is>
          <t>Operating NOI implies a high value if capitalised directly.</t>
        </is>
      </c>
      <c r="E42" s="111" t="inlineStr">
        <is>
          <t>Model adopts a conservative property value; operating upside shown separately.</t>
        </is>
      </c>
      <c r="F42" s="110" t="n"/>
      <c r="G42" s="110" t="n"/>
      <c r="H42" s="110" t="n"/>
      <c r="I42" s="110" t="n"/>
      <c r="J42" s="110" t="n"/>
      <c r="K42" s="110" t="n"/>
      <c r="L42" s="110" t="n"/>
      <c r="M42" s="110" t="n"/>
      <c r="N42" s="110" t="n"/>
      <c r="O42" s="110" t="n"/>
      <c r="P42" s="110" t="n"/>
      <c r="Q42" s="110" t="n"/>
      <c r="R42" s="110" t="n"/>
      <c r="S42" s="110" t="n"/>
      <c r="T42" s="110" t="n"/>
      <c r="U42" s="110" t="n"/>
      <c r="V42" s="110" t="n"/>
      <c r="W42" s="110" t="n"/>
    </row>
    <row r="43" ht="27.6" customHeight="1" s="313">
      <c r="A43" s="111" t="inlineStr">
        <is>
          <t>Tour take-up / supplier cost</t>
        </is>
      </c>
      <c r="B43" s="318" t="inlineStr">
        <is>
          <t>Tours materially contribute gross profit (see Tour GP table above).</t>
        </is>
      </c>
      <c r="E43" s="111" t="inlineStr">
        <is>
          <t>ASKY Tours Calcs is the source; update supplier costs/take-up as quotes firm up.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  <c r="Q43" s="110" t="n"/>
      <c r="R43" s="110" t="n"/>
      <c r="S43" s="110" t="n"/>
      <c r="T43" s="110" t="n"/>
      <c r="U43" s="110" t="n"/>
      <c r="V43" s="110" t="n"/>
      <c r="W43" s="110" t="n"/>
    </row>
    <row r="44" ht="27.6" customHeight="1" s="313">
      <c r="A44" s="111" t="inlineStr">
        <is>
          <t>Occupancy vs realised history</t>
        </is>
      </c>
      <c r="B44" s="318" t="inlineStr">
        <is>
          <t>Model runs 75%; realised bookings imply ~67-71% (see ASKY Stay Calc).</t>
        </is>
      </c>
      <c r="E44" s="111" t="inlineStr">
        <is>
          <t>Occupancy table above shows the return at 65-85%.</t>
        </is>
      </c>
      <c r="F44" s="110" t="n"/>
      <c r="G44" s="110" t="n"/>
      <c r="H44" s="110" t="n"/>
      <c r="I44" s="110" t="n"/>
      <c r="J44" s="110" t="n"/>
      <c r="K44" s="110" t="n"/>
      <c r="L44" s="110" t="n"/>
      <c r="M44" s="110" t="n"/>
      <c r="N44" s="110" t="n"/>
      <c r="O44" s="110" t="n"/>
      <c r="P44" s="110" t="n"/>
      <c r="Q44" s="110" t="n"/>
      <c r="R44" s="110" t="n"/>
      <c r="S44" s="110" t="n"/>
      <c r="T44" s="110" t="n"/>
      <c r="U44" s="110" t="n"/>
      <c r="V44" s="110" t="n"/>
      <c r="W44" s="110" t="n"/>
    </row>
    <row r="45" ht="41.4" customHeight="1" s="313">
      <c r="A45" s="111" t="inlineStr">
        <is>
          <t>Winchester expansion optional</t>
        </is>
      </c>
      <c r="B45" s="318" t="inlineStr">
        <is>
          <t>Timing/cost risk affects Year 1/2 cashflow only when Winchester expansion is set to Y on Control.</t>
        </is>
      </c>
      <c r="E45" s="111" t="inlineStr">
        <is>
          <t>Construction capex and revenue are gated by Control!B7; if N, sensitivity engine excludes Winchester.</t>
        </is>
      </c>
      <c r="F45" s="110" t="n"/>
      <c r="G45" s="110" t="n"/>
      <c r="H45" s="110" t="n"/>
      <c r="I45" s="110" t="n"/>
      <c r="J45" s="110" t="n"/>
      <c r="K45" s="110" t="n"/>
      <c r="L45" s="110" t="n"/>
      <c r="M45" s="110" t="n"/>
      <c r="N45" s="110" t="n"/>
      <c r="O45" s="110" t="n"/>
      <c r="P45" s="110" t="n"/>
      <c r="Q45" s="110" t="n"/>
      <c r="R45" s="110" t="n"/>
      <c r="S45" s="110" t="n"/>
      <c r="T45" s="110" t="n"/>
      <c r="U45" s="110" t="n"/>
      <c r="V45" s="110" t="n"/>
      <c r="W45" s="110" t="n"/>
    </row>
    <row r="46">
      <c r="A46" s="111" t="inlineStr">
        <is>
          <t>Exit growth assumption</t>
        </is>
      </c>
      <c r="B46" s="318" t="inlineStr">
        <is>
          <t>Exit NAV grows at the property value growth p.a. assumption (Control!B70); a large part of total return.</t>
        </is>
      </c>
      <c r="E46" s="111" t="inlineStr">
        <is>
          <t>Exit-growth table above shows the return at 0-9%.</t>
        </is>
      </c>
      <c r="F46" s="110" t="n"/>
      <c r="G46" s="110" t="n"/>
      <c r="H46" s="110" t="n"/>
      <c r="I46" s="110" t="n"/>
      <c r="J46" s="110" t="n"/>
      <c r="K46" s="110" t="n"/>
      <c r="L46" s="110" t="n"/>
      <c r="M46" s="110" t="n"/>
      <c r="N46" s="110" t="n"/>
      <c r="O46" s="110" t="n"/>
      <c r="P46" s="110" t="n"/>
      <c r="Q46" s="110" t="n"/>
      <c r="R46" s="110" t="n"/>
      <c r="S46" s="110" t="n"/>
      <c r="T46" s="110" t="n"/>
      <c r="U46" s="110" t="n"/>
      <c r="V46" s="110" t="n"/>
      <c r="W46" s="110" t="n"/>
    </row>
    <row r="47">
      <c r="A47" s="110" t="n"/>
      <c r="B47" s="110" t="n"/>
      <c r="C47" s="110" t="n"/>
      <c r="D47" s="110" t="n"/>
      <c r="E47" s="110" t="n"/>
      <c r="F47" s="110" t="n"/>
      <c r="G47" s="110" t="n"/>
      <c r="H47" s="110" t="n"/>
      <c r="I47" s="110" t="n"/>
      <c r="J47" s="110" t="n"/>
      <c r="K47" s="110" t="n"/>
      <c r="L47" s="110" t="n"/>
      <c r="M47" s="110" t="n"/>
      <c r="N47" s="110" t="n"/>
      <c r="O47" s="110" t="n"/>
      <c r="P47" s="110" t="n"/>
      <c r="Q47" s="110" t="n"/>
      <c r="R47" s="110" t="n"/>
      <c r="S47" s="110" t="n"/>
      <c r="T47" s="110" t="n"/>
      <c r="U47" s="110" t="n"/>
      <c r="V47" s="110" t="n"/>
      <c r="W47" s="110" t="n"/>
    </row>
    <row r="48">
      <c r="A48" s="110" t="n"/>
      <c r="B48" s="110" t="n"/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110" t="n"/>
      <c r="N48" s="110" t="n"/>
      <c r="O48" s="110" t="n"/>
      <c r="P48" s="110" t="n"/>
      <c r="Q48" s="110" t="n"/>
      <c r="R48" s="110" t="n"/>
      <c r="S48" s="110" t="n"/>
      <c r="T48" s="110" t="n"/>
      <c r="U48" s="110" t="n"/>
      <c r="V48" s="110" t="n"/>
      <c r="W48" s="110" t="n"/>
    </row>
    <row r="49">
      <c r="A49" s="146" t="inlineStr">
        <is>
          <t>— live calculation engine below (safe to ignore / can be hidden) —</t>
        </is>
      </c>
      <c r="B49" s="110" t="n"/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110" t="n"/>
      <c r="N49" s="110" t="n"/>
      <c r="O49" s="110" t="n"/>
      <c r="P49" s="110" t="n"/>
      <c r="Q49" s="110" t="n"/>
      <c r="R49" s="110" t="n"/>
      <c r="S49" s="110" t="n"/>
      <c r="T49" s="110" t="n"/>
      <c r="U49" s="110" t="n"/>
      <c r="V49" s="110" t="n"/>
      <c r="W49" s="110" t="n"/>
    </row>
    <row r="50">
      <c r="A50" s="110" t="n"/>
      <c r="B50" s="110" t="n"/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110" t="n"/>
      <c r="N50" s="110" t="n"/>
      <c r="O50" s="110" t="n"/>
      <c r="P50" s="110" t="n"/>
      <c r="Q50" s="110" t="n"/>
      <c r="R50" s="110" t="n"/>
      <c r="S50" s="110" t="n"/>
      <c r="T50" s="110" t="n"/>
      <c r="U50" s="110" t="n"/>
      <c r="V50" s="110" t="n"/>
      <c r="W50" s="110" t="n"/>
    </row>
    <row r="51">
      <c r="A51" s="110" t="inlineStr">
        <is>
          <t>[calc] Occupancy 0.65 dist</t>
        </is>
      </c>
      <c r="B51" s="110" t="n"/>
      <c r="C51" s="114">
        <f>-Control!$B$15</f>
        <v/>
      </c>
      <c r="D51" s="110">
        <f>Control!$B$11*(((((((Control!$B$20*$A$7)*((Control!$B$28+Control!$B$29*(Control!$B$38-2))+(Control!$B$32+Control!$B$33*(Control!$B$38-2))+IF(AND(Control!$B$5&gt;0,Control!$B$6="Y",1&gt;=Control!$B$39),Control!$B$36,0))*POWER(1+Control!$B$17,0))+((((Control!$B$20*$A$7)*Control!$B$38*2+IF(AND(Control!$B$5&gt;0,Control!$B$6="Y",1&gt;=Control!$B$39),(Control!$B$20*$A$7)*2,0))*Control!$B$41)*(Control!$B$42+Control!$B$44)*POWER(1+Control!$B$17,0))+(Control!$B$46*POWER(1+Control!$B$17,0)))-(((Control!$B$20*$A$7)*((Control!$B$28+Control!$B$29*(Control!$B$38-2))+(Control!$B$32+Control!$B$33*(Control!$B$38-2))+IF(AND(Control!$B$5&gt;0,Control!$B$6="Y",1&gt;=Control!$B$39),Control!$B$36,0))*POWER(1+Control!$B$17,0))*Control!$B$52+(((Control!$B$20*$A$7)*Control!$B$38*2+IF(AND(Control!$B$5&gt;0,Control!$B$6="Y",1&gt;=Control!$B$39),(Control!$B$20*$A$7)*2,0))*Control!$B$41)*(Control!$B$43+Control!$B$45)*POWER(1+Control!$B$18,0)+Control!$B$47*POWER(1+Control!$B$18,0)+(Control!$B$48+Control!$B$49+Control!$B$50+Control!$B$51)*12*POWER(1+Control!$B$18,0)+((Control!$B$20*$A$7)*((Control!$B$28+Control!$B$29*(Control!$B$38-2))+(Control!$B$32+Control!$B$33*(Control!$B$38-2))+IF(AND(Control!$B$5&gt;0,Control!$B$6="Y",1&gt;=Control!$B$39),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51" s="110">
        <f>Control!$B$11*(((((((Control!$B$20*$A$7)*((Control!$B$28+Control!$B$29*(Control!$B$38-2))+(Control!$B$32+Control!$B$33*(Control!$B$38-2))+IF(AND(Control!$B$5&gt;0,Control!$B$6="Y",2&gt;=Control!$B$39),Control!$B$36,0))*POWER(1+Control!$B$17,1))+((((Control!$B$20*$A$7)*Control!$B$38*2+IF(AND(Control!$B$5&gt;0,Control!$B$6="Y",2&gt;=Control!$B$39),(Control!$B$20*$A$7)*2,0))*Control!$B$41)*(Control!$B$42+Control!$B$44)*POWER(1+Control!$B$17,1))+(Control!$B$46*POWER(1+Control!$B$17,1)))-(((Control!$B$20*$A$7)*((Control!$B$28+Control!$B$29*(Control!$B$38-2))+(Control!$B$32+Control!$B$33*(Control!$B$38-2))+IF(AND(Control!$B$5&gt;0,Control!$B$6="Y",2&gt;=Control!$B$39),Control!$B$36,0))*POWER(1+Control!$B$17,1))*Control!$B$52+(((Control!$B$20*$A$7)*Control!$B$38*2+IF(AND(Control!$B$5&gt;0,Control!$B$6="Y",2&gt;=Control!$B$39),(Control!$B$20*$A$7)*2,0))*Control!$B$41)*(Control!$B$43+Control!$B$45)*POWER(1+Control!$B$18,1)+Control!$B$47*POWER(1+Control!$B$18,1)+(Control!$B$48+Control!$B$49+Control!$B$50+Control!$B$51)*12*POWER(1+Control!$B$18,1)+((Control!$B$20*$A$7)*((Control!$B$28+Control!$B$29*(Control!$B$38-2))+(Control!$B$32+Control!$B$33*(Control!$B$38-2))+IF(AND(Control!$B$5&gt;0,Control!$B$6="Y",2&gt;=Control!$B$39),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51" s="110">
        <f>Control!$B$11*(((((((Control!$B$20*$A$7)*((Control!$B$28+Control!$B$29*(Control!$B$38-2))+(Control!$B$32+Control!$B$33*(Control!$B$38-2))+IF(AND(Control!$B$5&gt;0,Control!$B$6="Y",3&gt;=Control!$B$39),Control!$B$36,0))*POWER(1+Control!$B$17,2))+((((Control!$B$20*$A$7)*Control!$B$38*2+IF(AND(Control!$B$5&gt;0,Control!$B$6="Y",3&gt;=Control!$B$39),(Control!$B$20*$A$7)*2,0))*Control!$B$41)*(Control!$B$42+Control!$B$44)*POWER(1+Control!$B$17,2))+(Control!$B$46*POWER(1+Control!$B$17,2)))-(((Control!$B$20*$A$7)*((Control!$B$28+Control!$B$29*(Control!$B$38-2))+(Control!$B$32+Control!$B$33*(Control!$B$38-2))+IF(AND(Control!$B$5&gt;0,Control!$B$6="Y",3&gt;=Control!$B$39),Control!$B$36,0))*POWER(1+Control!$B$17,2))*Control!$B$52+(((Control!$B$20*$A$7)*Control!$B$38*2+IF(AND(Control!$B$5&gt;0,Control!$B$6="Y",3&gt;=Control!$B$39),(Control!$B$20*$A$7)*2,0))*Control!$B$41)*(Control!$B$43+Control!$B$45)*POWER(1+Control!$B$18,2)+Control!$B$47*POWER(1+Control!$B$18,2)+(Control!$B$48+Control!$B$49+Control!$B$50+Control!$B$51)*12*POWER(1+Control!$B$18,2)+((Control!$B$20*$A$7)*((Control!$B$28+Control!$B$29*(Control!$B$38-2))+(Control!$B$32+Control!$B$33*(Control!$B$38-2))+IF(AND(Control!$B$5&gt;0,Control!$B$6="Y",3&gt;=Control!$B$39),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51" s="110">
        <f>Control!$B$11*(((((((Control!$B$20*$A$7)*((Control!$B$28+Control!$B$29*(Control!$B$38-2))+(Control!$B$32+Control!$B$33*(Control!$B$38-2))+IF(AND(Control!$B$5&gt;0,Control!$B$6="Y",4&gt;=Control!$B$39),Control!$B$36,0))*POWER(1+Control!$B$17,3))+((((Control!$B$20*$A$7)*Control!$B$38*2+IF(AND(Control!$B$5&gt;0,Control!$B$6="Y",4&gt;=Control!$B$39),(Control!$B$20*$A$7)*2,0))*Control!$B$41)*(Control!$B$42+Control!$B$44)*POWER(1+Control!$B$17,3))+(Control!$B$46*POWER(1+Control!$B$17,3)))-(((Control!$B$20*$A$7)*((Control!$B$28+Control!$B$29*(Control!$B$38-2))+(Control!$B$32+Control!$B$33*(Control!$B$38-2))+IF(AND(Control!$B$5&gt;0,Control!$B$6="Y",4&gt;=Control!$B$39),Control!$B$36,0))*POWER(1+Control!$B$17,3))*Control!$B$52+(((Control!$B$20*$A$7)*Control!$B$38*2+IF(AND(Control!$B$5&gt;0,Control!$B$6="Y",4&gt;=Control!$B$39),(Control!$B$20*$A$7)*2,0))*Control!$B$41)*(Control!$B$43+Control!$B$45)*POWER(1+Control!$B$18,3)+Control!$B$47*POWER(1+Control!$B$18,3)+(Control!$B$48+Control!$B$49+Control!$B$50+Control!$B$51)*12*POWER(1+Control!$B$18,3)+((Control!$B$20*$A$7)*((Control!$B$28+Control!$B$29*(Control!$B$38-2))+(Control!$B$32+Control!$B$33*(Control!$B$38-2))+IF(AND(Control!$B$5&gt;0,Control!$B$6="Y",4&gt;=Control!$B$39),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51" s="110">
        <f>Control!$B$11*(((((((Control!$B$20*$A$7)*((Control!$B$28+Control!$B$29*(Control!$B$38-2))+(Control!$B$32+Control!$B$33*(Control!$B$38-2))+IF(AND(Control!$B$5&gt;0,Control!$B$6="Y",5&gt;=Control!$B$39),Control!$B$36,0))*POWER(1+Control!$B$17,4))+((((Control!$B$20*$A$7)*Control!$B$38*2+IF(AND(Control!$B$5&gt;0,Control!$B$6="Y",5&gt;=Control!$B$39),(Control!$B$20*$A$7)*2,0))*Control!$B$41)*(Control!$B$42+Control!$B$44)*POWER(1+Control!$B$17,4))+(Control!$B$46*POWER(1+Control!$B$17,4)))-(((Control!$B$20*$A$7)*((Control!$B$28+Control!$B$29*(Control!$B$38-2))+(Control!$B$32+Control!$B$33*(Control!$B$38-2))+IF(AND(Control!$B$5&gt;0,Control!$B$6="Y",5&gt;=Control!$B$39),Control!$B$36,0))*POWER(1+Control!$B$17,4))*Control!$B$52+(((Control!$B$20*$A$7)*Control!$B$38*2+IF(AND(Control!$B$5&gt;0,Control!$B$6="Y",5&gt;=Control!$B$39),(Control!$B$20*$A$7)*2,0))*Control!$B$41)*(Control!$B$43+Control!$B$45)*POWER(1+Control!$B$18,4)+Control!$B$47*POWER(1+Control!$B$18,4)+(Control!$B$48+Control!$B$49+Control!$B$50+Control!$B$51)*12*POWER(1+Control!$B$18,4)+((Control!$B$20*$A$7)*((Control!$B$28+Control!$B$29*(Control!$B$38-2))+(Control!$B$32+Control!$B$33*(Control!$B$38-2))+IF(AND(Control!$B$5&gt;0,Control!$B$6="Y",5&gt;=Control!$B$39),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51" s="110">
        <f>Control!$B$11*(((((((Control!$B$20*$A$7)*((Control!$B$28+Control!$B$29*(Control!$B$38-2))+(Control!$B$32+Control!$B$33*(Control!$B$38-2))+IF(AND(Control!$B$5&gt;0,Control!$B$6="Y",6&gt;=Control!$B$39),Control!$B$36,0))*POWER(1+Control!$B$17,5))+((((Control!$B$20*$A$7)*Control!$B$38*2+IF(AND(Control!$B$5&gt;0,Control!$B$6="Y",6&gt;=Control!$B$39),(Control!$B$20*$A$7)*2,0))*Control!$B$41)*(Control!$B$42+Control!$B$44)*POWER(1+Control!$B$17,5))+(Control!$B$46*POWER(1+Control!$B$17,5)))-(((Control!$B$20*$A$7)*((Control!$B$28+Control!$B$29*(Control!$B$38-2))+(Control!$B$32+Control!$B$33*(Control!$B$38-2))+IF(AND(Control!$B$5&gt;0,Control!$B$6="Y",6&gt;=Control!$B$39),Control!$B$36,0))*POWER(1+Control!$B$17,5))*Control!$B$52+(((Control!$B$20*$A$7)*Control!$B$38*2+IF(AND(Control!$B$5&gt;0,Control!$B$6="Y",6&gt;=Control!$B$39),(Control!$B$20*$A$7)*2,0))*Control!$B$41)*(Control!$B$43+Control!$B$45)*POWER(1+Control!$B$18,5)+Control!$B$47*POWER(1+Control!$B$18,5)+(Control!$B$48+Control!$B$49+Control!$B$50+Control!$B$51)*12*POWER(1+Control!$B$18,5)+((Control!$B$20*$A$7)*((Control!$B$28+Control!$B$29*(Control!$B$38-2))+(Control!$B$32+Control!$B$33*(Control!$B$38-2))+IF(AND(Control!$B$5&gt;0,Control!$B$6="Y",6&gt;=Control!$B$39),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51" s="110">
        <f>Control!$B$11*(((((((Control!$B$20*$A$7)*((Control!$B$28+Control!$B$29*(Control!$B$38-2))+(Control!$B$32+Control!$B$33*(Control!$B$38-2))+IF(AND(Control!$B$5&gt;0,Control!$B$6="Y",7&gt;=Control!$B$39),Control!$B$36,0))*POWER(1+Control!$B$17,6))+((((Control!$B$20*$A$7)*Control!$B$38*2+IF(AND(Control!$B$5&gt;0,Control!$B$6="Y",7&gt;=Control!$B$39),(Control!$B$20*$A$7)*2,0))*Control!$B$41)*(Control!$B$42+Control!$B$44)*POWER(1+Control!$B$17,6))+(Control!$B$46*POWER(1+Control!$B$17,6)))-(((Control!$B$20*$A$7)*((Control!$B$28+Control!$B$29*(Control!$B$38-2))+(Control!$B$32+Control!$B$33*(Control!$B$38-2))+IF(AND(Control!$B$5&gt;0,Control!$B$6="Y",7&gt;=Control!$B$39),Control!$B$36,0))*POWER(1+Control!$B$17,6))*Control!$B$52+(((Control!$B$20*$A$7)*Control!$B$38*2+IF(AND(Control!$B$5&gt;0,Control!$B$6="Y",7&gt;=Control!$B$39),(Control!$B$20*$A$7)*2,0))*Control!$B$41)*(Control!$B$43+Control!$B$45)*POWER(1+Control!$B$18,6)+Control!$B$47*POWER(1+Control!$B$18,6)+(Control!$B$48+Control!$B$49+Control!$B$50+Control!$B$51)*12*POWER(1+Control!$B$18,6)+((Control!$B$20*$A$7)*((Control!$B$28+Control!$B$29*(Control!$B$38-2))+(Control!$B$32+Control!$B$33*(Control!$B$38-2))+IF(AND(Control!$B$5&gt;0,Control!$B$6="Y",7&gt;=Control!$B$39),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51" s="110">
        <f>Control!$B$11*(((((((Control!$B$20*$A$7)*((Control!$B$28+Control!$B$29*(Control!$B$38-2))+(Control!$B$32+Control!$B$33*(Control!$B$38-2))+IF(AND(Control!$B$5&gt;0,Control!$B$6="Y",8&gt;=Control!$B$39),Control!$B$36,0))*POWER(1+Control!$B$17,7))+((((Control!$B$20*$A$7)*Control!$B$38*2+IF(AND(Control!$B$5&gt;0,Control!$B$6="Y",8&gt;=Control!$B$39),(Control!$B$20*$A$7)*2,0))*Control!$B$41)*(Control!$B$42+Control!$B$44)*POWER(1+Control!$B$17,7))+(Control!$B$46*POWER(1+Control!$B$17,7)))-(((Control!$B$20*$A$7)*((Control!$B$28+Control!$B$29*(Control!$B$38-2))+(Control!$B$32+Control!$B$33*(Control!$B$38-2))+IF(AND(Control!$B$5&gt;0,Control!$B$6="Y",8&gt;=Control!$B$39),Control!$B$36,0))*POWER(1+Control!$B$17,7))*Control!$B$52+(((Control!$B$20*$A$7)*Control!$B$38*2+IF(AND(Control!$B$5&gt;0,Control!$B$6="Y",8&gt;=Control!$B$39),(Control!$B$20*$A$7)*2,0))*Control!$B$41)*(Control!$B$43+Control!$B$45)*POWER(1+Control!$B$18,7)+Control!$B$47*POWER(1+Control!$B$18,7)+(Control!$B$48+Control!$B$49+Control!$B$50+Control!$B$51)*12*POWER(1+Control!$B$18,7)+((Control!$B$20*$A$7)*((Control!$B$28+Control!$B$29*(Control!$B$38-2))+(Control!$B$32+Control!$B$33*(Control!$B$38-2))+IF(AND(Control!$B$5&gt;0,Control!$B$6="Y",8&gt;=Control!$B$39),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51" s="110">
        <f>Control!$B$11*(((((((Control!$B$20*$A$7)*((Control!$B$28+Control!$B$29*(Control!$B$38-2))+(Control!$B$32+Control!$B$33*(Control!$B$38-2))+IF(AND(Control!$B$5&gt;0,Control!$B$6="Y",9&gt;=Control!$B$39),Control!$B$36,0))*POWER(1+Control!$B$17,8))+((((Control!$B$20*$A$7)*Control!$B$38*2+IF(AND(Control!$B$5&gt;0,Control!$B$6="Y",9&gt;=Control!$B$39),(Control!$B$20*$A$7)*2,0))*Control!$B$41)*(Control!$B$42+Control!$B$44)*POWER(1+Control!$B$17,8))+(Control!$B$46*POWER(1+Control!$B$17,8)))-(((Control!$B$20*$A$7)*((Control!$B$28+Control!$B$29*(Control!$B$38-2))+(Control!$B$32+Control!$B$33*(Control!$B$38-2))+IF(AND(Control!$B$5&gt;0,Control!$B$6="Y",9&gt;=Control!$B$39),Control!$B$36,0))*POWER(1+Control!$B$17,8))*Control!$B$52+(((Control!$B$20*$A$7)*Control!$B$38*2+IF(AND(Control!$B$5&gt;0,Control!$B$6="Y",9&gt;=Control!$B$39),(Control!$B$20*$A$7)*2,0))*Control!$B$41)*(Control!$B$43+Control!$B$45)*POWER(1+Control!$B$18,8)+Control!$B$47*POWER(1+Control!$B$18,8)+(Control!$B$48+Control!$B$49+Control!$B$50+Control!$B$51)*12*POWER(1+Control!$B$18,8)+((Control!$B$20*$A$7)*((Control!$B$28+Control!$B$29*(Control!$B$38-2))+(Control!$B$32+Control!$B$33*(Control!$B$38-2))+IF(AND(Control!$B$5&gt;0,Control!$B$6="Y",9&gt;=Control!$B$39),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51" s="110">
        <f>Control!$B$11*(((((((Control!$B$20*$A$7)*((Control!$B$28+Control!$B$29*(Control!$B$38-2))+(Control!$B$32+Control!$B$33*(Control!$B$38-2))+IF(AND(Control!$B$5&gt;0,Control!$B$6="Y",10&gt;=Control!$B$39),Control!$B$36,0))*POWER(1+Control!$B$17,9))+((((Control!$B$20*$A$7)*Control!$B$38*2+IF(AND(Control!$B$5&gt;0,Control!$B$6="Y",10&gt;=Control!$B$39),(Control!$B$20*$A$7)*2,0))*Control!$B$41)*(Control!$B$42+Control!$B$44)*POWER(1+Control!$B$17,9))+(Control!$B$46*POWER(1+Control!$B$17,9)))-(((Control!$B$20*$A$7)*((Control!$B$28+Control!$B$29*(Control!$B$38-2))+(Control!$B$32+Control!$B$33*(Control!$B$38-2))+IF(AND(Control!$B$5&gt;0,Control!$B$6="Y",10&gt;=Control!$B$39),Control!$B$36,0))*POWER(1+Control!$B$17,9))*Control!$B$52+(((Control!$B$20*$A$7)*Control!$B$38*2+IF(AND(Control!$B$5&gt;0,Control!$B$6="Y",10&gt;=Control!$B$39),(Control!$B$20*$A$7)*2,0))*Control!$B$41)*(Control!$B$43+Control!$B$45)*POWER(1+Control!$B$18,9)+Control!$B$47*POWER(1+Control!$B$18,9)+(Control!$B$48+Control!$B$49+Control!$B$50+Control!$B$51)*12*POWER(1+Control!$B$18,9)+((Control!$B$20*$A$7)*((Control!$B$28+Control!$B$29*(Control!$B$38-2))+(Control!$B$32+Control!$B$33*(Control!$B$38-2))+IF(AND(Control!$B$5&gt;0,Control!$B$6="Y",10&gt;=Control!$B$39),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51" s="110">
        <f>Control!$B$11*(((((((Control!$B$20*$A$7)*((Control!$B$28+Control!$B$29*(Control!$B$38-2))+(Control!$B$32+Control!$B$33*(Control!$B$38-2))+IF(AND(Control!$B$5&gt;0,Control!$B$6="Y",11&gt;=Control!$B$39),Control!$B$36,0))*POWER(1+Control!$B$17,10))+((((Control!$B$20*$A$7)*Control!$B$38*2+IF(AND(Control!$B$5&gt;0,Control!$B$6="Y",11&gt;=Control!$B$39),(Control!$B$20*$A$7)*2,0))*Control!$B$41)*(Control!$B$42+Control!$B$44)*POWER(1+Control!$B$17,10))+(Control!$B$46*POWER(1+Control!$B$17,10)))-(((Control!$B$20*$A$7)*((Control!$B$28+Control!$B$29*(Control!$B$38-2))+(Control!$B$32+Control!$B$33*(Control!$B$38-2))+IF(AND(Control!$B$5&gt;0,Control!$B$6="Y",11&gt;=Control!$B$39),Control!$B$36,0))*POWER(1+Control!$B$17,10))*Control!$B$52+(((Control!$B$20*$A$7)*Control!$B$38*2+IF(AND(Control!$B$5&gt;0,Control!$B$6="Y",11&gt;=Control!$B$39),(Control!$B$20*$A$7)*2,0))*Control!$B$41)*(Control!$B$43+Control!$B$45)*POWER(1+Control!$B$18,10)+Control!$B$47*POWER(1+Control!$B$18,10)+(Control!$B$48+Control!$B$49+Control!$B$50+Control!$B$51)*12*POWER(1+Control!$B$18,10)+((Control!$B$20*$A$7)*((Control!$B$28+Control!$B$29*(Control!$B$38-2))+(Control!$B$32+Control!$B$33*(Control!$B$38-2))+IF(AND(Control!$B$5&gt;0,Control!$B$6="Y",11&gt;=Control!$B$39),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51" s="110">
        <f>Control!$B$11*(((((((Control!$B$20*$A$7)*((Control!$B$28+Control!$B$29*(Control!$B$38-2))+(Control!$B$32+Control!$B$33*(Control!$B$38-2))+IF(AND(Control!$B$5&gt;0,Control!$B$6="Y",12&gt;=Control!$B$39),Control!$B$36,0))*POWER(1+Control!$B$17,11))+((((Control!$B$20*$A$7)*Control!$B$38*2+IF(AND(Control!$B$5&gt;0,Control!$B$6="Y",12&gt;=Control!$B$39),(Control!$B$20*$A$7)*2,0))*Control!$B$41)*(Control!$B$42+Control!$B$44)*POWER(1+Control!$B$17,11))+(Control!$B$46*POWER(1+Control!$B$17,11)))-(((Control!$B$20*$A$7)*((Control!$B$28+Control!$B$29*(Control!$B$38-2))+(Control!$B$32+Control!$B$33*(Control!$B$38-2))+IF(AND(Control!$B$5&gt;0,Control!$B$6="Y",12&gt;=Control!$B$39),Control!$B$36,0))*POWER(1+Control!$B$17,11))*Control!$B$52+(((Control!$B$20*$A$7)*Control!$B$38*2+IF(AND(Control!$B$5&gt;0,Control!$B$6="Y",12&gt;=Control!$B$39),(Control!$B$20*$A$7)*2,0))*Control!$B$41)*(Control!$B$43+Control!$B$45)*POWER(1+Control!$B$18,11)+Control!$B$47*POWER(1+Control!$B$18,11)+(Control!$B$48+Control!$B$49+Control!$B$50+Control!$B$51)*12*POWER(1+Control!$B$18,11)+((Control!$B$20*$A$7)*((Control!$B$28+Control!$B$29*(Control!$B$38-2))+(Control!$B$32+Control!$B$33*(Control!$B$38-2))+IF(AND(Control!$B$5&gt;0,Control!$B$6="Y",12&gt;=Control!$B$39),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51" s="110">
        <f>Control!$B$11*(((((((Control!$B$20*$A$7)*((Control!$B$28+Control!$B$29*(Control!$B$38-2))+(Control!$B$32+Control!$B$33*(Control!$B$38-2))+IF(AND(Control!$B$5&gt;0,Control!$B$6="Y",13&gt;=Control!$B$39),Control!$B$36,0))*POWER(1+Control!$B$17,12))+((((Control!$B$20*$A$7)*Control!$B$38*2+IF(AND(Control!$B$5&gt;0,Control!$B$6="Y",13&gt;=Control!$B$39),(Control!$B$20*$A$7)*2,0))*Control!$B$41)*(Control!$B$42+Control!$B$44)*POWER(1+Control!$B$17,12))+(Control!$B$46*POWER(1+Control!$B$17,12)))-(((Control!$B$20*$A$7)*((Control!$B$28+Control!$B$29*(Control!$B$38-2))+(Control!$B$32+Control!$B$33*(Control!$B$38-2))+IF(AND(Control!$B$5&gt;0,Control!$B$6="Y",13&gt;=Control!$B$39),Control!$B$36,0))*POWER(1+Control!$B$17,12))*Control!$B$52+(((Control!$B$20*$A$7)*Control!$B$38*2+IF(AND(Control!$B$5&gt;0,Control!$B$6="Y",13&gt;=Control!$B$39),(Control!$B$20*$A$7)*2,0))*Control!$B$41)*(Control!$B$43+Control!$B$45)*POWER(1+Control!$B$18,12)+Control!$B$47*POWER(1+Control!$B$18,12)+(Control!$B$48+Control!$B$49+Control!$B$50+Control!$B$51)*12*POWER(1+Control!$B$18,12)+((Control!$B$20*$A$7)*((Control!$B$28+Control!$B$29*(Control!$B$38-2))+(Control!$B$32+Control!$B$33*(Control!$B$38-2))+IF(AND(Control!$B$5&gt;0,Control!$B$6="Y",13&gt;=Control!$B$39),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51" s="110">
        <f>Control!$B$11*(((((((Control!$B$20*$A$7)*((Control!$B$28+Control!$B$29*(Control!$B$38-2))+(Control!$B$32+Control!$B$33*(Control!$B$38-2))+IF(AND(Control!$B$5&gt;0,Control!$B$6="Y",14&gt;=Control!$B$39),Control!$B$36,0))*POWER(1+Control!$B$17,13))+((((Control!$B$20*$A$7)*Control!$B$38*2+IF(AND(Control!$B$5&gt;0,Control!$B$6="Y",14&gt;=Control!$B$39),(Control!$B$20*$A$7)*2,0))*Control!$B$41)*(Control!$B$42+Control!$B$44)*POWER(1+Control!$B$17,13))+(Control!$B$46*POWER(1+Control!$B$17,13)))-(((Control!$B$20*$A$7)*((Control!$B$28+Control!$B$29*(Control!$B$38-2))+(Control!$B$32+Control!$B$33*(Control!$B$38-2))+IF(AND(Control!$B$5&gt;0,Control!$B$6="Y",14&gt;=Control!$B$39),Control!$B$36,0))*POWER(1+Control!$B$17,13))*Control!$B$52+(((Control!$B$20*$A$7)*Control!$B$38*2+IF(AND(Control!$B$5&gt;0,Control!$B$6="Y",14&gt;=Control!$B$39),(Control!$B$20*$A$7)*2,0))*Control!$B$41)*(Control!$B$43+Control!$B$45)*POWER(1+Control!$B$18,13)+Control!$B$47*POWER(1+Control!$B$18,13)+(Control!$B$48+Control!$B$49+Control!$B$50+Control!$B$51)*12*POWER(1+Control!$B$18,13)+((Control!$B$20*$A$7)*((Control!$B$28+Control!$B$29*(Control!$B$38-2))+(Control!$B$32+Control!$B$33*(Control!$B$38-2))+IF(AND(Control!$B$5&gt;0,Control!$B$6="Y",14&gt;=Control!$B$39),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51" s="110">
        <f>Control!$B$11*(((((((Control!$B$20*$A$7)*((Control!$B$28+Control!$B$29*(Control!$B$38-2))+(Control!$B$32+Control!$B$33*(Control!$B$38-2))+IF(AND(Control!$B$5&gt;0,Control!$B$6="Y",15&gt;=Control!$B$39),Control!$B$36,0))*POWER(1+Control!$B$17,14))+((((Control!$B$20*$A$7)*Control!$B$38*2+IF(AND(Control!$B$5&gt;0,Control!$B$6="Y",15&gt;=Control!$B$39),(Control!$B$20*$A$7)*2,0))*Control!$B$41)*(Control!$B$42+Control!$B$44)*POWER(1+Control!$B$17,14))+(Control!$B$46*POWER(1+Control!$B$17,14)))-(((Control!$B$20*$A$7)*((Control!$B$28+Control!$B$29*(Control!$B$38-2))+(Control!$B$32+Control!$B$33*(Control!$B$38-2))+IF(AND(Control!$B$5&gt;0,Control!$B$6="Y",15&gt;=Control!$B$39),Control!$B$36,0))*POWER(1+Control!$B$17,14))*Control!$B$52+(((Control!$B$20*$A$7)*Control!$B$38*2+IF(AND(Control!$B$5&gt;0,Control!$B$6="Y",15&gt;=Control!$B$39),(Control!$B$20*$A$7)*2,0))*Control!$B$41)*(Control!$B$43+Control!$B$45)*POWER(1+Control!$B$18,14)+Control!$B$47*POWER(1+Control!$B$18,14)+(Control!$B$48+Control!$B$49+Control!$B$50+Control!$B$51)*12*POWER(1+Control!$B$18,14)+((Control!$B$20*$A$7)*((Control!$B$28+Control!$B$29*(Control!$B$38-2))+(Control!$B$32+Control!$B$33*(Control!$B$38-2))+IF(AND(Control!$B$5&gt;0,Control!$B$6="Y",15&gt;=Control!$B$39),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51" s="110">
        <f>Control!$B$11*(((((((Control!$B$20*$A$7)*((Control!$B$28+Control!$B$29*(Control!$B$38-2))+(Control!$B$32+Control!$B$33*(Control!$B$38-2))+IF(AND(Control!$B$5&gt;0,Control!$B$6="Y",16&gt;=Control!$B$39),Control!$B$36,0))*POWER(1+Control!$B$17,15))+((((Control!$B$20*$A$7)*Control!$B$38*2+IF(AND(Control!$B$5&gt;0,Control!$B$6="Y",16&gt;=Control!$B$39),(Control!$B$20*$A$7)*2,0))*Control!$B$41)*(Control!$B$42+Control!$B$44)*POWER(1+Control!$B$17,15))+(Control!$B$46*POWER(1+Control!$B$17,15)))-(((Control!$B$20*$A$7)*((Control!$B$28+Control!$B$29*(Control!$B$38-2))+(Control!$B$32+Control!$B$33*(Control!$B$38-2))+IF(AND(Control!$B$5&gt;0,Control!$B$6="Y",16&gt;=Control!$B$39),Control!$B$36,0))*POWER(1+Control!$B$17,15))*Control!$B$52+(((Control!$B$20*$A$7)*Control!$B$38*2+IF(AND(Control!$B$5&gt;0,Control!$B$6="Y",16&gt;=Control!$B$39),(Control!$B$20*$A$7)*2,0))*Control!$B$41)*(Control!$B$43+Control!$B$45)*POWER(1+Control!$B$18,15)+Control!$B$47*POWER(1+Control!$B$18,15)+(Control!$B$48+Control!$B$49+Control!$B$50+Control!$B$51)*12*POWER(1+Control!$B$18,15)+((Control!$B$20*$A$7)*((Control!$B$28+Control!$B$29*(Control!$B$38-2))+(Control!$B$32+Control!$B$33*(Control!$B$38-2))+IF(AND(Control!$B$5&gt;0,Control!$B$6="Y",16&gt;=Control!$B$39),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51" s="110">
        <f>Control!$B$11*(((((((Control!$B$20*$A$7)*((Control!$B$28+Control!$B$29*(Control!$B$38-2))+(Control!$B$32+Control!$B$33*(Control!$B$38-2))+IF(AND(Control!$B$5&gt;0,Control!$B$6="Y",17&gt;=Control!$B$39),Control!$B$36,0))*POWER(1+Control!$B$17,16))+((((Control!$B$20*$A$7)*Control!$B$38*2+IF(AND(Control!$B$5&gt;0,Control!$B$6="Y",17&gt;=Control!$B$39),(Control!$B$20*$A$7)*2,0))*Control!$B$41)*(Control!$B$42+Control!$B$44)*POWER(1+Control!$B$17,16))+(Control!$B$46*POWER(1+Control!$B$17,16)))-(((Control!$B$20*$A$7)*((Control!$B$28+Control!$B$29*(Control!$B$38-2))+(Control!$B$32+Control!$B$33*(Control!$B$38-2))+IF(AND(Control!$B$5&gt;0,Control!$B$6="Y",17&gt;=Control!$B$39),Control!$B$36,0))*POWER(1+Control!$B$17,16))*Control!$B$52+(((Control!$B$20*$A$7)*Control!$B$38*2+IF(AND(Control!$B$5&gt;0,Control!$B$6="Y",17&gt;=Control!$B$39),(Control!$B$20*$A$7)*2,0))*Control!$B$41)*(Control!$B$43+Control!$B$45)*POWER(1+Control!$B$18,16)+Control!$B$47*POWER(1+Control!$B$18,16)+(Control!$B$48+Control!$B$49+Control!$B$50+Control!$B$51)*12*POWER(1+Control!$B$18,16)+((Control!$B$20*$A$7)*((Control!$B$28+Control!$B$29*(Control!$B$38-2))+(Control!$B$32+Control!$B$33*(Control!$B$38-2))+IF(AND(Control!$B$5&gt;0,Control!$B$6="Y",17&gt;=Control!$B$39),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51" s="110">
        <f>Control!$B$11*(((((((Control!$B$20*$A$7)*((Control!$B$28+Control!$B$29*(Control!$B$38-2))+(Control!$B$32+Control!$B$33*(Control!$B$38-2))+IF(AND(Control!$B$5&gt;0,Control!$B$6="Y",18&gt;=Control!$B$39),Control!$B$36,0))*POWER(1+Control!$B$17,17))+((((Control!$B$20*$A$7)*Control!$B$38*2+IF(AND(Control!$B$5&gt;0,Control!$B$6="Y",18&gt;=Control!$B$39),(Control!$B$20*$A$7)*2,0))*Control!$B$41)*(Control!$B$42+Control!$B$44)*POWER(1+Control!$B$17,17))+(Control!$B$46*POWER(1+Control!$B$17,17)))-(((Control!$B$20*$A$7)*((Control!$B$28+Control!$B$29*(Control!$B$38-2))+(Control!$B$32+Control!$B$33*(Control!$B$38-2))+IF(AND(Control!$B$5&gt;0,Control!$B$6="Y",18&gt;=Control!$B$39),Control!$B$36,0))*POWER(1+Control!$B$17,17))*Control!$B$52+(((Control!$B$20*$A$7)*Control!$B$38*2+IF(AND(Control!$B$5&gt;0,Control!$B$6="Y",18&gt;=Control!$B$39),(Control!$B$20*$A$7)*2,0))*Control!$B$41)*(Control!$B$43+Control!$B$45)*POWER(1+Control!$B$18,17)+Control!$B$47*POWER(1+Control!$B$18,17)+(Control!$B$48+Control!$B$49+Control!$B$50+Control!$B$51)*12*POWER(1+Control!$B$18,17)+((Control!$B$20*$A$7)*((Control!$B$28+Control!$B$29*(Control!$B$38-2))+(Control!$B$32+Control!$B$33*(Control!$B$38-2))+IF(AND(Control!$B$5&gt;0,Control!$B$6="Y",18&gt;=Control!$B$39),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51" s="110">
        <f>Control!$B$11*(((((((Control!$B$20*$A$7)*((Control!$B$28+Control!$B$29*(Control!$B$38-2))+(Control!$B$32+Control!$B$33*(Control!$B$38-2))+IF(AND(Control!$B$5&gt;0,Control!$B$6="Y",19&gt;=Control!$B$39),Control!$B$36,0))*POWER(1+Control!$B$17,18))+((((Control!$B$20*$A$7)*Control!$B$38*2+IF(AND(Control!$B$5&gt;0,Control!$B$6="Y",19&gt;=Control!$B$39),(Control!$B$20*$A$7)*2,0))*Control!$B$41)*(Control!$B$42+Control!$B$44)*POWER(1+Control!$B$17,18))+(Control!$B$46*POWER(1+Control!$B$17,18)))-(((Control!$B$20*$A$7)*((Control!$B$28+Control!$B$29*(Control!$B$38-2))+(Control!$B$32+Control!$B$33*(Control!$B$38-2))+IF(AND(Control!$B$5&gt;0,Control!$B$6="Y",19&gt;=Control!$B$39),Control!$B$36,0))*POWER(1+Control!$B$17,18))*Control!$B$52+(((Control!$B$20*$A$7)*Control!$B$38*2+IF(AND(Control!$B$5&gt;0,Control!$B$6="Y",19&gt;=Control!$B$39),(Control!$B$20*$A$7)*2,0))*Control!$B$41)*(Control!$B$43+Control!$B$45)*POWER(1+Control!$B$18,18)+Control!$B$47*POWER(1+Control!$B$18,18)+(Control!$B$48+Control!$B$49+Control!$B$50+Control!$B$51)*12*POWER(1+Control!$B$18,18)+((Control!$B$20*$A$7)*((Control!$B$28+Control!$B$29*(Control!$B$38-2))+(Control!$B$32+Control!$B$33*(Control!$B$38-2))+IF(AND(Control!$B$5&gt;0,Control!$B$6="Y",19&gt;=Control!$B$39),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51" s="110">
        <f>Control!$B$11*(((((((Control!$B$20*$A$7)*((Control!$B$28+Control!$B$29*(Control!$B$38-2))+(Control!$B$32+Control!$B$33*(Control!$B$38-2))+IF(AND(Control!$B$5&gt;0,Control!$B$6="Y",20&gt;=Control!$B$39),Control!$B$36,0))*POWER(1+Control!$B$17,19))+((((Control!$B$20*$A$7)*Control!$B$38*2+IF(AND(Control!$B$5&gt;0,Control!$B$6="Y",20&gt;=Control!$B$39),(Control!$B$20*$A$7)*2,0))*Control!$B$41)*(Control!$B$42+Control!$B$44)*POWER(1+Control!$B$17,19))+(Control!$B$46*POWER(1+Control!$B$17,19)))-(((Control!$B$20*$A$7)*((Control!$B$28+Control!$B$29*(Control!$B$38-2))+(Control!$B$32+Control!$B$33*(Control!$B$38-2))+IF(AND(Control!$B$5&gt;0,Control!$B$6="Y",20&gt;=Control!$B$39),Control!$B$36,0))*POWER(1+Control!$B$17,19))*Control!$B$52+(((Control!$B$20*$A$7)*Control!$B$38*2+IF(AND(Control!$B$5&gt;0,Control!$B$6="Y",20&gt;=Control!$B$39),(Control!$B$20*$A$7)*2,0))*Control!$B$41)*(Control!$B$43+Control!$B$45)*POWER(1+Control!$B$18,19)+Control!$B$47*POWER(1+Control!$B$18,19)+(Control!$B$48+Control!$B$49+Control!$B$50+Control!$B$51)*12*POWER(1+Control!$B$18,19)+((Control!$B$20*$A$7)*((Control!$B$28+Control!$B$29*(Control!$B$38-2))+(Control!$B$32+Control!$B$33*(Control!$B$38-2))+IF(AND(Control!$B$5&gt;0,Control!$B$6="Y",20&gt;=Control!$B$39),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52">
      <c r="A52" s="110" t="inlineStr">
        <is>
          <t>[calc] Occupancy 0.65 cum</t>
        </is>
      </c>
      <c r="B52" s="110" t="n"/>
      <c r="C52" s="110" t="n"/>
      <c r="D52" s="110">
        <f>D51</f>
        <v/>
      </c>
      <c r="E52" s="110">
        <f>D52+E51</f>
        <v/>
      </c>
      <c r="F52" s="110">
        <f>E52+F51</f>
        <v/>
      </c>
      <c r="G52" s="110">
        <f>F52+G51</f>
        <v/>
      </c>
      <c r="H52" s="110">
        <f>G52+H51</f>
        <v/>
      </c>
      <c r="I52" s="110">
        <f>H52+I51</f>
        <v/>
      </c>
      <c r="J52" s="110">
        <f>I52+J51</f>
        <v/>
      </c>
      <c r="K52" s="110">
        <f>J52+K51</f>
        <v/>
      </c>
      <c r="L52" s="110">
        <f>K52+L51</f>
        <v/>
      </c>
      <c r="M52" s="110">
        <f>L52+M51</f>
        <v/>
      </c>
      <c r="N52" s="110">
        <f>M52+N51</f>
        <v/>
      </c>
      <c r="O52" s="110">
        <f>N52+O51</f>
        <v/>
      </c>
      <c r="P52" s="110">
        <f>O52+P51</f>
        <v/>
      </c>
      <c r="Q52" s="110">
        <f>P52+Q51</f>
        <v/>
      </c>
      <c r="R52" s="110">
        <f>Q52+R51</f>
        <v/>
      </c>
      <c r="S52" s="110">
        <f>R52+S51</f>
        <v/>
      </c>
      <c r="T52" s="110">
        <f>S52+T51</f>
        <v/>
      </c>
      <c r="U52" s="110">
        <f>T52+U51</f>
        <v/>
      </c>
      <c r="V52" s="110">
        <f>U52+V51</f>
        <v/>
      </c>
      <c r="W52" s="110" t="n"/>
    </row>
    <row r="53">
      <c r="A53" s="110" t="inlineStr">
        <is>
          <t>[calc] Occupancy 0.7 dist</t>
        </is>
      </c>
      <c r="B53" s="110" t="n"/>
      <c r="C53" s="114">
        <f>-Control!$B$15</f>
        <v/>
      </c>
      <c r="D53" s="110">
        <f>Control!$B$11*(((((((Control!$B$20*$A$8)*((Control!$B$28+Control!$B$29*(Control!$B$38-2))+(Control!$B$32+Control!$B$33*(Control!$B$38-2))+IF(AND(Control!$B$5&gt;0,Control!$B$6="Y",1&gt;=Control!$B$39),Control!$B$36,0))*POWER(1+Control!$B$17,0))+((((Control!$B$20*$A$8)*Control!$B$38*2+IF(AND(Control!$B$5&gt;0,Control!$B$6="Y",1&gt;=Control!$B$39),(Control!$B$20*$A$8)*2,0))*Control!$B$41)*(Control!$B$42+Control!$B$44)*POWER(1+Control!$B$17,0))+(Control!$B$46*POWER(1+Control!$B$17,0)))-(((Control!$B$20*$A$8)*((Control!$B$28+Control!$B$29*(Control!$B$38-2))+(Control!$B$32+Control!$B$33*(Control!$B$38-2))+IF(AND(Control!$B$5&gt;0,Control!$B$6="Y",1&gt;=Control!$B$39),Control!$B$36,0))*POWER(1+Control!$B$17,0))*Control!$B$52+(((Control!$B$20*$A$8)*Control!$B$38*2+IF(AND(Control!$B$5&gt;0,Control!$B$6="Y",1&gt;=Control!$B$39),(Control!$B$20*$A$8)*2,0))*Control!$B$41)*(Control!$B$43+Control!$B$45)*POWER(1+Control!$B$18,0)+Control!$B$47*POWER(1+Control!$B$18,0)+(Control!$B$48+Control!$B$49+Control!$B$50+Control!$B$51)*12*POWER(1+Control!$B$18,0)+((Control!$B$20*$A$8)*((Control!$B$28+Control!$B$29*(Control!$B$38-2))+(Control!$B$32+Control!$B$33*(Control!$B$38-2))+IF(AND(Control!$B$5&gt;0,Control!$B$6="Y",1&gt;=Control!$B$39),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53" s="110">
        <f>Control!$B$11*(((((((Control!$B$20*$A$8)*((Control!$B$28+Control!$B$29*(Control!$B$38-2))+(Control!$B$32+Control!$B$33*(Control!$B$38-2))+IF(AND(Control!$B$5&gt;0,Control!$B$6="Y",2&gt;=Control!$B$39),Control!$B$36,0))*POWER(1+Control!$B$17,1))+((((Control!$B$20*$A$8)*Control!$B$38*2+IF(AND(Control!$B$5&gt;0,Control!$B$6="Y",2&gt;=Control!$B$39),(Control!$B$20*$A$8)*2,0))*Control!$B$41)*(Control!$B$42+Control!$B$44)*POWER(1+Control!$B$17,1))+(Control!$B$46*POWER(1+Control!$B$17,1)))-(((Control!$B$20*$A$8)*((Control!$B$28+Control!$B$29*(Control!$B$38-2))+(Control!$B$32+Control!$B$33*(Control!$B$38-2))+IF(AND(Control!$B$5&gt;0,Control!$B$6="Y",2&gt;=Control!$B$39),Control!$B$36,0))*POWER(1+Control!$B$17,1))*Control!$B$52+(((Control!$B$20*$A$8)*Control!$B$38*2+IF(AND(Control!$B$5&gt;0,Control!$B$6="Y",2&gt;=Control!$B$39),(Control!$B$20*$A$8)*2,0))*Control!$B$41)*(Control!$B$43+Control!$B$45)*POWER(1+Control!$B$18,1)+Control!$B$47*POWER(1+Control!$B$18,1)+(Control!$B$48+Control!$B$49+Control!$B$50+Control!$B$51)*12*POWER(1+Control!$B$18,1)+((Control!$B$20*$A$8)*((Control!$B$28+Control!$B$29*(Control!$B$38-2))+(Control!$B$32+Control!$B$33*(Control!$B$38-2))+IF(AND(Control!$B$5&gt;0,Control!$B$6="Y",2&gt;=Control!$B$39),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53" s="110">
        <f>Control!$B$11*(((((((Control!$B$20*$A$8)*((Control!$B$28+Control!$B$29*(Control!$B$38-2))+(Control!$B$32+Control!$B$33*(Control!$B$38-2))+IF(AND(Control!$B$5&gt;0,Control!$B$6="Y",3&gt;=Control!$B$39),Control!$B$36,0))*POWER(1+Control!$B$17,2))+((((Control!$B$20*$A$8)*Control!$B$38*2+IF(AND(Control!$B$5&gt;0,Control!$B$6="Y",3&gt;=Control!$B$39),(Control!$B$20*$A$8)*2,0))*Control!$B$41)*(Control!$B$42+Control!$B$44)*POWER(1+Control!$B$17,2))+(Control!$B$46*POWER(1+Control!$B$17,2)))-(((Control!$B$20*$A$8)*((Control!$B$28+Control!$B$29*(Control!$B$38-2))+(Control!$B$32+Control!$B$33*(Control!$B$38-2))+IF(AND(Control!$B$5&gt;0,Control!$B$6="Y",3&gt;=Control!$B$39),Control!$B$36,0))*POWER(1+Control!$B$17,2))*Control!$B$52+(((Control!$B$20*$A$8)*Control!$B$38*2+IF(AND(Control!$B$5&gt;0,Control!$B$6="Y",3&gt;=Control!$B$39),(Control!$B$20*$A$8)*2,0))*Control!$B$41)*(Control!$B$43+Control!$B$45)*POWER(1+Control!$B$18,2)+Control!$B$47*POWER(1+Control!$B$18,2)+(Control!$B$48+Control!$B$49+Control!$B$50+Control!$B$51)*12*POWER(1+Control!$B$18,2)+((Control!$B$20*$A$8)*((Control!$B$28+Control!$B$29*(Control!$B$38-2))+(Control!$B$32+Control!$B$33*(Control!$B$38-2))+IF(AND(Control!$B$5&gt;0,Control!$B$6="Y",3&gt;=Control!$B$39),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53" s="110">
        <f>Control!$B$11*(((((((Control!$B$20*$A$8)*((Control!$B$28+Control!$B$29*(Control!$B$38-2))+(Control!$B$32+Control!$B$33*(Control!$B$38-2))+IF(AND(Control!$B$5&gt;0,Control!$B$6="Y",4&gt;=Control!$B$39),Control!$B$36,0))*POWER(1+Control!$B$17,3))+((((Control!$B$20*$A$8)*Control!$B$38*2+IF(AND(Control!$B$5&gt;0,Control!$B$6="Y",4&gt;=Control!$B$39),(Control!$B$20*$A$8)*2,0))*Control!$B$41)*(Control!$B$42+Control!$B$44)*POWER(1+Control!$B$17,3))+(Control!$B$46*POWER(1+Control!$B$17,3)))-(((Control!$B$20*$A$8)*((Control!$B$28+Control!$B$29*(Control!$B$38-2))+(Control!$B$32+Control!$B$33*(Control!$B$38-2))+IF(AND(Control!$B$5&gt;0,Control!$B$6="Y",4&gt;=Control!$B$39),Control!$B$36,0))*POWER(1+Control!$B$17,3))*Control!$B$52+(((Control!$B$20*$A$8)*Control!$B$38*2+IF(AND(Control!$B$5&gt;0,Control!$B$6="Y",4&gt;=Control!$B$39),(Control!$B$20*$A$8)*2,0))*Control!$B$41)*(Control!$B$43+Control!$B$45)*POWER(1+Control!$B$18,3)+Control!$B$47*POWER(1+Control!$B$18,3)+(Control!$B$48+Control!$B$49+Control!$B$50+Control!$B$51)*12*POWER(1+Control!$B$18,3)+((Control!$B$20*$A$8)*((Control!$B$28+Control!$B$29*(Control!$B$38-2))+(Control!$B$32+Control!$B$33*(Control!$B$38-2))+IF(AND(Control!$B$5&gt;0,Control!$B$6="Y",4&gt;=Control!$B$39),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53" s="110">
        <f>Control!$B$11*(((((((Control!$B$20*$A$8)*((Control!$B$28+Control!$B$29*(Control!$B$38-2))+(Control!$B$32+Control!$B$33*(Control!$B$38-2))+IF(AND(Control!$B$5&gt;0,Control!$B$6="Y",5&gt;=Control!$B$39),Control!$B$36,0))*POWER(1+Control!$B$17,4))+((((Control!$B$20*$A$8)*Control!$B$38*2+IF(AND(Control!$B$5&gt;0,Control!$B$6="Y",5&gt;=Control!$B$39),(Control!$B$20*$A$8)*2,0))*Control!$B$41)*(Control!$B$42+Control!$B$44)*POWER(1+Control!$B$17,4))+(Control!$B$46*POWER(1+Control!$B$17,4)))-(((Control!$B$20*$A$8)*((Control!$B$28+Control!$B$29*(Control!$B$38-2))+(Control!$B$32+Control!$B$33*(Control!$B$38-2))+IF(AND(Control!$B$5&gt;0,Control!$B$6="Y",5&gt;=Control!$B$39),Control!$B$36,0))*POWER(1+Control!$B$17,4))*Control!$B$52+(((Control!$B$20*$A$8)*Control!$B$38*2+IF(AND(Control!$B$5&gt;0,Control!$B$6="Y",5&gt;=Control!$B$39),(Control!$B$20*$A$8)*2,0))*Control!$B$41)*(Control!$B$43+Control!$B$45)*POWER(1+Control!$B$18,4)+Control!$B$47*POWER(1+Control!$B$18,4)+(Control!$B$48+Control!$B$49+Control!$B$50+Control!$B$51)*12*POWER(1+Control!$B$18,4)+((Control!$B$20*$A$8)*((Control!$B$28+Control!$B$29*(Control!$B$38-2))+(Control!$B$32+Control!$B$33*(Control!$B$38-2))+IF(AND(Control!$B$5&gt;0,Control!$B$6="Y",5&gt;=Control!$B$39),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53" s="110">
        <f>Control!$B$11*(((((((Control!$B$20*$A$8)*((Control!$B$28+Control!$B$29*(Control!$B$38-2))+(Control!$B$32+Control!$B$33*(Control!$B$38-2))+IF(AND(Control!$B$5&gt;0,Control!$B$6="Y",6&gt;=Control!$B$39),Control!$B$36,0))*POWER(1+Control!$B$17,5))+((((Control!$B$20*$A$8)*Control!$B$38*2+IF(AND(Control!$B$5&gt;0,Control!$B$6="Y",6&gt;=Control!$B$39),(Control!$B$20*$A$8)*2,0))*Control!$B$41)*(Control!$B$42+Control!$B$44)*POWER(1+Control!$B$17,5))+(Control!$B$46*POWER(1+Control!$B$17,5)))-(((Control!$B$20*$A$8)*((Control!$B$28+Control!$B$29*(Control!$B$38-2))+(Control!$B$32+Control!$B$33*(Control!$B$38-2))+IF(AND(Control!$B$5&gt;0,Control!$B$6="Y",6&gt;=Control!$B$39),Control!$B$36,0))*POWER(1+Control!$B$17,5))*Control!$B$52+(((Control!$B$20*$A$8)*Control!$B$38*2+IF(AND(Control!$B$5&gt;0,Control!$B$6="Y",6&gt;=Control!$B$39),(Control!$B$20*$A$8)*2,0))*Control!$B$41)*(Control!$B$43+Control!$B$45)*POWER(1+Control!$B$18,5)+Control!$B$47*POWER(1+Control!$B$18,5)+(Control!$B$48+Control!$B$49+Control!$B$50+Control!$B$51)*12*POWER(1+Control!$B$18,5)+((Control!$B$20*$A$8)*((Control!$B$28+Control!$B$29*(Control!$B$38-2))+(Control!$B$32+Control!$B$33*(Control!$B$38-2))+IF(AND(Control!$B$5&gt;0,Control!$B$6="Y",6&gt;=Control!$B$39),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53" s="110">
        <f>Control!$B$11*(((((((Control!$B$20*$A$8)*((Control!$B$28+Control!$B$29*(Control!$B$38-2))+(Control!$B$32+Control!$B$33*(Control!$B$38-2))+IF(AND(Control!$B$5&gt;0,Control!$B$6="Y",7&gt;=Control!$B$39),Control!$B$36,0))*POWER(1+Control!$B$17,6))+((((Control!$B$20*$A$8)*Control!$B$38*2+IF(AND(Control!$B$5&gt;0,Control!$B$6="Y",7&gt;=Control!$B$39),(Control!$B$20*$A$8)*2,0))*Control!$B$41)*(Control!$B$42+Control!$B$44)*POWER(1+Control!$B$17,6))+(Control!$B$46*POWER(1+Control!$B$17,6)))-(((Control!$B$20*$A$8)*((Control!$B$28+Control!$B$29*(Control!$B$38-2))+(Control!$B$32+Control!$B$33*(Control!$B$38-2))+IF(AND(Control!$B$5&gt;0,Control!$B$6="Y",7&gt;=Control!$B$39),Control!$B$36,0))*POWER(1+Control!$B$17,6))*Control!$B$52+(((Control!$B$20*$A$8)*Control!$B$38*2+IF(AND(Control!$B$5&gt;0,Control!$B$6="Y",7&gt;=Control!$B$39),(Control!$B$20*$A$8)*2,0))*Control!$B$41)*(Control!$B$43+Control!$B$45)*POWER(1+Control!$B$18,6)+Control!$B$47*POWER(1+Control!$B$18,6)+(Control!$B$48+Control!$B$49+Control!$B$50+Control!$B$51)*12*POWER(1+Control!$B$18,6)+((Control!$B$20*$A$8)*((Control!$B$28+Control!$B$29*(Control!$B$38-2))+(Control!$B$32+Control!$B$33*(Control!$B$38-2))+IF(AND(Control!$B$5&gt;0,Control!$B$6="Y",7&gt;=Control!$B$39),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53" s="110">
        <f>Control!$B$11*(((((((Control!$B$20*$A$8)*((Control!$B$28+Control!$B$29*(Control!$B$38-2))+(Control!$B$32+Control!$B$33*(Control!$B$38-2))+IF(AND(Control!$B$5&gt;0,Control!$B$6="Y",8&gt;=Control!$B$39),Control!$B$36,0))*POWER(1+Control!$B$17,7))+((((Control!$B$20*$A$8)*Control!$B$38*2+IF(AND(Control!$B$5&gt;0,Control!$B$6="Y",8&gt;=Control!$B$39),(Control!$B$20*$A$8)*2,0))*Control!$B$41)*(Control!$B$42+Control!$B$44)*POWER(1+Control!$B$17,7))+(Control!$B$46*POWER(1+Control!$B$17,7)))-(((Control!$B$20*$A$8)*((Control!$B$28+Control!$B$29*(Control!$B$38-2))+(Control!$B$32+Control!$B$33*(Control!$B$38-2))+IF(AND(Control!$B$5&gt;0,Control!$B$6="Y",8&gt;=Control!$B$39),Control!$B$36,0))*POWER(1+Control!$B$17,7))*Control!$B$52+(((Control!$B$20*$A$8)*Control!$B$38*2+IF(AND(Control!$B$5&gt;0,Control!$B$6="Y",8&gt;=Control!$B$39),(Control!$B$20*$A$8)*2,0))*Control!$B$41)*(Control!$B$43+Control!$B$45)*POWER(1+Control!$B$18,7)+Control!$B$47*POWER(1+Control!$B$18,7)+(Control!$B$48+Control!$B$49+Control!$B$50+Control!$B$51)*12*POWER(1+Control!$B$18,7)+((Control!$B$20*$A$8)*((Control!$B$28+Control!$B$29*(Control!$B$38-2))+(Control!$B$32+Control!$B$33*(Control!$B$38-2))+IF(AND(Control!$B$5&gt;0,Control!$B$6="Y",8&gt;=Control!$B$39),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53" s="110">
        <f>Control!$B$11*(((((((Control!$B$20*$A$8)*((Control!$B$28+Control!$B$29*(Control!$B$38-2))+(Control!$B$32+Control!$B$33*(Control!$B$38-2))+IF(AND(Control!$B$5&gt;0,Control!$B$6="Y",9&gt;=Control!$B$39),Control!$B$36,0))*POWER(1+Control!$B$17,8))+((((Control!$B$20*$A$8)*Control!$B$38*2+IF(AND(Control!$B$5&gt;0,Control!$B$6="Y",9&gt;=Control!$B$39),(Control!$B$20*$A$8)*2,0))*Control!$B$41)*(Control!$B$42+Control!$B$44)*POWER(1+Control!$B$17,8))+(Control!$B$46*POWER(1+Control!$B$17,8)))-(((Control!$B$20*$A$8)*((Control!$B$28+Control!$B$29*(Control!$B$38-2))+(Control!$B$32+Control!$B$33*(Control!$B$38-2))+IF(AND(Control!$B$5&gt;0,Control!$B$6="Y",9&gt;=Control!$B$39),Control!$B$36,0))*POWER(1+Control!$B$17,8))*Control!$B$52+(((Control!$B$20*$A$8)*Control!$B$38*2+IF(AND(Control!$B$5&gt;0,Control!$B$6="Y",9&gt;=Control!$B$39),(Control!$B$20*$A$8)*2,0))*Control!$B$41)*(Control!$B$43+Control!$B$45)*POWER(1+Control!$B$18,8)+Control!$B$47*POWER(1+Control!$B$18,8)+(Control!$B$48+Control!$B$49+Control!$B$50+Control!$B$51)*12*POWER(1+Control!$B$18,8)+((Control!$B$20*$A$8)*((Control!$B$28+Control!$B$29*(Control!$B$38-2))+(Control!$B$32+Control!$B$33*(Control!$B$38-2))+IF(AND(Control!$B$5&gt;0,Control!$B$6="Y",9&gt;=Control!$B$39),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53" s="110">
        <f>Control!$B$11*(((((((Control!$B$20*$A$8)*((Control!$B$28+Control!$B$29*(Control!$B$38-2))+(Control!$B$32+Control!$B$33*(Control!$B$38-2))+IF(AND(Control!$B$5&gt;0,Control!$B$6="Y",10&gt;=Control!$B$39),Control!$B$36,0))*POWER(1+Control!$B$17,9))+((((Control!$B$20*$A$8)*Control!$B$38*2+IF(AND(Control!$B$5&gt;0,Control!$B$6="Y",10&gt;=Control!$B$39),(Control!$B$20*$A$8)*2,0))*Control!$B$41)*(Control!$B$42+Control!$B$44)*POWER(1+Control!$B$17,9))+(Control!$B$46*POWER(1+Control!$B$17,9)))-(((Control!$B$20*$A$8)*((Control!$B$28+Control!$B$29*(Control!$B$38-2))+(Control!$B$32+Control!$B$33*(Control!$B$38-2))+IF(AND(Control!$B$5&gt;0,Control!$B$6="Y",10&gt;=Control!$B$39),Control!$B$36,0))*POWER(1+Control!$B$17,9))*Control!$B$52+(((Control!$B$20*$A$8)*Control!$B$38*2+IF(AND(Control!$B$5&gt;0,Control!$B$6="Y",10&gt;=Control!$B$39),(Control!$B$20*$A$8)*2,0))*Control!$B$41)*(Control!$B$43+Control!$B$45)*POWER(1+Control!$B$18,9)+Control!$B$47*POWER(1+Control!$B$18,9)+(Control!$B$48+Control!$B$49+Control!$B$50+Control!$B$51)*12*POWER(1+Control!$B$18,9)+((Control!$B$20*$A$8)*((Control!$B$28+Control!$B$29*(Control!$B$38-2))+(Control!$B$32+Control!$B$33*(Control!$B$38-2))+IF(AND(Control!$B$5&gt;0,Control!$B$6="Y",10&gt;=Control!$B$39),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53" s="110">
        <f>Control!$B$11*(((((((Control!$B$20*$A$8)*((Control!$B$28+Control!$B$29*(Control!$B$38-2))+(Control!$B$32+Control!$B$33*(Control!$B$38-2))+IF(AND(Control!$B$5&gt;0,Control!$B$6="Y",11&gt;=Control!$B$39),Control!$B$36,0))*POWER(1+Control!$B$17,10))+((((Control!$B$20*$A$8)*Control!$B$38*2+IF(AND(Control!$B$5&gt;0,Control!$B$6="Y",11&gt;=Control!$B$39),(Control!$B$20*$A$8)*2,0))*Control!$B$41)*(Control!$B$42+Control!$B$44)*POWER(1+Control!$B$17,10))+(Control!$B$46*POWER(1+Control!$B$17,10)))-(((Control!$B$20*$A$8)*((Control!$B$28+Control!$B$29*(Control!$B$38-2))+(Control!$B$32+Control!$B$33*(Control!$B$38-2))+IF(AND(Control!$B$5&gt;0,Control!$B$6="Y",11&gt;=Control!$B$39),Control!$B$36,0))*POWER(1+Control!$B$17,10))*Control!$B$52+(((Control!$B$20*$A$8)*Control!$B$38*2+IF(AND(Control!$B$5&gt;0,Control!$B$6="Y",11&gt;=Control!$B$39),(Control!$B$20*$A$8)*2,0))*Control!$B$41)*(Control!$B$43+Control!$B$45)*POWER(1+Control!$B$18,10)+Control!$B$47*POWER(1+Control!$B$18,10)+(Control!$B$48+Control!$B$49+Control!$B$50+Control!$B$51)*12*POWER(1+Control!$B$18,10)+((Control!$B$20*$A$8)*((Control!$B$28+Control!$B$29*(Control!$B$38-2))+(Control!$B$32+Control!$B$33*(Control!$B$38-2))+IF(AND(Control!$B$5&gt;0,Control!$B$6="Y",11&gt;=Control!$B$39),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53" s="110">
        <f>Control!$B$11*(((((((Control!$B$20*$A$8)*((Control!$B$28+Control!$B$29*(Control!$B$38-2))+(Control!$B$32+Control!$B$33*(Control!$B$38-2))+IF(AND(Control!$B$5&gt;0,Control!$B$6="Y",12&gt;=Control!$B$39),Control!$B$36,0))*POWER(1+Control!$B$17,11))+((((Control!$B$20*$A$8)*Control!$B$38*2+IF(AND(Control!$B$5&gt;0,Control!$B$6="Y",12&gt;=Control!$B$39),(Control!$B$20*$A$8)*2,0))*Control!$B$41)*(Control!$B$42+Control!$B$44)*POWER(1+Control!$B$17,11))+(Control!$B$46*POWER(1+Control!$B$17,11)))-(((Control!$B$20*$A$8)*((Control!$B$28+Control!$B$29*(Control!$B$38-2))+(Control!$B$32+Control!$B$33*(Control!$B$38-2))+IF(AND(Control!$B$5&gt;0,Control!$B$6="Y",12&gt;=Control!$B$39),Control!$B$36,0))*POWER(1+Control!$B$17,11))*Control!$B$52+(((Control!$B$20*$A$8)*Control!$B$38*2+IF(AND(Control!$B$5&gt;0,Control!$B$6="Y",12&gt;=Control!$B$39),(Control!$B$20*$A$8)*2,0))*Control!$B$41)*(Control!$B$43+Control!$B$45)*POWER(1+Control!$B$18,11)+Control!$B$47*POWER(1+Control!$B$18,11)+(Control!$B$48+Control!$B$49+Control!$B$50+Control!$B$51)*12*POWER(1+Control!$B$18,11)+((Control!$B$20*$A$8)*((Control!$B$28+Control!$B$29*(Control!$B$38-2))+(Control!$B$32+Control!$B$33*(Control!$B$38-2))+IF(AND(Control!$B$5&gt;0,Control!$B$6="Y",12&gt;=Control!$B$39),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53" s="110">
        <f>Control!$B$11*(((((((Control!$B$20*$A$8)*((Control!$B$28+Control!$B$29*(Control!$B$38-2))+(Control!$B$32+Control!$B$33*(Control!$B$38-2))+IF(AND(Control!$B$5&gt;0,Control!$B$6="Y",13&gt;=Control!$B$39),Control!$B$36,0))*POWER(1+Control!$B$17,12))+((((Control!$B$20*$A$8)*Control!$B$38*2+IF(AND(Control!$B$5&gt;0,Control!$B$6="Y",13&gt;=Control!$B$39),(Control!$B$20*$A$8)*2,0))*Control!$B$41)*(Control!$B$42+Control!$B$44)*POWER(1+Control!$B$17,12))+(Control!$B$46*POWER(1+Control!$B$17,12)))-(((Control!$B$20*$A$8)*((Control!$B$28+Control!$B$29*(Control!$B$38-2))+(Control!$B$32+Control!$B$33*(Control!$B$38-2))+IF(AND(Control!$B$5&gt;0,Control!$B$6="Y",13&gt;=Control!$B$39),Control!$B$36,0))*POWER(1+Control!$B$17,12))*Control!$B$52+(((Control!$B$20*$A$8)*Control!$B$38*2+IF(AND(Control!$B$5&gt;0,Control!$B$6="Y",13&gt;=Control!$B$39),(Control!$B$20*$A$8)*2,0))*Control!$B$41)*(Control!$B$43+Control!$B$45)*POWER(1+Control!$B$18,12)+Control!$B$47*POWER(1+Control!$B$18,12)+(Control!$B$48+Control!$B$49+Control!$B$50+Control!$B$51)*12*POWER(1+Control!$B$18,12)+((Control!$B$20*$A$8)*((Control!$B$28+Control!$B$29*(Control!$B$38-2))+(Control!$B$32+Control!$B$33*(Control!$B$38-2))+IF(AND(Control!$B$5&gt;0,Control!$B$6="Y",13&gt;=Control!$B$39),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53" s="110">
        <f>Control!$B$11*(((((((Control!$B$20*$A$8)*((Control!$B$28+Control!$B$29*(Control!$B$38-2))+(Control!$B$32+Control!$B$33*(Control!$B$38-2))+IF(AND(Control!$B$5&gt;0,Control!$B$6="Y",14&gt;=Control!$B$39),Control!$B$36,0))*POWER(1+Control!$B$17,13))+((((Control!$B$20*$A$8)*Control!$B$38*2+IF(AND(Control!$B$5&gt;0,Control!$B$6="Y",14&gt;=Control!$B$39),(Control!$B$20*$A$8)*2,0))*Control!$B$41)*(Control!$B$42+Control!$B$44)*POWER(1+Control!$B$17,13))+(Control!$B$46*POWER(1+Control!$B$17,13)))-(((Control!$B$20*$A$8)*((Control!$B$28+Control!$B$29*(Control!$B$38-2))+(Control!$B$32+Control!$B$33*(Control!$B$38-2))+IF(AND(Control!$B$5&gt;0,Control!$B$6="Y",14&gt;=Control!$B$39),Control!$B$36,0))*POWER(1+Control!$B$17,13))*Control!$B$52+(((Control!$B$20*$A$8)*Control!$B$38*2+IF(AND(Control!$B$5&gt;0,Control!$B$6="Y",14&gt;=Control!$B$39),(Control!$B$20*$A$8)*2,0))*Control!$B$41)*(Control!$B$43+Control!$B$45)*POWER(1+Control!$B$18,13)+Control!$B$47*POWER(1+Control!$B$18,13)+(Control!$B$48+Control!$B$49+Control!$B$50+Control!$B$51)*12*POWER(1+Control!$B$18,13)+((Control!$B$20*$A$8)*((Control!$B$28+Control!$B$29*(Control!$B$38-2))+(Control!$B$32+Control!$B$33*(Control!$B$38-2))+IF(AND(Control!$B$5&gt;0,Control!$B$6="Y",14&gt;=Control!$B$39),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53" s="110">
        <f>Control!$B$11*(((((((Control!$B$20*$A$8)*((Control!$B$28+Control!$B$29*(Control!$B$38-2))+(Control!$B$32+Control!$B$33*(Control!$B$38-2))+IF(AND(Control!$B$5&gt;0,Control!$B$6="Y",15&gt;=Control!$B$39),Control!$B$36,0))*POWER(1+Control!$B$17,14))+((((Control!$B$20*$A$8)*Control!$B$38*2+IF(AND(Control!$B$5&gt;0,Control!$B$6="Y",15&gt;=Control!$B$39),(Control!$B$20*$A$8)*2,0))*Control!$B$41)*(Control!$B$42+Control!$B$44)*POWER(1+Control!$B$17,14))+(Control!$B$46*POWER(1+Control!$B$17,14)))-(((Control!$B$20*$A$8)*((Control!$B$28+Control!$B$29*(Control!$B$38-2))+(Control!$B$32+Control!$B$33*(Control!$B$38-2))+IF(AND(Control!$B$5&gt;0,Control!$B$6="Y",15&gt;=Control!$B$39),Control!$B$36,0))*POWER(1+Control!$B$17,14))*Control!$B$52+(((Control!$B$20*$A$8)*Control!$B$38*2+IF(AND(Control!$B$5&gt;0,Control!$B$6="Y",15&gt;=Control!$B$39),(Control!$B$20*$A$8)*2,0))*Control!$B$41)*(Control!$B$43+Control!$B$45)*POWER(1+Control!$B$18,14)+Control!$B$47*POWER(1+Control!$B$18,14)+(Control!$B$48+Control!$B$49+Control!$B$50+Control!$B$51)*12*POWER(1+Control!$B$18,14)+((Control!$B$20*$A$8)*((Control!$B$28+Control!$B$29*(Control!$B$38-2))+(Control!$B$32+Control!$B$33*(Control!$B$38-2))+IF(AND(Control!$B$5&gt;0,Control!$B$6="Y",15&gt;=Control!$B$39),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53" s="110">
        <f>Control!$B$11*(((((((Control!$B$20*$A$8)*((Control!$B$28+Control!$B$29*(Control!$B$38-2))+(Control!$B$32+Control!$B$33*(Control!$B$38-2))+IF(AND(Control!$B$5&gt;0,Control!$B$6="Y",16&gt;=Control!$B$39),Control!$B$36,0))*POWER(1+Control!$B$17,15))+((((Control!$B$20*$A$8)*Control!$B$38*2+IF(AND(Control!$B$5&gt;0,Control!$B$6="Y",16&gt;=Control!$B$39),(Control!$B$20*$A$8)*2,0))*Control!$B$41)*(Control!$B$42+Control!$B$44)*POWER(1+Control!$B$17,15))+(Control!$B$46*POWER(1+Control!$B$17,15)))-(((Control!$B$20*$A$8)*((Control!$B$28+Control!$B$29*(Control!$B$38-2))+(Control!$B$32+Control!$B$33*(Control!$B$38-2))+IF(AND(Control!$B$5&gt;0,Control!$B$6="Y",16&gt;=Control!$B$39),Control!$B$36,0))*POWER(1+Control!$B$17,15))*Control!$B$52+(((Control!$B$20*$A$8)*Control!$B$38*2+IF(AND(Control!$B$5&gt;0,Control!$B$6="Y",16&gt;=Control!$B$39),(Control!$B$20*$A$8)*2,0))*Control!$B$41)*(Control!$B$43+Control!$B$45)*POWER(1+Control!$B$18,15)+Control!$B$47*POWER(1+Control!$B$18,15)+(Control!$B$48+Control!$B$49+Control!$B$50+Control!$B$51)*12*POWER(1+Control!$B$18,15)+((Control!$B$20*$A$8)*((Control!$B$28+Control!$B$29*(Control!$B$38-2))+(Control!$B$32+Control!$B$33*(Control!$B$38-2))+IF(AND(Control!$B$5&gt;0,Control!$B$6="Y",16&gt;=Control!$B$39),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53" s="110">
        <f>Control!$B$11*(((((((Control!$B$20*$A$8)*((Control!$B$28+Control!$B$29*(Control!$B$38-2))+(Control!$B$32+Control!$B$33*(Control!$B$38-2))+IF(AND(Control!$B$5&gt;0,Control!$B$6="Y",17&gt;=Control!$B$39),Control!$B$36,0))*POWER(1+Control!$B$17,16))+((((Control!$B$20*$A$8)*Control!$B$38*2+IF(AND(Control!$B$5&gt;0,Control!$B$6="Y",17&gt;=Control!$B$39),(Control!$B$20*$A$8)*2,0))*Control!$B$41)*(Control!$B$42+Control!$B$44)*POWER(1+Control!$B$17,16))+(Control!$B$46*POWER(1+Control!$B$17,16)))-(((Control!$B$20*$A$8)*((Control!$B$28+Control!$B$29*(Control!$B$38-2))+(Control!$B$32+Control!$B$33*(Control!$B$38-2))+IF(AND(Control!$B$5&gt;0,Control!$B$6="Y",17&gt;=Control!$B$39),Control!$B$36,0))*POWER(1+Control!$B$17,16))*Control!$B$52+(((Control!$B$20*$A$8)*Control!$B$38*2+IF(AND(Control!$B$5&gt;0,Control!$B$6="Y",17&gt;=Control!$B$39),(Control!$B$20*$A$8)*2,0))*Control!$B$41)*(Control!$B$43+Control!$B$45)*POWER(1+Control!$B$18,16)+Control!$B$47*POWER(1+Control!$B$18,16)+(Control!$B$48+Control!$B$49+Control!$B$50+Control!$B$51)*12*POWER(1+Control!$B$18,16)+((Control!$B$20*$A$8)*((Control!$B$28+Control!$B$29*(Control!$B$38-2))+(Control!$B$32+Control!$B$33*(Control!$B$38-2))+IF(AND(Control!$B$5&gt;0,Control!$B$6="Y",17&gt;=Control!$B$39),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53" s="110">
        <f>Control!$B$11*(((((((Control!$B$20*$A$8)*((Control!$B$28+Control!$B$29*(Control!$B$38-2))+(Control!$B$32+Control!$B$33*(Control!$B$38-2))+IF(AND(Control!$B$5&gt;0,Control!$B$6="Y",18&gt;=Control!$B$39),Control!$B$36,0))*POWER(1+Control!$B$17,17))+((((Control!$B$20*$A$8)*Control!$B$38*2+IF(AND(Control!$B$5&gt;0,Control!$B$6="Y",18&gt;=Control!$B$39),(Control!$B$20*$A$8)*2,0))*Control!$B$41)*(Control!$B$42+Control!$B$44)*POWER(1+Control!$B$17,17))+(Control!$B$46*POWER(1+Control!$B$17,17)))-(((Control!$B$20*$A$8)*((Control!$B$28+Control!$B$29*(Control!$B$38-2))+(Control!$B$32+Control!$B$33*(Control!$B$38-2))+IF(AND(Control!$B$5&gt;0,Control!$B$6="Y",18&gt;=Control!$B$39),Control!$B$36,0))*POWER(1+Control!$B$17,17))*Control!$B$52+(((Control!$B$20*$A$8)*Control!$B$38*2+IF(AND(Control!$B$5&gt;0,Control!$B$6="Y",18&gt;=Control!$B$39),(Control!$B$20*$A$8)*2,0))*Control!$B$41)*(Control!$B$43+Control!$B$45)*POWER(1+Control!$B$18,17)+Control!$B$47*POWER(1+Control!$B$18,17)+(Control!$B$48+Control!$B$49+Control!$B$50+Control!$B$51)*12*POWER(1+Control!$B$18,17)+((Control!$B$20*$A$8)*((Control!$B$28+Control!$B$29*(Control!$B$38-2))+(Control!$B$32+Control!$B$33*(Control!$B$38-2))+IF(AND(Control!$B$5&gt;0,Control!$B$6="Y",18&gt;=Control!$B$39),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53" s="110">
        <f>Control!$B$11*(((((((Control!$B$20*$A$8)*((Control!$B$28+Control!$B$29*(Control!$B$38-2))+(Control!$B$32+Control!$B$33*(Control!$B$38-2))+IF(AND(Control!$B$5&gt;0,Control!$B$6="Y",19&gt;=Control!$B$39),Control!$B$36,0))*POWER(1+Control!$B$17,18))+((((Control!$B$20*$A$8)*Control!$B$38*2+IF(AND(Control!$B$5&gt;0,Control!$B$6="Y",19&gt;=Control!$B$39),(Control!$B$20*$A$8)*2,0))*Control!$B$41)*(Control!$B$42+Control!$B$44)*POWER(1+Control!$B$17,18))+(Control!$B$46*POWER(1+Control!$B$17,18)))-(((Control!$B$20*$A$8)*((Control!$B$28+Control!$B$29*(Control!$B$38-2))+(Control!$B$32+Control!$B$33*(Control!$B$38-2))+IF(AND(Control!$B$5&gt;0,Control!$B$6="Y",19&gt;=Control!$B$39),Control!$B$36,0))*POWER(1+Control!$B$17,18))*Control!$B$52+(((Control!$B$20*$A$8)*Control!$B$38*2+IF(AND(Control!$B$5&gt;0,Control!$B$6="Y",19&gt;=Control!$B$39),(Control!$B$20*$A$8)*2,0))*Control!$B$41)*(Control!$B$43+Control!$B$45)*POWER(1+Control!$B$18,18)+Control!$B$47*POWER(1+Control!$B$18,18)+(Control!$B$48+Control!$B$49+Control!$B$50+Control!$B$51)*12*POWER(1+Control!$B$18,18)+((Control!$B$20*$A$8)*((Control!$B$28+Control!$B$29*(Control!$B$38-2))+(Control!$B$32+Control!$B$33*(Control!$B$38-2))+IF(AND(Control!$B$5&gt;0,Control!$B$6="Y",19&gt;=Control!$B$39),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53" s="110">
        <f>Control!$B$11*(((((((Control!$B$20*$A$8)*((Control!$B$28+Control!$B$29*(Control!$B$38-2))+(Control!$B$32+Control!$B$33*(Control!$B$38-2))+IF(AND(Control!$B$5&gt;0,Control!$B$6="Y",20&gt;=Control!$B$39),Control!$B$36,0))*POWER(1+Control!$B$17,19))+((((Control!$B$20*$A$8)*Control!$B$38*2+IF(AND(Control!$B$5&gt;0,Control!$B$6="Y",20&gt;=Control!$B$39),(Control!$B$20*$A$8)*2,0))*Control!$B$41)*(Control!$B$42+Control!$B$44)*POWER(1+Control!$B$17,19))+(Control!$B$46*POWER(1+Control!$B$17,19)))-(((Control!$B$20*$A$8)*((Control!$B$28+Control!$B$29*(Control!$B$38-2))+(Control!$B$32+Control!$B$33*(Control!$B$38-2))+IF(AND(Control!$B$5&gt;0,Control!$B$6="Y",20&gt;=Control!$B$39),Control!$B$36,0))*POWER(1+Control!$B$17,19))*Control!$B$52+(((Control!$B$20*$A$8)*Control!$B$38*2+IF(AND(Control!$B$5&gt;0,Control!$B$6="Y",20&gt;=Control!$B$39),(Control!$B$20*$A$8)*2,0))*Control!$B$41)*(Control!$B$43+Control!$B$45)*POWER(1+Control!$B$18,19)+Control!$B$47*POWER(1+Control!$B$18,19)+(Control!$B$48+Control!$B$49+Control!$B$50+Control!$B$51)*12*POWER(1+Control!$B$18,19)+((Control!$B$20*$A$8)*((Control!$B$28+Control!$B$29*(Control!$B$38-2))+(Control!$B$32+Control!$B$33*(Control!$B$38-2))+IF(AND(Control!$B$5&gt;0,Control!$B$6="Y",20&gt;=Control!$B$39),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54">
      <c r="A54" s="110" t="inlineStr">
        <is>
          <t>[calc] Occupancy 0.7 cum</t>
        </is>
      </c>
      <c r="B54" s="110" t="n"/>
      <c r="C54" s="110" t="n"/>
      <c r="D54" s="110">
        <f>D53</f>
        <v/>
      </c>
      <c r="E54" s="110">
        <f>D54+E53</f>
        <v/>
      </c>
      <c r="F54" s="110">
        <f>E54+F53</f>
        <v/>
      </c>
      <c r="G54" s="110">
        <f>F54+G53</f>
        <v/>
      </c>
      <c r="H54" s="110">
        <f>G54+H53</f>
        <v/>
      </c>
      <c r="I54" s="110">
        <f>H54+I53</f>
        <v/>
      </c>
      <c r="J54" s="110">
        <f>I54+J53</f>
        <v/>
      </c>
      <c r="K54" s="110">
        <f>J54+K53</f>
        <v/>
      </c>
      <c r="L54" s="110">
        <f>K54+L53</f>
        <v/>
      </c>
      <c r="M54" s="110">
        <f>L54+M53</f>
        <v/>
      </c>
      <c r="N54" s="110">
        <f>M54+N53</f>
        <v/>
      </c>
      <c r="O54" s="110">
        <f>N54+O53</f>
        <v/>
      </c>
      <c r="P54" s="110">
        <f>O54+P53</f>
        <v/>
      </c>
      <c r="Q54" s="110">
        <f>P54+Q53</f>
        <v/>
      </c>
      <c r="R54" s="110">
        <f>Q54+R53</f>
        <v/>
      </c>
      <c r="S54" s="110">
        <f>R54+S53</f>
        <v/>
      </c>
      <c r="T54" s="110">
        <f>S54+T53</f>
        <v/>
      </c>
      <c r="U54" s="110">
        <f>T54+U53</f>
        <v/>
      </c>
      <c r="V54" s="110">
        <f>U54+V53</f>
        <v/>
      </c>
      <c r="W54" s="110" t="n"/>
    </row>
    <row r="55">
      <c r="A55" s="110" t="inlineStr">
        <is>
          <t>[calc] Occupancy 0.75 dist</t>
        </is>
      </c>
      <c r="B55" s="110" t="n"/>
      <c r="C55" s="114">
        <f>-Control!$B$15</f>
        <v/>
      </c>
      <c r="D55" s="110">
        <f>Control!$B$11*(((((((Control!$B$20*$A$9)*((Control!$B$28+Control!$B$29*(Control!$B$38-2))+(Control!$B$32+Control!$B$33*(Control!$B$38-2))+IF(AND(Control!$B$5&gt;0,Control!$B$6="Y",1&gt;=Control!$B$39),Control!$B$36,0))*POWER(1+Control!$B$17,0))+((((Control!$B$20*$A$9)*Control!$B$38*2+IF(AND(Control!$B$5&gt;0,Control!$B$6="Y",1&gt;=Control!$B$39),(Control!$B$20*$A$9)*2,0))*Control!$B$41)*(Control!$B$42+Control!$B$44)*POWER(1+Control!$B$17,0))+(Control!$B$46*POWER(1+Control!$B$17,0)))-(((Control!$B$20*$A$9)*((Control!$B$28+Control!$B$29*(Control!$B$38-2))+(Control!$B$32+Control!$B$33*(Control!$B$38-2))+IF(AND(Control!$B$5&gt;0,Control!$B$6="Y",1&gt;=Control!$B$39),Control!$B$36,0))*POWER(1+Control!$B$17,0))*Control!$B$52+(((Control!$B$20*$A$9)*Control!$B$38*2+IF(AND(Control!$B$5&gt;0,Control!$B$6="Y",1&gt;=Control!$B$39),(Control!$B$20*$A$9)*2,0))*Control!$B$41)*(Control!$B$43+Control!$B$45)*POWER(1+Control!$B$18,0)+Control!$B$47*POWER(1+Control!$B$18,0)+(Control!$B$48+Control!$B$49+Control!$B$50+Control!$B$51)*12*POWER(1+Control!$B$18,0)+((Control!$B$20*$A$9)*((Control!$B$28+Control!$B$29*(Control!$B$38-2))+(Control!$B$32+Control!$B$33*(Control!$B$38-2))+IF(AND(Control!$B$5&gt;0,Control!$B$6="Y",1&gt;=Control!$B$39),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55" s="110">
        <f>Control!$B$11*(((((((Control!$B$20*$A$9)*((Control!$B$28+Control!$B$29*(Control!$B$38-2))+(Control!$B$32+Control!$B$33*(Control!$B$38-2))+IF(AND(Control!$B$5&gt;0,Control!$B$6="Y",2&gt;=Control!$B$39),Control!$B$36,0))*POWER(1+Control!$B$17,1))+((((Control!$B$20*$A$9)*Control!$B$38*2+IF(AND(Control!$B$5&gt;0,Control!$B$6="Y",2&gt;=Control!$B$39),(Control!$B$20*$A$9)*2,0))*Control!$B$41)*(Control!$B$42+Control!$B$44)*POWER(1+Control!$B$17,1))+(Control!$B$46*POWER(1+Control!$B$17,1)))-(((Control!$B$20*$A$9)*((Control!$B$28+Control!$B$29*(Control!$B$38-2))+(Control!$B$32+Control!$B$33*(Control!$B$38-2))+IF(AND(Control!$B$5&gt;0,Control!$B$6="Y",2&gt;=Control!$B$39),Control!$B$36,0))*POWER(1+Control!$B$17,1))*Control!$B$52+(((Control!$B$20*$A$9)*Control!$B$38*2+IF(AND(Control!$B$5&gt;0,Control!$B$6="Y",2&gt;=Control!$B$39),(Control!$B$20*$A$9)*2,0))*Control!$B$41)*(Control!$B$43+Control!$B$45)*POWER(1+Control!$B$18,1)+Control!$B$47*POWER(1+Control!$B$18,1)+(Control!$B$48+Control!$B$49+Control!$B$50+Control!$B$51)*12*POWER(1+Control!$B$18,1)+((Control!$B$20*$A$9)*((Control!$B$28+Control!$B$29*(Control!$B$38-2))+(Control!$B$32+Control!$B$33*(Control!$B$38-2))+IF(AND(Control!$B$5&gt;0,Control!$B$6="Y",2&gt;=Control!$B$39),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55" s="110">
        <f>Control!$B$11*(((((((Control!$B$20*$A$9)*((Control!$B$28+Control!$B$29*(Control!$B$38-2))+(Control!$B$32+Control!$B$33*(Control!$B$38-2))+IF(AND(Control!$B$5&gt;0,Control!$B$6="Y",3&gt;=Control!$B$39),Control!$B$36,0))*POWER(1+Control!$B$17,2))+((((Control!$B$20*$A$9)*Control!$B$38*2+IF(AND(Control!$B$5&gt;0,Control!$B$6="Y",3&gt;=Control!$B$39),(Control!$B$20*$A$9)*2,0))*Control!$B$41)*(Control!$B$42+Control!$B$44)*POWER(1+Control!$B$17,2))+(Control!$B$46*POWER(1+Control!$B$17,2)))-(((Control!$B$20*$A$9)*((Control!$B$28+Control!$B$29*(Control!$B$38-2))+(Control!$B$32+Control!$B$33*(Control!$B$38-2))+IF(AND(Control!$B$5&gt;0,Control!$B$6="Y",3&gt;=Control!$B$39),Control!$B$36,0))*POWER(1+Control!$B$17,2))*Control!$B$52+(((Control!$B$20*$A$9)*Control!$B$38*2+IF(AND(Control!$B$5&gt;0,Control!$B$6="Y",3&gt;=Control!$B$39),(Control!$B$20*$A$9)*2,0))*Control!$B$41)*(Control!$B$43+Control!$B$45)*POWER(1+Control!$B$18,2)+Control!$B$47*POWER(1+Control!$B$18,2)+(Control!$B$48+Control!$B$49+Control!$B$50+Control!$B$51)*12*POWER(1+Control!$B$18,2)+((Control!$B$20*$A$9)*((Control!$B$28+Control!$B$29*(Control!$B$38-2))+(Control!$B$32+Control!$B$33*(Control!$B$38-2))+IF(AND(Control!$B$5&gt;0,Control!$B$6="Y",3&gt;=Control!$B$39),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55" s="110">
        <f>Control!$B$11*(((((((Control!$B$20*$A$9)*((Control!$B$28+Control!$B$29*(Control!$B$38-2))+(Control!$B$32+Control!$B$33*(Control!$B$38-2))+IF(AND(Control!$B$5&gt;0,Control!$B$6="Y",4&gt;=Control!$B$39),Control!$B$36,0))*POWER(1+Control!$B$17,3))+((((Control!$B$20*$A$9)*Control!$B$38*2+IF(AND(Control!$B$5&gt;0,Control!$B$6="Y",4&gt;=Control!$B$39),(Control!$B$20*$A$9)*2,0))*Control!$B$41)*(Control!$B$42+Control!$B$44)*POWER(1+Control!$B$17,3))+(Control!$B$46*POWER(1+Control!$B$17,3)))-(((Control!$B$20*$A$9)*((Control!$B$28+Control!$B$29*(Control!$B$38-2))+(Control!$B$32+Control!$B$33*(Control!$B$38-2))+IF(AND(Control!$B$5&gt;0,Control!$B$6="Y",4&gt;=Control!$B$39),Control!$B$36,0))*POWER(1+Control!$B$17,3))*Control!$B$52+(((Control!$B$20*$A$9)*Control!$B$38*2+IF(AND(Control!$B$5&gt;0,Control!$B$6="Y",4&gt;=Control!$B$39),(Control!$B$20*$A$9)*2,0))*Control!$B$41)*(Control!$B$43+Control!$B$45)*POWER(1+Control!$B$18,3)+Control!$B$47*POWER(1+Control!$B$18,3)+(Control!$B$48+Control!$B$49+Control!$B$50+Control!$B$51)*12*POWER(1+Control!$B$18,3)+((Control!$B$20*$A$9)*((Control!$B$28+Control!$B$29*(Control!$B$38-2))+(Control!$B$32+Control!$B$33*(Control!$B$38-2))+IF(AND(Control!$B$5&gt;0,Control!$B$6="Y",4&gt;=Control!$B$39),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55" s="110">
        <f>Control!$B$11*(((((((Control!$B$20*$A$9)*((Control!$B$28+Control!$B$29*(Control!$B$38-2))+(Control!$B$32+Control!$B$33*(Control!$B$38-2))+IF(AND(Control!$B$5&gt;0,Control!$B$6="Y",5&gt;=Control!$B$39),Control!$B$36,0))*POWER(1+Control!$B$17,4))+((((Control!$B$20*$A$9)*Control!$B$38*2+IF(AND(Control!$B$5&gt;0,Control!$B$6="Y",5&gt;=Control!$B$39),(Control!$B$20*$A$9)*2,0))*Control!$B$41)*(Control!$B$42+Control!$B$44)*POWER(1+Control!$B$17,4))+(Control!$B$46*POWER(1+Control!$B$17,4)))-(((Control!$B$20*$A$9)*((Control!$B$28+Control!$B$29*(Control!$B$38-2))+(Control!$B$32+Control!$B$33*(Control!$B$38-2))+IF(AND(Control!$B$5&gt;0,Control!$B$6="Y",5&gt;=Control!$B$39),Control!$B$36,0))*POWER(1+Control!$B$17,4))*Control!$B$52+(((Control!$B$20*$A$9)*Control!$B$38*2+IF(AND(Control!$B$5&gt;0,Control!$B$6="Y",5&gt;=Control!$B$39),(Control!$B$20*$A$9)*2,0))*Control!$B$41)*(Control!$B$43+Control!$B$45)*POWER(1+Control!$B$18,4)+Control!$B$47*POWER(1+Control!$B$18,4)+(Control!$B$48+Control!$B$49+Control!$B$50+Control!$B$51)*12*POWER(1+Control!$B$18,4)+((Control!$B$20*$A$9)*((Control!$B$28+Control!$B$29*(Control!$B$38-2))+(Control!$B$32+Control!$B$33*(Control!$B$38-2))+IF(AND(Control!$B$5&gt;0,Control!$B$6="Y",5&gt;=Control!$B$39),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55" s="110">
        <f>Control!$B$11*(((((((Control!$B$20*$A$9)*((Control!$B$28+Control!$B$29*(Control!$B$38-2))+(Control!$B$32+Control!$B$33*(Control!$B$38-2))+IF(AND(Control!$B$5&gt;0,Control!$B$6="Y",6&gt;=Control!$B$39),Control!$B$36,0))*POWER(1+Control!$B$17,5))+((((Control!$B$20*$A$9)*Control!$B$38*2+IF(AND(Control!$B$5&gt;0,Control!$B$6="Y",6&gt;=Control!$B$39),(Control!$B$20*$A$9)*2,0))*Control!$B$41)*(Control!$B$42+Control!$B$44)*POWER(1+Control!$B$17,5))+(Control!$B$46*POWER(1+Control!$B$17,5)))-(((Control!$B$20*$A$9)*((Control!$B$28+Control!$B$29*(Control!$B$38-2))+(Control!$B$32+Control!$B$33*(Control!$B$38-2))+IF(AND(Control!$B$5&gt;0,Control!$B$6="Y",6&gt;=Control!$B$39),Control!$B$36,0))*POWER(1+Control!$B$17,5))*Control!$B$52+(((Control!$B$20*$A$9)*Control!$B$38*2+IF(AND(Control!$B$5&gt;0,Control!$B$6="Y",6&gt;=Control!$B$39),(Control!$B$20*$A$9)*2,0))*Control!$B$41)*(Control!$B$43+Control!$B$45)*POWER(1+Control!$B$18,5)+Control!$B$47*POWER(1+Control!$B$18,5)+(Control!$B$48+Control!$B$49+Control!$B$50+Control!$B$51)*12*POWER(1+Control!$B$18,5)+((Control!$B$20*$A$9)*((Control!$B$28+Control!$B$29*(Control!$B$38-2))+(Control!$B$32+Control!$B$33*(Control!$B$38-2))+IF(AND(Control!$B$5&gt;0,Control!$B$6="Y",6&gt;=Control!$B$39),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55" s="110">
        <f>Control!$B$11*(((((((Control!$B$20*$A$9)*((Control!$B$28+Control!$B$29*(Control!$B$38-2))+(Control!$B$32+Control!$B$33*(Control!$B$38-2))+IF(AND(Control!$B$5&gt;0,Control!$B$6="Y",7&gt;=Control!$B$39),Control!$B$36,0))*POWER(1+Control!$B$17,6))+((((Control!$B$20*$A$9)*Control!$B$38*2+IF(AND(Control!$B$5&gt;0,Control!$B$6="Y",7&gt;=Control!$B$39),(Control!$B$20*$A$9)*2,0))*Control!$B$41)*(Control!$B$42+Control!$B$44)*POWER(1+Control!$B$17,6))+(Control!$B$46*POWER(1+Control!$B$17,6)))-(((Control!$B$20*$A$9)*((Control!$B$28+Control!$B$29*(Control!$B$38-2))+(Control!$B$32+Control!$B$33*(Control!$B$38-2))+IF(AND(Control!$B$5&gt;0,Control!$B$6="Y",7&gt;=Control!$B$39),Control!$B$36,0))*POWER(1+Control!$B$17,6))*Control!$B$52+(((Control!$B$20*$A$9)*Control!$B$38*2+IF(AND(Control!$B$5&gt;0,Control!$B$6="Y",7&gt;=Control!$B$39),(Control!$B$20*$A$9)*2,0))*Control!$B$41)*(Control!$B$43+Control!$B$45)*POWER(1+Control!$B$18,6)+Control!$B$47*POWER(1+Control!$B$18,6)+(Control!$B$48+Control!$B$49+Control!$B$50+Control!$B$51)*12*POWER(1+Control!$B$18,6)+((Control!$B$20*$A$9)*((Control!$B$28+Control!$B$29*(Control!$B$38-2))+(Control!$B$32+Control!$B$33*(Control!$B$38-2))+IF(AND(Control!$B$5&gt;0,Control!$B$6="Y",7&gt;=Control!$B$39),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55" s="110">
        <f>Control!$B$11*(((((((Control!$B$20*$A$9)*((Control!$B$28+Control!$B$29*(Control!$B$38-2))+(Control!$B$32+Control!$B$33*(Control!$B$38-2))+IF(AND(Control!$B$5&gt;0,Control!$B$6="Y",8&gt;=Control!$B$39),Control!$B$36,0))*POWER(1+Control!$B$17,7))+((((Control!$B$20*$A$9)*Control!$B$38*2+IF(AND(Control!$B$5&gt;0,Control!$B$6="Y",8&gt;=Control!$B$39),(Control!$B$20*$A$9)*2,0))*Control!$B$41)*(Control!$B$42+Control!$B$44)*POWER(1+Control!$B$17,7))+(Control!$B$46*POWER(1+Control!$B$17,7)))-(((Control!$B$20*$A$9)*((Control!$B$28+Control!$B$29*(Control!$B$38-2))+(Control!$B$32+Control!$B$33*(Control!$B$38-2))+IF(AND(Control!$B$5&gt;0,Control!$B$6="Y",8&gt;=Control!$B$39),Control!$B$36,0))*POWER(1+Control!$B$17,7))*Control!$B$52+(((Control!$B$20*$A$9)*Control!$B$38*2+IF(AND(Control!$B$5&gt;0,Control!$B$6="Y",8&gt;=Control!$B$39),(Control!$B$20*$A$9)*2,0))*Control!$B$41)*(Control!$B$43+Control!$B$45)*POWER(1+Control!$B$18,7)+Control!$B$47*POWER(1+Control!$B$18,7)+(Control!$B$48+Control!$B$49+Control!$B$50+Control!$B$51)*12*POWER(1+Control!$B$18,7)+((Control!$B$20*$A$9)*((Control!$B$28+Control!$B$29*(Control!$B$38-2))+(Control!$B$32+Control!$B$33*(Control!$B$38-2))+IF(AND(Control!$B$5&gt;0,Control!$B$6="Y",8&gt;=Control!$B$39),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55" s="110">
        <f>Control!$B$11*(((((((Control!$B$20*$A$9)*((Control!$B$28+Control!$B$29*(Control!$B$38-2))+(Control!$B$32+Control!$B$33*(Control!$B$38-2))+IF(AND(Control!$B$5&gt;0,Control!$B$6="Y",9&gt;=Control!$B$39),Control!$B$36,0))*POWER(1+Control!$B$17,8))+((((Control!$B$20*$A$9)*Control!$B$38*2+IF(AND(Control!$B$5&gt;0,Control!$B$6="Y",9&gt;=Control!$B$39),(Control!$B$20*$A$9)*2,0))*Control!$B$41)*(Control!$B$42+Control!$B$44)*POWER(1+Control!$B$17,8))+(Control!$B$46*POWER(1+Control!$B$17,8)))-(((Control!$B$20*$A$9)*((Control!$B$28+Control!$B$29*(Control!$B$38-2))+(Control!$B$32+Control!$B$33*(Control!$B$38-2))+IF(AND(Control!$B$5&gt;0,Control!$B$6="Y",9&gt;=Control!$B$39),Control!$B$36,0))*POWER(1+Control!$B$17,8))*Control!$B$52+(((Control!$B$20*$A$9)*Control!$B$38*2+IF(AND(Control!$B$5&gt;0,Control!$B$6="Y",9&gt;=Control!$B$39),(Control!$B$20*$A$9)*2,0))*Control!$B$41)*(Control!$B$43+Control!$B$45)*POWER(1+Control!$B$18,8)+Control!$B$47*POWER(1+Control!$B$18,8)+(Control!$B$48+Control!$B$49+Control!$B$50+Control!$B$51)*12*POWER(1+Control!$B$18,8)+((Control!$B$20*$A$9)*((Control!$B$28+Control!$B$29*(Control!$B$38-2))+(Control!$B$32+Control!$B$33*(Control!$B$38-2))+IF(AND(Control!$B$5&gt;0,Control!$B$6="Y",9&gt;=Control!$B$39),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55" s="110">
        <f>Control!$B$11*(((((((Control!$B$20*$A$9)*((Control!$B$28+Control!$B$29*(Control!$B$38-2))+(Control!$B$32+Control!$B$33*(Control!$B$38-2))+IF(AND(Control!$B$5&gt;0,Control!$B$6="Y",10&gt;=Control!$B$39),Control!$B$36,0))*POWER(1+Control!$B$17,9))+((((Control!$B$20*$A$9)*Control!$B$38*2+IF(AND(Control!$B$5&gt;0,Control!$B$6="Y",10&gt;=Control!$B$39),(Control!$B$20*$A$9)*2,0))*Control!$B$41)*(Control!$B$42+Control!$B$44)*POWER(1+Control!$B$17,9))+(Control!$B$46*POWER(1+Control!$B$17,9)))-(((Control!$B$20*$A$9)*((Control!$B$28+Control!$B$29*(Control!$B$38-2))+(Control!$B$32+Control!$B$33*(Control!$B$38-2))+IF(AND(Control!$B$5&gt;0,Control!$B$6="Y",10&gt;=Control!$B$39),Control!$B$36,0))*POWER(1+Control!$B$17,9))*Control!$B$52+(((Control!$B$20*$A$9)*Control!$B$38*2+IF(AND(Control!$B$5&gt;0,Control!$B$6="Y",10&gt;=Control!$B$39),(Control!$B$20*$A$9)*2,0))*Control!$B$41)*(Control!$B$43+Control!$B$45)*POWER(1+Control!$B$18,9)+Control!$B$47*POWER(1+Control!$B$18,9)+(Control!$B$48+Control!$B$49+Control!$B$50+Control!$B$51)*12*POWER(1+Control!$B$18,9)+((Control!$B$20*$A$9)*((Control!$B$28+Control!$B$29*(Control!$B$38-2))+(Control!$B$32+Control!$B$33*(Control!$B$38-2))+IF(AND(Control!$B$5&gt;0,Control!$B$6="Y",10&gt;=Control!$B$39),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55" s="110">
        <f>Control!$B$11*(((((((Control!$B$20*$A$9)*((Control!$B$28+Control!$B$29*(Control!$B$38-2))+(Control!$B$32+Control!$B$33*(Control!$B$38-2))+IF(AND(Control!$B$5&gt;0,Control!$B$6="Y",11&gt;=Control!$B$39),Control!$B$36,0))*POWER(1+Control!$B$17,10))+((((Control!$B$20*$A$9)*Control!$B$38*2+IF(AND(Control!$B$5&gt;0,Control!$B$6="Y",11&gt;=Control!$B$39),(Control!$B$20*$A$9)*2,0))*Control!$B$41)*(Control!$B$42+Control!$B$44)*POWER(1+Control!$B$17,10))+(Control!$B$46*POWER(1+Control!$B$17,10)))-(((Control!$B$20*$A$9)*((Control!$B$28+Control!$B$29*(Control!$B$38-2))+(Control!$B$32+Control!$B$33*(Control!$B$38-2))+IF(AND(Control!$B$5&gt;0,Control!$B$6="Y",11&gt;=Control!$B$39),Control!$B$36,0))*POWER(1+Control!$B$17,10))*Control!$B$52+(((Control!$B$20*$A$9)*Control!$B$38*2+IF(AND(Control!$B$5&gt;0,Control!$B$6="Y",11&gt;=Control!$B$39),(Control!$B$20*$A$9)*2,0))*Control!$B$41)*(Control!$B$43+Control!$B$45)*POWER(1+Control!$B$18,10)+Control!$B$47*POWER(1+Control!$B$18,10)+(Control!$B$48+Control!$B$49+Control!$B$50+Control!$B$51)*12*POWER(1+Control!$B$18,10)+((Control!$B$20*$A$9)*((Control!$B$28+Control!$B$29*(Control!$B$38-2))+(Control!$B$32+Control!$B$33*(Control!$B$38-2))+IF(AND(Control!$B$5&gt;0,Control!$B$6="Y",11&gt;=Control!$B$39),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55" s="110">
        <f>Control!$B$11*(((((((Control!$B$20*$A$9)*((Control!$B$28+Control!$B$29*(Control!$B$38-2))+(Control!$B$32+Control!$B$33*(Control!$B$38-2))+IF(AND(Control!$B$5&gt;0,Control!$B$6="Y",12&gt;=Control!$B$39),Control!$B$36,0))*POWER(1+Control!$B$17,11))+((((Control!$B$20*$A$9)*Control!$B$38*2+IF(AND(Control!$B$5&gt;0,Control!$B$6="Y",12&gt;=Control!$B$39),(Control!$B$20*$A$9)*2,0))*Control!$B$41)*(Control!$B$42+Control!$B$44)*POWER(1+Control!$B$17,11))+(Control!$B$46*POWER(1+Control!$B$17,11)))-(((Control!$B$20*$A$9)*((Control!$B$28+Control!$B$29*(Control!$B$38-2))+(Control!$B$32+Control!$B$33*(Control!$B$38-2))+IF(AND(Control!$B$5&gt;0,Control!$B$6="Y",12&gt;=Control!$B$39),Control!$B$36,0))*POWER(1+Control!$B$17,11))*Control!$B$52+(((Control!$B$20*$A$9)*Control!$B$38*2+IF(AND(Control!$B$5&gt;0,Control!$B$6="Y",12&gt;=Control!$B$39),(Control!$B$20*$A$9)*2,0))*Control!$B$41)*(Control!$B$43+Control!$B$45)*POWER(1+Control!$B$18,11)+Control!$B$47*POWER(1+Control!$B$18,11)+(Control!$B$48+Control!$B$49+Control!$B$50+Control!$B$51)*12*POWER(1+Control!$B$18,11)+((Control!$B$20*$A$9)*((Control!$B$28+Control!$B$29*(Control!$B$38-2))+(Control!$B$32+Control!$B$33*(Control!$B$38-2))+IF(AND(Control!$B$5&gt;0,Control!$B$6="Y",12&gt;=Control!$B$39),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55" s="110">
        <f>Control!$B$11*(((((((Control!$B$20*$A$9)*((Control!$B$28+Control!$B$29*(Control!$B$38-2))+(Control!$B$32+Control!$B$33*(Control!$B$38-2))+IF(AND(Control!$B$5&gt;0,Control!$B$6="Y",13&gt;=Control!$B$39),Control!$B$36,0))*POWER(1+Control!$B$17,12))+((((Control!$B$20*$A$9)*Control!$B$38*2+IF(AND(Control!$B$5&gt;0,Control!$B$6="Y",13&gt;=Control!$B$39),(Control!$B$20*$A$9)*2,0))*Control!$B$41)*(Control!$B$42+Control!$B$44)*POWER(1+Control!$B$17,12))+(Control!$B$46*POWER(1+Control!$B$17,12)))-(((Control!$B$20*$A$9)*((Control!$B$28+Control!$B$29*(Control!$B$38-2))+(Control!$B$32+Control!$B$33*(Control!$B$38-2))+IF(AND(Control!$B$5&gt;0,Control!$B$6="Y",13&gt;=Control!$B$39),Control!$B$36,0))*POWER(1+Control!$B$17,12))*Control!$B$52+(((Control!$B$20*$A$9)*Control!$B$38*2+IF(AND(Control!$B$5&gt;0,Control!$B$6="Y",13&gt;=Control!$B$39),(Control!$B$20*$A$9)*2,0))*Control!$B$41)*(Control!$B$43+Control!$B$45)*POWER(1+Control!$B$18,12)+Control!$B$47*POWER(1+Control!$B$18,12)+(Control!$B$48+Control!$B$49+Control!$B$50+Control!$B$51)*12*POWER(1+Control!$B$18,12)+((Control!$B$20*$A$9)*((Control!$B$28+Control!$B$29*(Control!$B$38-2))+(Control!$B$32+Control!$B$33*(Control!$B$38-2))+IF(AND(Control!$B$5&gt;0,Control!$B$6="Y",13&gt;=Control!$B$39),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55" s="110">
        <f>Control!$B$11*(((((((Control!$B$20*$A$9)*((Control!$B$28+Control!$B$29*(Control!$B$38-2))+(Control!$B$32+Control!$B$33*(Control!$B$38-2))+IF(AND(Control!$B$5&gt;0,Control!$B$6="Y",14&gt;=Control!$B$39),Control!$B$36,0))*POWER(1+Control!$B$17,13))+((((Control!$B$20*$A$9)*Control!$B$38*2+IF(AND(Control!$B$5&gt;0,Control!$B$6="Y",14&gt;=Control!$B$39),(Control!$B$20*$A$9)*2,0))*Control!$B$41)*(Control!$B$42+Control!$B$44)*POWER(1+Control!$B$17,13))+(Control!$B$46*POWER(1+Control!$B$17,13)))-(((Control!$B$20*$A$9)*((Control!$B$28+Control!$B$29*(Control!$B$38-2))+(Control!$B$32+Control!$B$33*(Control!$B$38-2))+IF(AND(Control!$B$5&gt;0,Control!$B$6="Y",14&gt;=Control!$B$39),Control!$B$36,0))*POWER(1+Control!$B$17,13))*Control!$B$52+(((Control!$B$20*$A$9)*Control!$B$38*2+IF(AND(Control!$B$5&gt;0,Control!$B$6="Y",14&gt;=Control!$B$39),(Control!$B$20*$A$9)*2,0))*Control!$B$41)*(Control!$B$43+Control!$B$45)*POWER(1+Control!$B$18,13)+Control!$B$47*POWER(1+Control!$B$18,13)+(Control!$B$48+Control!$B$49+Control!$B$50+Control!$B$51)*12*POWER(1+Control!$B$18,13)+((Control!$B$20*$A$9)*((Control!$B$28+Control!$B$29*(Control!$B$38-2))+(Control!$B$32+Control!$B$33*(Control!$B$38-2))+IF(AND(Control!$B$5&gt;0,Control!$B$6="Y",14&gt;=Control!$B$39),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55" s="110">
        <f>Control!$B$11*(((((((Control!$B$20*$A$9)*((Control!$B$28+Control!$B$29*(Control!$B$38-2))+(Control!$B$32+Control!$B$33*(Control!$B$38-2))+IF(AND(Control!$B$5&gt;0,Control!$B$6="Y",15&gt;=Control!$B$39),Control!$B$36,0))*POWER(1+Control!$B$17,14))+((((Control!$B$20*$A$9)*Control!$B$38*2+IF(AND(Control!$B$5&gt;0,Control!$B$6="Y",15&gt;=Control!$B$39),(Control!$B$20*$A$9)*2,0))*Control!$B$41)*(Control!$B$42+Control!$B$44)*POWER(1+Control!$B$17,14))+(Control!$B$46*POWER(1+Control!$B$17,14)))-(((Control!$B$20*$A$9)*((Control!$B$28+Control!$B$29*(Control!$B$38-2))+(Control!$B$32+Control!$B$33*(Control!$B$38-2))+IF(AND(Control!$B$5&gt;0,Control!$B$6="Y",15&gt;=Control!$B$39),Control!$B$36,0))*POWER(1+Control!$B$17,14))*Control!$B$52+(((Control!$B$20*$A$9)*Control!$B$38*2+IF(AND(Control!$B$5&gt;0,Control!$B$6="Y",15&gt;=Control!$B$39),(Control!$B$20*$A$9)*2,0))*Control!$B$41)*(Control!$B$43+Control!$B$45)*POWER(1+Control!$B$18,14)+Control!$B$47*POWER(1+Control!$B$18,14)+(Control!$B$48+Control!$B$49+Control!$B$50+Control!$B$51)*12*POWER(1+Control!$B$18,14)+((Control!$B$20*$A$9)*((Control!$B$28+Control!$B$29*(Control!$B$38-2))+(Control!$B$32+Control!$B$33*(Control!$B$38-2))+IF(AND(Control!$B$5&gt;0,Control!$B$6="Y",15&gt;=Control!$B$39),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55" s="110">
        <f>Control!$B$11*(((((((Control!$B$20*$A$9)*((Control!$B$28+Control!$B$29*(Control!$B$38-2))+(Control!$B$32+Control!$B$33*(Control!$B$38-2))+IF(AND(Control!$B$5&gt;0,Control!$B$6="Y",16&gt;=Control!$B$39),Control!$B$36,0))*POWER(1+Control!$B$17,15))+((((Control!$B$20*$A$9)*Control!$B$38*2+IF(AND(Control!$B$5&gt;0,Control!$B$6="Y",16&gt;=Control!$B$39),(Control!$B$20*$A$9)*2,0))*Control!$B$41)*(Control!$B$42+Control!$B$44)*POWER(1+Control!$B$17,15))+(Control!$B$46*POWER(1+Control!$B$17,15)))-(((Control!$B$20*$A$9)*((Control!$B$28+Control!$B$29*(Control!$B$38-2))+(Control!$B$32+Control!$B$33*(Control!$B$38-2))+IF(AND(Control!$B$5&gt;0,Control!$B$6="Y",16&gt;=Control!$B$39),Control!$B$36,0))*POWER(1+Control!$B$17,15))*Control!$B$52+(((Control!$B$20*$A$9)*Control!$B$38*2+IF(AND(Control!$B$5&gt;0,Control!$B$6="Y",16&gt;=Control!$B$39),(Control!$B$20*$A$9)*2,0))*Control!$B$41)*(Control!$B$43+Control!$B$45)*POWER(1+Control!$B$18,15)+Control!$B$47*POWER(1+Control!$B$18,15)+(Control!$B$48+Control!$B$49+Control!$B$50+Control!$B$51)*12*POWER(1+Control!$B$18,15)+((Control!$B$20*$A$9)*((Control!$B$28+Control!$B$29*(Control!$B$38-2))+(Control!$B$32+Control!$B$33*(Control!$B$38-2))+IF(AND(Control!$B$5&gt;0,Control!$B$6="Y",16&gt;=Control!$B$39),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55" s="110">
        <f>Control!$B$11*(((((((Control!$B$20*$A$9)*((Control!$B$28+Control!$B$29*(Control!$B$38-2))+(Control!$B$32+Control!$B$33*(Control!$B$38-2))+IF(AND(Control!$B$5&gt;0,Control!$B$6="Y",17&gt;=Control!$B$39),Control!$B$36,0))*POWER(1+Control!$B$17,16))+((((Control!$B$20*$A$9)*Control!$B$38*2+IF(AND(Control!$B$5&gt;0,Control!$B$6="Y",17&gt;=Control!$B$39),(Control!$B$20*$A$9)*2,0))*Control!$B$41)*(Control!$B$42+Control!$B$44)*POWER(1+Control!$B$17,16))+(Control!$B$46*POWER(1+Control!$B$17,16)))-(((Control!$B$20*$A$9)*((Control!$B$28+Control!$B$29*(Control!$B$38-2))+(Control!$B$32+Control!$B$33*(Control!$B$38-2))+IF(AND(Control!$B$5&gt;0,Control!$B$6="Y",17&gt;=Control!$B$39),Control!$B$36,0))*POWER(1+Control!$B$17,16))*Control!$B$52+(((Control!$B$20*$A$9)*Control!$B$38*2+IF(AND(Control!$B$5&gt;0,Control!$B$6="Y",17&gt;=Control!$B$39),(Control!$B$20*$A$9)*2,0))*Control!$B$41)*(Control!$B$43+Control!$B$45)*POWER(1+Control!$B$18,16)+Control!$B$47*POWER(1+Control!$B$18,16)+(Control!$B$48+Control!$B$49+Control!$B$50+Control!$B$51)*12*POWER(1+Control!$B$18,16)+((Control!$B$20*$A$9)*((Control!$B$28+Control!$B$29*(Control!$B$38-2))+(Control!$B$32+Control!$B$33*(Control!$B$38-2))+IF(AND(Control!$B$5&gt;0,Control!$B$6="Y",17&gt;=Control!$B$39),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55" s="110">
        <f>Control!$B$11*(((((((Control!$B$20*$A$9)*((Control!$B$28+Control!$B$29*(Control!$B$38-2))+(Control!$B$32+Control!$B$33*(Control!$B$38-2))+IF(AND(Control!$B$5&gt;0,Control!$B$6="Y",18&gt;=Control!$B$39),Control!$B$36,0))*POWER(1+Control!$B$17,17))+((((Control!$B$20*$A$9)*Control!$B$38*2+IF(AND(Control!$B$5&gt;0,Control!$B$6="Y",18&gt;=Control!$B$39),(Control!$B$20*$A$9)*2,0))*Control!$B$41)*(Control!$B$42+Control!$B$44)*POWER(1+Control!$B$17,17))+(Control!$B$46*POWER(1+Control!$B$17,17)))-(((Control!$B$20*$A$9)*((Control!$B$28+Control!$B$29*(Control!$B$38-2))+(Control!$B$32+Control!$B$33*(Control!$B$38-2))+IF(AND(Control!$B$5&gt;0,Control!$B$6="Y",18&gt;=Control!$B$39),Control!$B$36,0))*POWER(1+Control!$B$17,17))*Control!$B$52+(((Control!$B$20*$A$9)*Control!$B$38*2+IF(AND(Control!$B$5&gt;0,Control!$B$6="Y",18&gt;=Control!$B$39),(Control!$B$20*$A$9)*2,0))*Control!$B$41)*(Control!$B$43+Control!$B$45)*POWER(1+Control!$B$18,17)+Control!$B$47*POWER(1+Control!$B$18,17)+(Control!$B$48+Control!$B$49+Control!$B$50+Control!$B$51)*12*POWER(1+Control!$B$18,17)+((Control!$B$20*$A$9)*((Control!$B$28+Control!$B$29*(Control!$B$38-2))+(Control!$B$32+Control!$B$33*(Control!$B$38-2))+IF(AND(Control!$B$5&gt;0,Control!$B$6="Y",18&gt;=Control!$B$39),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55" s="110">
        <f>Control!$B$11*(((((((Control!$B$20*$A$9)*((Control!$B$28+Control!$B$29*(Control!$B$38-2))+(Control!$B$32+Control!$B$33*(Control!$B$38-2))+IF(AND(Control!$B$5&gt;0,Control!$B$6="Y",19&gt;=Control!$B$39),Control!$B$36,0))*POWER(1+Control!$B$17,18))+((((Control!$B$20*$A$9)*Control!$B$38*2+IF(AND(Control!$B$5&gt;0,Control!$B$6="Y",19&gt;=Control!$B$39),(Control!$B$20*$A$9)*2,0))*Control!$B$41)*(Control!$B$42+Control!$B$44)*POWER(1+Control!$B$17,18))+(Control!$B$46*POWER(1+Control!$B$17,18)))-(((Control!$B$20*$A$9)*((Control!$B$28+Control!$B$29*(Control!$B$38-2))+(Control!$B$32+Control!$B$33*(Control!$B$38-2))+IF(AND(Control!$B$5&gt;0,Control!$B$6="Y",19&gt;=Control!$B$39),Control!$B$36,0))*POWER(1+Control!$B$17,18))*Control!$B$52+(((Control!$B$20*$A$9)*Control!$B$38*2+IF(AND(Control!$B$5&gt;0,Control!$B$6="Y",19&gt;=Control!$B$39),(Control!$B$20*$A$9)*2,0))*Control!$B$41)*(Control!$B$43+Control!$B$45)*POWER(1+Control!$B$18,18)+Control!$B$47*POWER(1+Control!$B$18,18)+(Control!$B$48+Control!$B$49+Control!$B$50+Control!$B$51)*12*POWER(1+Control!$B$18,18)+((Control!$B$20*$A$9)*((Control!$B$28+Control!$B$29*(Control!$B$38-2))+(Control!$B$32+Control!$B$33*(Control!$B$38-2))+IF(AND(Control!$B$5&gt;0,Control!$B$6="Y",19&gt;=Control!$B$39),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55" s="110">
        <f>Control!$B$11*(((((((Control!$B$20*$A$9)*((Control!$B$28+Control!$B$29*(Control!$B$38-2))+(Control!$B$32+Control!$B$33*(Control!$B$38-2))+IF(AND(Control!$B$5&gt;0,Control!$B$6="Y",20&gt;=Control!$B$39),Control!$B$36,0))*POWER(1+Control!$B$17,19))+((((Control!$B$20*$A$9)*Control!$B$38*2+IF(AND(Control!$B$5&gt;0,Control!$B$6="Y",20&gt;=Control!$B$39),(Control!$B$20*$A$9)*2,0))*Control!$B$41)*(Control!$B$42+Control!$B$44)*POWER(1+Control!$B$17,19))+(Control!$B$46*POWER(1+Control!$B$17,19)))-(((Control!$B$20*$A$9)*((Control!$B$28+Control!$B$29*(Control!$B$38-2))+(Control!$B$32+Control!$B$33*(Control!$B$38-2))+IF(AND(Control!$B$5&gt;0,Control!$B$6="Y",20&gt;=Control!$B$39),Control!$B$36,0))*POWER(1+Control!$B$17,19))*Control!$B$52+(((Control!$B$20*$A$9)*Control!$B$38*2+IF(AND(Control!$B$5&gt;0,Control!$B$6="Y",20&gt;=Control!$B$39),(Control!$B$20*$A$9)*2,0))*Control!$B$41)*(Control!$B$43+Control!$B$45)*POWER(1+Control!$B$18,19)+Control!$B$47*POWER(1+Control!$B$18,19)+(Control!$B$48+Control!$B$49+Control!$B$50+Control!$B$51)*12*POWER(1+Control!$B$18,19)+((Control!$B$20*$A$9)*((Control!$B$28+Control!$B$29*(Control!$B$38-2))+(Control!$B$32+Control!$B$33*(Control!$B$38-2))+IF(AND(Control!$B$5&gt;0,Control!$B$6="Y",20&gt;=Control!$B$39),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56">
      <c r="A56" s="110" t="inlineStr">
        <is>
          <t>[calc] Occupancy 0.75 cum</t>
        </is>
      </c>
      <c r="B56" s="110" t="n"/>
      <c r="C56" s="110" t="n"/>
      <c r="D56" s="110">
        <f>D55</f>
        <v/>
      </c>
      <c r="E56" s="110">
        <f>D56+E55</f>
        <v/>
      </c>
      <c r="F56" s="110">
        <f>E56+F55</f>
        <v/>
      </c>
      <c r="G56" s="110">
        <f>F56+G55</f>
        <v/>
      </c>
      <c r="H56" s="110">
        <f>G56+H55</f>
        <v/>
      </c>
      <c r="I56" s="110">
        <f>H56+I55</f>
        <v/>
      </c>
      <c r="J56" s="110">
        <f>I56+J55</f>
        <v/>
      </c>
      <c r="K56" s="110">
        <f>J56+K55</f>
        <v/>
      </c>
      <c r="L56" s="110">
        <f>K56+L55</f>
        <v/>
      </c>
      <c r="M56" s="110">
        <f>L56+M55</f>
        <v/>
      </c>
      <c r="N56" s="110">
        <f>M56+N55</f>
        <v/>
      </c>
      <c r="O56" s="110">
        <f>N56+O55</f>
        <v/>
      </c>
      <c r="P56" s="110">
        <f>O56+P55</f>
        <v/>
      </c>
      <c r="Q56" s="110">
        <f>P56+Q55</f>
        <v/>
      </c>
      <c r="R56" s="110">
        <f>Q56+R55</f>
        <v/>
      </c>
      <c r="S56" s="110">
        <f>R56+S55</f>
        <v/>
      </c>
      <c r="T56" s="110">
        <f>S56+T55</f>
        <v/>
      </c>
      <c r="U56" s="110">
        <f>T56+U55</f>
        <v/>
      </c>
      <c r="V56" s="110">
        <f>U56+V55</f>
        <v/>
      </c>
      <c r="W56" s="110" t="n"/>
    </row>
    <row r="57">
      <c r="A57" s="110" t="inlineStr">
        <is>
          <t>[calc] Occupancy 0.8 dist</t>
        </is>
      </c>
      <c r="B57" s="110" t="n"/>
      <c r="C57" s="114">
        <f>-Control!$B$15</f>
        <v/>
      </c>
      <c r="D57" s="110">
        <f>Control!$B$11*(((((((Control!$B$20*$A$10)*((Control!$B$28+Control!$B$29*(Control!$B$38-2))+(Control!$B$32+Control!$B$33*(Control!$B$38-2))+IF(AND(Control!$B$5&gt;0,Control!$B$6="Y",1&gt;=Control!$B$39),Control!$B$36,0))*POWER(1+Control!$B$17,0))+((((Control!$B$20*$A$10)*Control!$B$38*2+IF(AND(Control!$B$5&gt;0,Control!$B$6="Y",1&gt;=Control!$B$39),(Control!$B$20*$A$10)*2,0))*Control!$B$41)*(Control!$B$42+Control!$B$44)*POWER(1+Control!$B$17,0))+(Control!$B$46*POWER(1+Control!$B$17,0)))-(((Control!$B$20*$A$10)*((Control!$B$28+Control!$B$29*(Control!$B$38-2))+(Control!$B$32+Control!$B$33*(Control!$B$38-2))+IF(AND(Control!$B$5&gt;0,Control!$B$6="Y",1&gt;=Control!$B$39),Control!$B$36,0))*POWER(1+Control!$B$17,0))*Control!$B$52+(((Control!$B$20*$A$10)*Control!$B$38*2+IF(AND(Control!$B$5&gt;0,Control!$B$6="Y",1&gt;=Control!$B$39),(Control!$B$20*$A$10)*2,0))*Control!$B$41)*(Control!$B$43+Control!$B$45)*POWER(1+Control!$B$18,0)+Control!$B$47*POWER(1+Control!$B$18,0)+(Control!$B$48+Control!$B$49+Control!$B$50+Control!$B$51)*12*POWER(1+Control!$B$18,0)+((Control!$B$20*$A$10)*((Control!$B$28+Control!$B$29*(Control!$B$38-2))+(Control!$B$32+Control!$B$33*(Control!$B$38-2))+IF(AND(Control!$B$5&gt;0,Control!$B$6="Y",1&gt;=Control!$B$39),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57" s="110">
        <f>Control!$B$11*(((((((Control!$B$20*$A$10)*((Control!$B$28+Control!$B$29*(Control!$B$38-2))+(Control!$B$32+Control!$B$33*(Control!$B$38-2))+IF(AND(Control!$B$5&gt;0,Control!$B$6="Y",2&gt;=Control!$B$39),Control!$B$36,0))*POWER(1+Control!$B$17,1))+((((Control!$B$20*$A$10)*Control!$B$38*2+IF(AND(Control!$B$5&gt;0,Control!$B$6="Y",2&gt;=Control!$B$39),(Control!$B$20*$A$10)*2,0))*Control!$B$41)*(Control!$B$42+Control!$B$44)*POWER(1+Control!$B$17,1))+(Control!$B$46*POWER(1+Control!$B$17,1)))-(((Control!$B$20*$A$10)*((Control!$B$28+Control!$B$29*(Control!$B$38-2))+(Control!$B$32+Control!$B$33*(Control!$B$38-2))+IF(AND(Control!$B$5&gt;0,Control!$B$6="Y",2&gt;=Control!$B$39),Control!$B$36,0))*POWER(1+Control!$B$17,1))*Control!$B$52+(((Control!$B$20*$A$10)*Control!$B$38*2+IF(AND(Control!$B$5&gt;0,Control!$B$6="Y",2&gt;=Control!$B$39),(Control!$B$20*$A$10)*2,0))*Control!$B$41)*(Control!$B$43+Control!$B$45)*POWER(1+Control!$B$18,1)+Control!$B$47*POWER(1+Control!$B$18,1)+(Control!$B$48+Control!$B$49+Control!$B$50+Control!$B$51)*12*POWER(1+Control!$B$18,1)+((Control!$B$20*$A$10)*((Control!$B$28+Control!$B$29*(Control!$B$38-2))+(Control!$B$32+Control!$B$33*(Control!$B$38-2))+IF(AND(Control!$B$5&gt;0,Control!$B$6="Y",2&gt;=Control!$B$39),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57" s="110">
        <f>Control!$B$11*(((((((Control!$B$20*$A$10)*((Control!$B$28+Control!$B$29*(Control!$B$38-2))+(Control!$B$32+Control!$B$33*(Control!$B$38-2))+IF(AND(Control!$B$5&gt;0,Control!$B$6="Y",3&gt;=Control!$B$39),Control!$B$36,0))*POWER(1+Control!$B$17,2))+((((Control!$B$20*$A$10)*Control!$B$38*2+IF(AND(Control!$B$5&gt;0,Control!$B$6="Y",3&gt;=Control!$B$39),(Control!$B$20*$A$10)*2,0))*Control!$B$41)*(Control!$B$42+Control!$B$44)*POWER(1+Control!$B$17,2))+(Control!$B$46*POWER(1+Control!$B$17,2)))-(((Control!$B$20*$A$10)*((Control!$B$28+Control!$B$29*(Control!$B$38-2))+(Control!$B$32+Control!$B$33*(Control!$B$38-2))+IF(AND(Control!$B$5&gt;0,Control!$B$6="Y",3&gt;=Control!$B$39),Control!$B$36,0))*POWER(1+Control!$B$17,2))*Control!$B$52+(((Control!$B$20*$A$10)*Control!$B$38*2+IF(AND(Control!$B$5&gt;0,Control!$B$6="Y",3&gt;=Control!$B$39),(Control!$B$20*$A$10)*2,0))*Control!$B$41)*(Control!$B$43+Control!$B$45)*POWER(1+Control!$B$18,2)+Control!$B$47*POWER(1+Control!$B$18,2)+(Control!$B$48+Control!$B$49+Control!$B$50+Control!$B$51)*12*POWER(1+Control!$B$18,2)+((Control!$B$20*$A$10)*((Control!$B$28+Control!$B$29*(Control!$B$38-2))+(Control!$B$32+Control!$B$33*(Control!$B$38-2))+IF(AND(Control!$B$5&gt;0,Control!$B$6="Y",3&gt;=Control!$B$39),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57" s="110">
        <f>Control!$B$11*(((((((Control!$B$20*$A$10)*((Control!$B$28+Control!$B$29*(Control!$B$38-2))+(Control!$B$32+Control!$B$33*(Control!$B$38-2))+IF(AND(Control!$B$5&gt;0,Control!$B$6="Y",4&gt;=Control!$B$39),Control!$B$36,0))*POWER(1+Control!$B$17,3))+((((Control!$B$20*$A$10)*Control!$B$38*2+IF(AND(Control!$B$5&gt;0,Control!$B$6="Y",4&gt;=Control!$B$39),(Control!$B$20*$A$10)*2,0))*Control!$B$41)*(Control!$B$42+Control!$B$44)*POWER(1+Control!$B$17,3))+(Control!$B$46*POWER(1+Control!$B$17,3)))-(((Control!$B$20*$A$10)*((Control!$B$28+Control!$B$29*(Control!$B$38-2))+(Control!$B$32+Control!$B$33*(Control!$B$38-2))+IF(AND(Control!$B$5&gt;0,Control!$B$6="Y",4&gt;=Control!$B$39),Control!$B$36,0))*POWER(1+Control!$B$17,3))*Control!$B$52+(((Control!$B$20*$A$10)*Control!$B$38*2+IF(AND(Control!$B$5&gt;0,Control!$B$6="Y",4&gt;=Control!$B$39),(Control!$B$20*$A$10)*2,0))*Control!$B$41)*(Control!$B$43+Control!$B$45)*POWER(1+Control!$B$18,3)+Control!$B$47*POWER(1+Control!$B$18,3)+(Control!$B$48+Control!$B$49+Control!$B$50+Control!$B$51)*12*POWER(1+Control!$B$18,3)+((Control!$B$20*$A$10)*((Control!$B$28+Control!$B$29*(Control!$B$38-2))+(Control!$B$32+Control!$B$33*(Control!$B$38-2))+IF(AND(Control!$B$5&gt;0,Control!$B$6="Y",4&gt;=Control!$B$39),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57" s="110">
        <f>Control!$B$11*(((((((Control!$B$20*$A$10)*((Control!$B$28+Control!$B$29*(Control!$B$38-2))+(Control!$B$32+Control!$B$33*(Control!$B$38-2))+IF(AND(Control!$B$5&gt;0,Control!$B$6="Y",5&gt;=Control!$B$39),Control!$B$36,0))*POWER(1+Control!$B$17,4))+((((Control!$B$20*$A$10)*Control!$B$38*2+IF(AND(Control!$B$5&gt;0,Control!$B$6="Y",5&gt;=Control!$B$39),(Control!$B$20*$A$10)*2,0))*Control!$B$41)*(Control!$B$42+Control!$B$44)*POWER(1+Control!$B$17,4))+(Control!$B$46*POWER(1+Control!$B$17,4)))-(((Control!$B$20*$A$10)*((Control!$B$28+Control!$B$29*(Control!$B$38-2))+(Control!$B$32+Control!$B$33*(Control!$B$38-2))+IF(AND(Control!$B$5&gt;0,Control!$B$6="Y",5&gt;=Control!$B$39),Control!$B$36,0))*POWER(1+Control!$B$17,4))*Control!$B$52+(((Control!$B$20*$A$10)*Control!$B$38*2+IF(AND(Control!$B$5&gt;0,Control!$B$6="Y",5&gt;=Control!$B$39),(Control!$B$20*$A$10)*2,0))*Control!$B$41)*(Control!$B$43+Control!$B$45)*POWER(1+Control!$B$18,4)+Control!$B$47*POWER(1+Control!$B$18,4)+(Control!$B$48+Control!$B$49+Control!$B$50+Control!$B$51)*12*POWER(1+Control!$B$18,4)+((Control!$B$20*$A$10)*((Control!$B$28+Control!$B$29*(Control!$B$38-2))+(Control!$B$32+Control!$B$33*(Control!$B$38-2))+IF(AND(Control!$B$5&gt;0,Control!$B$6="Y",5&gt;=Control!$B$39),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57" s="110">
        <f>Control!$B$11*(((((((Control!$B$20*$A$10)*((Control!$B$28+Control!$B$29*(Control!$B$38-2))+(Control!$B$32+Control!$B$33*(Control!$B$38-2))+IF(AND(Control!$B$5&gt;0,Control!$B$6="Y",6&gt;=Control!$B$39),Control!$B$36,0))*POWER(1+Control!$B$17,5))+((((Control!$B$20*$A$10)*Control!$B$38*2+IF(AND(Control!$B$5&gt;0,Control!$B$6="Y",6&gt;=Control!$B$39),(Control!$B$20*$A$10)*2,0))*Control!$B$41)*(Control!$B$42+Control!$B$44)*POWER(1+Control!$B$17,5))+(Control!$B$46*POWER(1+Control!$B$17,5)))-(((Control!$B$20*$A$10)*((Control!$B$28+Control!$B$29*(Control!$B$38-2))+(Control!$B$32+Control!$B$33*(Control!$B$38-2))+IF(AND(Control!$B$5&gt;0,Control!$B$6="Y",6&gt;=Control!$B$39),Control!$B$36,0))*POWER(1+Control!$B$17,5))*Control!$B$52+(((Control!$B$20*$A$10)*Control!$B$38*2+IF(AND(Control!$B$5&gt;0,Control!$B$6="Y",6&gt;=Control!$B$39),(Control!$B$20*$A$10)*2,0))*Control!$B$41)*(Control!$B$43+Control!$B$45)*POWER(1+Control!$B$18,5)+Control!$B$47*POWER(1+Control!$B$18,5)+(Control!$B$48+Control!$B$49+Control!$B$50+Control!$B$51)*12*POWER(1+Control!$B$18,5)+((Control!$B$20*$A$10)*((Control!$B$28+Control!$B$29*(Control!$B$38-2))+(Control!$B$32+Control!$B$33*(Control!$B$38-2))+IF(AND(Control!$B$5&gt;0,Control!$B$6="Y",6&gt;=Control!$B$39),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57" s="110">
        <f>Control!$B$11*(((((((Control!$B$20*$A$10)*((Control!$B$28+Control!$B$29*(Control!$B$38-2))+(Control!$B$32+Control!$B$33*(Control!$B$38-2))+IF(AND(Control!$B$5&gt;0,Control!$B$6="Y",7&gt;=Control!$B$39),Control!$B$36,0))*POWER(1+Control!$B$17,6))+((((Control!$B$20*$A$10)*Control!$B$38*2+IF(AND(Control!$B$5&gt;0,Control!$B$6="Y",7&gt;=Control!$B$39),(Control!$B$20*$A$10)*2,0))*Control!$B$41)*(Control!$B$42+Control!$B$44)*POWER(1+Control!$B$17,6))+(Control!$B$46*POWER(1+Control!$B$17,6)))-(((Control!$B$20*$A$10)*((Control!$B$28+Control!$B$29*(Control!$B$38-2))+(Control!$B$32+Control!$B$33*(Control!$B$38-2))+IF(AND(Control!$B$5&gt;0,Control!$B$6="Y",7&gt;=Control!$B$39),Control!$B$36,0))*POWER(1+Control!$B$17,6))*Control!$B$52+(((Control!$B$20*$A$10)*Control!$B$38*2+IF(AND(Control!$B$5&gt;0,Control!$B$6="Y",7&gt;=Control!$B$39),(Control!$B$20*$A$10)*2,0))*Control!$B$41)*(Control!$B$43+Control!$B$45)*POWER(1+Control!$B$18,6)+Control!$B$47*POWER(1+Control!$B$18,6)+(Control!$B$48+Control!$B$49+Control!$B$50+Control!$B$51)*12*POWER(1+Control!$B$18,6)+((Control!$B$20*$A$10)*((Control!$B$28+Control!$B$29*(Control!$B$38-2))+(Control!$B$32+Control!$B$33*(Control!$B$38-2))+IF(AND(Control!$B$5&gt;0,Control!$B$6="Y",7&gt;=Control!$B$39),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57" s="110">
        <f>Control!$B$11*(((((((Control!$B$20*$A$10)*((Control!$B$28+Control!$B$29*(Control!$B$38-2))+(Control!$B$32+Control!$B$33*(Control!$B$38-2))+IF(AND(Control!$B$5&gt;0,Control!$B$6="Y",8&gt;=Control!$B$39),Control!$B$36,0))*POWER(1+Control!$B$17,7))+((((Control!$B$20*$A$10)*Control!$B$38*2+IF(AND(Control!$B$5&gt;0,Control!$B$6="Y",8&gt;=Control!$B$39),(Control!$B$20*$A$10)*2,0))*Control!$B$41)*(Control!$B$42+Control!$B$44)*POWER(1+Control!$B$17,7))+(Control!$B$46*POWER(1+Control!$B$17,7)))-(((Control!$B$20*$A$10)*((Control!$B$28+Control!$B$29*(Control!$B$38-2))+(Control!$B$32+Control!$B$33*(Control!$B$38-2))+IF(AND(Control!$B$5&gt;0,Control!$B$6="Y",8&gt;=Control!$B$39),Control!$B$36,0))*POWER(1+Control!$B$17,7))*Control!$B$52+(((Control!$B$20*$A$10)*Control!$B$38*2+IF(AND(Control!$B$5&gt;0,Control!$B$6="Y",8&gt;=Control!$B$39),(Control!$B$20*$A$10)*2,0))*Control!$B$41)*(Control!$B$43+Control!$B$45)*POWER(1+Control!$B$18,7)+Control!$B$47*POWER(1+Control!$B$18,7)+(Control!$B$48+Control!$B$49+Control!$B$50+Control!$B$51)*12*POWER(1+Control!$B$18,7)+((Control!$B$20*$A$10)*((Control!$B$28+Control!$B$29*(Control!$B$38-2))+(Control!$B$32+Control!$B$33*(Control!$B$38-2))+IF(AND(Control!$B$5&gt;0,Control!$B$6="Y",8&gt;=Control!$B$39),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57" s="110">
        <f>Control!$B$11*(((((((Control!$B$20*$A$10)*((Control!$B$28+Control!$B$29*(Control!$B$38-2))+(Control!$B$32+Control!$B$33*(Control!$B$38-2))+IF(AND(Control!$B$5&gt;0,Control!$B$6="Y",9&gt;=Control!$B$39),Control!$B$36,0))*POWER(1+Control!$B$17,8))+((((Control!$B$20*$A$10)*Control!$B$38*2+IF(AND(Control!$B$5&gt;0,Control!$B$6="Y",9&gt;=Control!$B$39),(Control!$B$20*$A$10)*2,0))*Control!$B$41)*(Control!$B$42+Control!$B$44)*POWER(1+Control!$B$17,8))+(Control!$B$46*POWER(1+Control!$B$17,8)))-(((Control!$B$20*$A$10)*((Control!$B$28+Control!$B$29*(Control!$B$38-2))+(Control!$B$32+Control!$B$33*(Control!$B$38-2))+IF(AND(Control!$B$5&gt;0,Control!$B$6="Y",9&gt;=Control!$B$39),Control!$B$36,0))*POWER(1+Control!$B$17,8))*Control!$B$52+(((Control!$B$20*$A$10)*Control!$B$38*2+IF(AND(Control!$B$5&gt;0,Control!$B$6="Y",9&gt;=Control!$B$39),(Control!$B$20*$A$10)*2,0))*Control!$B$41)*(Control!$B$43+Control!$B$45)*POWER(1+Control!$B$18,8)+Control!$B$47*POWER(1+Control!$B$18,8)+(Control!$B$48+Control!$B$49+Control!$B$50+Control!$B$51)*12*POWER(1+Control!$B$18,8)+((Control!$B$20*$A$10)*((Control!$B$28+Control!$B$29*(Control!$B$38-2))+(Control!$B$32+Control!$B$33*(Control!$B$38-2))+IF(AND(Control!$B$5&gt;0,Control!$B$6="Y",9&gt;=Control!$B$39),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57" s="110">
        <f>Control!$B$11*(((((((Control!$B$20*$A$10)*((Control!$B$28+Control!$B$29*(Control!$B$38-2))+(Control!$B$32+Control!$B$33*(Control!$B$38-2))+IF(AND(Control!$B$5&gt;0,Control!$B$6="Y",10&gt;=Control!$B$39),Control!$B$36,0))*POWER(1+Control!$B$17,9))+((((Control!$B$20*$A$10)*Control!$B$38*2+IF(AND(Control!$B$5&gt;0,Control!$B$6="Y",10&gt;=Control!$B$39),(Control!$B$20*$A$10)*2,0))*Control!$B$41)*(Control!$B$42+Control!$B$44)*POWER(1+Control!$B$17,9))+(Control!$B$46*POWER(1+Control!$B$17,9)))-(((Control!$B$20*$A$10)*((Control!$B$28+Control!$B$29*(Control!$B$38-2))+(Control!$B$32+Control!$B$33*(Control!$B$38-2))+IF(AND(Control!$B$5&gt;0,Control!$B$6="Y",10&gt;=Control!$B$39),Control!$B$36,0))*POWER(1+Control!$B$17,9))*Control!$B$52+(((Control!$B$20*$A$10)*Control!$B$38*2+IF(AND(Control!$B$5&gt;0,Control!$B$6="Y",10&gt;=Control!$B$39),(Control!$B$20*$A$10)*2,0))*Control!$B$41)*(Control!$B$43+Control!$B$45)*POWER(1+Control!$B$18,9)+Control!$B$47*POWER(1+Control!$B$18,9)+(Control!$B$48+Control!$B$49+Control!$B$50+Control!$B$51)*12*POWER(1+Control!$B$18,9)+((Control!$B$20*$A$10)*((Control!$B$28+Control!$B$29*(Control!$B$38-2))+(Control!$B$32+Control!$B$33*(Control!$B$38-2))+IF(AND(Control!$B$5&gt;0,Control!$B$6="Y",10&gt;=Control!$B$39),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57" s="110">
        <f>Control!$B$11*(((((((Control!$B$20*$A$10)*((Control!$B$28+Control!$B$29*(Control!$B$38-2))+(Control!$B$32+Control!$B$33*(Control!$B$38-2))+IF(AND(Control!$B$5&gt;0,Control!$B$6="Y",11&gt;=Control!$B$39),Control!$B$36,0))*POWER(1+Control!$B$17,10))+((((Control!$B$20*$A$10)*Control!$B$38*2+IF(AND(Control!$B$5&gt;0,Control!$B$6="Y",11&gt;=Control!$B$39),(Control!$B$20*$A$10)*2,0))*Control!$B$41)*(Control!$B$42+Control!$B$44)*POWER(1+Control!$B$17,10))+(Control!$B$46*POWER(1+Control!$B$17,10)))-(((Control!$B$20*$A$10)*((Control!$B$28+Control!$B$29*(Control!$B$38-2))+(Control!$B$32+Control!$B$33*(Control!$B$38-2))+IF(AND(Control!$B$5&gt;0,Control!$B$6="Y",11&gt;=Control!$B$39),Control!$B$36,0))*POWER(1+Control!$B$17,10))*Control!$B$52+(((Control!$B$20*$A$10)*Control!$B$38*2+IF(AND(Control!$B$5&gt;0,Control!$B$6="Y",11&gt;=Control!$B$39),(Control!$B$20*$A$10)*2,0))*Control!$B$41)*(Control!$B$43+Control!$B$45)*POWER(1+Control!$B$18,10)+Control!$B$47*POWER(1+Control!$B$18,10)+(Control!$B$48+Control!$B$49+Control!$B$50+Control!$B$51)*12*POWER(1+Control!$B$18,10)+((Control!$B$20*$A$10)*((Control!$B$28+Control!$B$29*(Control!$B$38-2))+(Control!$B$32+Control!$B$33*(Control!$B$38-2))+IF(AND(Control!$B$5&gt;0,Control!$B$6="Y",11&gt;=Control!$B$39),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57" s="110">
        <f>Control!$B$11*(((((((Control!$B$20*$A$10)*((Control!$B$28+Control!$B$29*(Control!$B$38-2))+(Control!$B$32+Control!$B$33*(Control!$B$38-2))+IF(AND(Control!$B$5&gt;0,Control!$B$6="Y",12&gt;=Control!$B$39),Control!$B$36,0))*POWER(1+Control!$B$17,11))+((((Control!$B$20*$A$10)*Control!$B$38*2+IF(AND(Control!$B$5&gt;0,Control!$B$6="Y",12&gt;=Control!$B$39),(Control!$B$20*$A$10)*2,0))*Control!$B$41)*(Control!$B$42+Control!$B$44)*POWER(1+Control!$B$17,11))+(Control!$B$46*POWER(1+Control!$B$17,11)))-(((Control!$B$20*$A$10)*((Control!$B$28+Control!$B$29*(Control!$B$38-2))+(Control!$B$32+Control!$B$33*(Control!$B$38-2))+IF(AND(Control!$B$5&gt;0,Control!$B$6="Y",12&gt;=Control!$B$39),Control!$B$36,0))*POWER(1+Control!$B$17,11))*Control!$B$52+(((Control!$B$20*$A$10)*Control!$B$38*2+IF(AND(Control!$B$5&gt;0,Control!$B$6="Y",12&gt;=Control!$B$39),(Control!$B$20*$A$10)*2,0))*Control!$B$41)*(Control!$B$43+Control!$B$45)*POWER(1+Control!$B$18,11)+Control!$B$47*POWER(1+Control!$B$18,11)+(Control!$B$48+Control!$B$49+Control!$B$50+Control!$B$51)*12*POWER(1+Control!$B$18,11)+((Control!$B$20*$A$10)*((Control!$B$28+Control!$B$29*(Control!$B$38-2))+(Control!$B$32+Control!$B$33*(Control!$B$38-2))+IF(AND(Control!$B$5&gt;0,Control!$B$6="Y",12&gt;=Control!$B$39),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57" s="110">
        <f>Control!$B$11*(((((((Control!$B$20*$A$10)*((Control!$B$28+Control!$B$29*(Control!$B$38-2))+(Control!$B$32+Control!$B$33*(Control!$B$38-2))+IF(AND(Control!$B$5&gt;0,Control!$B$6="Y",13&gt;=Control!$B$39),Control!$B$36,0))*POWER(1+Control!$B$17,12))+((((Control!$B$20*$A$10)*Control!$B$38*2+IF(AND(Control!$B$5&gt;0,Control!$B$6="Y",13&gt;=Control!$B$39),(Control!$B$20*$A$10)*2,0))*Control!$B$41)*(Control!$B$42+Control!$B$44)*POWER(1+Control!$B$17,12))+(Control!$B$46*POWER(1+Control!$B$17,12)))-(((Control!$B$20*$A$10)*((Control!$B$28+Control!$B$29*(Control!$B$38-2))+(Control!$B$32+Control!$B$33*(Control!$B$38-2))+IF(AND(Control!$B$5&gt;0,Control!$B$6="Y",13&gt;=Control!$B$39),Control!$B$36,0))*POWER(1+Control!$B$17,12))*Control!$B$52+(((Control!$B$20*$A$10)*Control!$B$38*2+IF(AND(Control!$B$5&gt;0,Control!$B$6="Y",13&gt;=Control!$B$39),(Control!$B$20*$A$10)*2,0))*Control!$B$41)*(Control!$B$43+Control!$B$45)*POWER(1+Control!$B$18,12)+Control!$B$47*POWER(1+Control!$B$18,12)+(Control!$B$48+Control!$B$49+Control!$B$50+Control!$B$51)*12*POWER(1+Control!$B$18,12)+((Control!$B$20*$A$10)*((Control!$B$28+Control!$B$29*(Control!$B$38-2))+(Control!$B$32+Control!$B$33*(Control!$B$38-2))+IF(AND(Control!$B$5&gt;0,Control!$B$6="Y",13&gt;=Control!$B$39),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57" s="110">
        <f>Control!$B$11*(((((((Control!$B$20*$A$10)*((Control!$B$28+Control!$B$29*(Control!$B$38-2))+(Control!$B$32+Control!$B$33*(Control!$B$38-2))+IF(AND(Control!$B$5&gt;0,Control!$B$6="Y",14&gt;=Control!$B$39),Control!$B$36,0))*POWER(1+Control!$B$17,13))+((((Control!$B$20*$A$10)*Control!$B$38*2+IF(AND(Control!$B$5&gt;0,Control!$B$6="Y",14&gt;=Control!$B$39),(Control!$B$20*$A$10)*2,0))*Control!$B$41)*(Control!$B$42+Control!$B$44)*POWER(1+Control!$B$17,13))+(Control!$B$46*POWER(1+Control!$B$17,13)))-(((Control!$B$20*$A$10)*((Control!$B$28+Control!$B$29*(Control!$B$38-2))+(Control!$B$32+Control!$B$33*(Control!$B$38-2))+IF(AND(Control!$B$5&gt;0,Control!$B$6="Y",14&gt;=Control!$B$39),Control!$B$36,0))*POWER(1+Control!$B$17,13))*Control!$B$52+(((Control!$B$20*$A$10)*Control!$B$38*2+IF(AND(Control!$B$5&gt;0,Control!$B$6="Y",14&gt;=Control!$B$39),(Control!$B$20*$A$10)*2,0))*Control!$B$41)*(Control!$B$43+Control!$B$45)*POWER(1+Control!$B$18,13)+Control!$B$47*POWER(1+Control!$B$18,13)+(Control!$B$48+Control!$B$49+Control!$B$50+Control!$B$51)*12*POWER(1+Control!$B$18,13)+((Control!$B$20*$A$10)*((Control!$B$28+Control!$B$29*(Control!$B$38-2))+(Control!$B$32+Control!$B$33*(Control!$B$38-2))+IF(AND(Control!$B$5&gt;0,Control!$B$6="Y",14&gt;=Control!$B$39),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57" s="110">
        <f>Control!$B$11*(((((((Control!$B$20*$A$10)*((Control!$B$28+Control!$B$29*(Control!$B$38-2))+(Control!$B$32+Control!$B$33*(Control!$B$38-2))+IF(AND(Control!$B$5&gt;0,Control!$B$6="Y",15&gt;=Control!$B$39),Control!$B$36,0))*POWER(1+Control!$B$17,14))+((((Control!$B$20*$A$10)*Control!$B$38*2+IF(AND(Control!$B$5&gt;0,Control!$B$6="Y",15&gt;=Control!$B$39),(Control!$B$20*$A$10)*2,0))*Control!$B$41)*(Control!$B$42+Control!$B$44)*POWER(1+Control!$B$17,14))+(Control!$B$46*POWER(1+Control!$B$17,14)))-(((Control!$B$20*$A$10)*((Control!$B$28+Control!$B$29*(Control!$B$38-2))+(Control!$B$32+Control!$B$33*(Control!$B$38-2))+IF(AND(Control!$B$5&gt;0,Control!$B$6="Y",15&gt;=Control!$B$39),Control!$B$36,0))*POWER(1+Control!$B$17,14))*Control!$B$52+(((Control!$B$20*$A$10)*Control!$B$38*2+IF(AND(Control!$B$5&gt;0,Control!$B$6="Y",15&gt;=Control!$B$39),(Control!$B$20*$A$10)*2,0))*Control!$B$41)*(Control!$B$43+Control!$B$45)*POWER(1+Control!$B$18,14)+Control!$B$47*POWER(1+Control!$B$18,14)+(Control!$B$48+Control!$B$49+Control!$B$50+Control!$B$51)*12*POWER(1+Control!$B$18,14)+((Control!$B$20*$A$10)*((Control!$B$28+Control!$B$29*(Control!$B$38-2))+(Control!$B$32+Control!$B$33*(Control!$B$38-2))+IF(AND(Control!$B$5&gt;0,Control!$B$6="Y",15&gt;=Control!$B$39),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57" s="110">
        <f>Control!$B$11*(((((((Control!$B$20*$A$10)*((Control!$B$28+Control!$B$29*(Control!$B$38-2))+(Control!$B$32+Control!$B$33*(Control!$B$38-2))+IF(AND(Control!$B$5&gt;0,Control!$B$6="Y",16&gt;=Control!$B$39),Control!$B$36,0))*POWER(1+Control!$B$17,15))+((((Control!$B$20*$A$10)*Control!$B$38*2+IF(AND(Control!$B$5&gt;0,Control!$B$6="Y",16&gt;=Control!$B$39),(Control!$B$20*$A$10)*2,0))*Control!$B$41)*(Control!$B$42+Control!$B$44)*POWER(1+Control!$B$17,15))+(Control!$B$46*POWER(1+Control!$B$17,15)))-(((Control!$B$20*$A$10)*((Control!$B$28+Control!$B$29*(Control!$B$38-2))+(Control!$B$32+Control!$B$33*(Control!$B$38-2))+IF(AND(Control!$B$5&gt;0,Control!$B$6="Y",16&gt;=Control!$B$39),Control!$B$36,0))*POWER(1+Control!$B$17,15))*Control!$B$52+(((Control!$B$20*$A$10)*Control!$B$38*2+IF(AND(Control!$B$5&gt;0,Control!$B$6="Y",16&gt;=Control!$B$39),(Control!$B$20*$A$10)*2,0))*Control!$B$41)*(Control!$B$43+Control!$B$45)*POWER(1+Control!$B$18,15)+Control!$B$47*POWER(1+Control!$B$18,15)+(Control!$B$48+Control!$B$49+Control!$B$50+Control!$B$51)*12*POWER(1+Control!$B$18,15)+((Control!$B$20*$A$10)*((Control!$B$28+Control!$B$29*(Control!$B$38-2))+(Control!$B$32+Control!$B$33*(Control!$B$38-2))+IF(AND(Control!$B$5&gt;0,Control!$B$6="Y",16&gt;=Control!$B$39),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57" s="110">
        <f>Control!$B$11*(((((((Control!$B$20*$A$10)*((Control!$B$28+Control!$B$29*(Control!$B$38-2))+(Control!$B$32+Control!$B$33*(Control!$B$38-2))+IF(AND(Control!$B$5&gt;0,Control!$B$6="Y",17&gt;=Control!$B$39),Control!$B$36,0))*POWER(1+Control!$B$17,16))+((((Control!$B$20*$A$10)*Control!$B$38*2+IF(AND(Control!$B$5&gt;0,Control!$B$6="Y",17&gt;=Control!$B$39),(Control!$B$20*$A$10)*2,0))*Control!$B$41)*(Control!$B$42+Control!$B$44)*POWER(1+Control!$B$17,16))+(Control!$B$46*POWER(1+Control!$B$17,16)))-(((Control!$B$20*$A$10)*((Control!$B$28+Control!$B$29*(Control!$B$38-2))+(Control!$B$32+Control!$B$33*(Control!$B$38-2))+IF(AND(Control!$B$5&gt;0,Control!$B$6="Y",17&gt;=Control!$B$39),Control!$B$36,0))*POWER(1+Control!$B$17,16))*Control!$B$52+(((Control!$B$20*$A$10)*Control!$B$38*2+IF(AND(Control!$B$5&gt;0,Control!$B$6="Y",17&gt;=Control!$B$39),(Control!$B$20*$A$10)*2,0))*Control!$B$41)*(Control!$B$43+Control!$B$45)*POWER(1+Control!$B$18,16)+Control!$B$47*POWER(1+Control!$B$18,16)+(Control!$B$48+Control!$B$49+Control!$B$50+Control!$B$51)*12*POWER(1+Control!$B$18,16)+((Control!$B$20*$A$10)*((Control!$B$28+Control!$B$29*(Control!$B$38-2))+(Control!$B$32+Control!$B$33*(Control!$B$38-2))+IF(AND(Control!$B$5&gt;0,Control!$B$6="Y",17&gt;=Control!$B$39),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57" s="110">
        <f>Control!$B$11*(((((((Control!$B$20*$A$10)*((Control!$B$28+Control!$B$29*(Control!$B$38-2))+(Control!$B$32+Control!$B$33*(Control!$B$38-2))+IF(AND(Control!$B$5&gt;0,Control!$B$6="Y",18&gt;=Control!$B$39),Control!$B$36,0))*POWER(1+Control!$B$17,17))+((((Control!$B$20*$A$10)*Control!$B$38*2+IF(AND(Control!$B$5&gt;0,Control!$B$6="Y",18&gt;=Control!$B$39),(Control!$B$20*$A$10)*2,0))*Control!$B$41)*(Control!$B$42+Control!$B$44)*POWER(1+Control!$B$17,17))+(Control!$B$46*POWER(1+Control!$B$17,17)))-(((Control!$B$20*$A$10)*((Control!$B$28+Control!$B$29*(Control!$B$38-2))+(Control!$B$32+Control!$B$33*(Control!$B$38-2))+IF(AND(Control!$B$5&gt;0,Control!$B$6="Y",18&gt;=Control!$B$39),Control!$B$36,0))*POWER(1+Control!$B$17,17))*Control!$B$52+(((Control!$B$20*$A$10)*Control!$B$38*2+IF(AND(Control!$B$5&gt;0,Control!$B$6="Y",18&gt;=Control!$B$39),(Control!$B$20*$A$10)*2,0))*Control!$B$41)*(Control!$B$43+Control!$B$45)*POWER(1+Control!$B$18,17)+Control!$B$47*POWER(1+Control!$B$18,17)+(Control!$B$48+Control!$B$49+Control!$B$50+Control!$B$51)*12*POWER(1+Control!$B$18,17)+((Control!$B$20*$A$10)*((Control!$B$28+Control!$B$29*(Control!$B$38-2))+(Control!$B$32+Control!$B$33*(Control!$B$38-2))+IF(AND(Control!$B$5&gt;0,Control!$B$6="Y",18&gt;=Control!$B$39),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57" s="110">
        <f>Control!$B$11*(((((((Control!$B$20*$A$10)*((Control!$B$28+Control!$B$29*(Control!$B$38-2))+(Control!$B$32+Control!$B$33*(Control!$B$38-2))+IF(AND(Control!$B$5&gt;0,Control!$B$6="Y",19&gt;=Control!$B$39),Control!$B$36,0))*POWER(1+Control!$B$17,18))+((((Control!$B$20*$A$10)*Control!$B$38*2+IF(AND(Control!$B$5&gt;0,Control!$B$6="Y",19&gt;=Control!$B$39),(Control!$B$20*$A$10)*2,0))*Control!$B$41)*(Control!$B$42+Control!$B$44)*POWER(1+Control!$B$17,18))+(Control!$B$46*POWER(1+Control!$B$17,18)))-(((Control!$B$20*$A$10)*((Control!$B$28+Control!$B$29*(Control!$B$38-2))+(Control!$B$32+Control!$B$33*(Control!$B$38-2))+IF(AND(Control!$B$5&gt;0,Control!$B$6="Y",19&gt;=Control!$B$39),Control!$B$36,0))*POWER(1+Control!$B$17,18))*Control!$B$52+(((Control!$B$20*$A$10)*Control!$B$38*2+IF(AND(Control!$B$5&gt;0,Control!$B$6="Y",19&gt;=Control!$B$39),(Control!$B$20*$A$10)*2,0))*Control!$B$41)*(Control!$B$43+Control!$B$45)*POWER(1+Control!$B$18,18)+Control!$B$47*POWER(1+Control!$B$18,18)+(Control!$B$48+Control!$B$49+Control!$B$50+Control!$B$51)*12*POWER(1+Control!$B$18,18)+((Control!$B$20*$A$10)*((Control!$B$28+Control!$B$29*(Control!$B$38-2))+(Control!$B$32+Control!$B$33*(Control!$B$38-2))+IF(AND(Control!$B$5&gt;0,Control!$B$6="Y",19&gt;=Control!$B$39),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57" s="110">
        <f>Control!$B$11*(((((((Control!$B$20*$A$10)*((Control!$B$28+Control!$B$29*(Control!$B$38-2))+(Control!$B$32+Control!$B$33*(Control!$B$38-2))+IF(AND(Control!$B$5&gt;0,Control!$B$6="Y",20&gt;=Control!$B$39),Control!$B$36,0))*POWER(1+Control!$B$17,19))+((((Control!$B$20*$A$10)*Control!$B$38*2+IF(AND(Control!$B$5&gt;0,Control!$B$6="Y",20&gt;=Control!$B$39),(Control!$B$20*$A$10)*2,0))*Control!$B$41)*(Control!$B$42+Control!$B$44)*POWER(1+Control!$B$17,19))+(Control!$B$46*POWER(1+Control!$B$17,19)))-(((Control!$B$20*$A$10)*((Control!$B$28+Control!$B$29*(Control!$B$38-2))+(Control!$B$32+Control!$B$33*(Control!$B$38-2))+IF(AND(Control!$B$5&gt;0,Control!$B$6="Y",20&gt;=Control!$B$39),Control!$B$36,0))*POWER(1+Control!$B$17,19))*Control!$B$52+(((Control!$B$20*$A$10)*Control!$B$38*2+IF(AND(Control!$B$5&gt;0,Control!$B$6="Y",20&gt;=Control!$B$39),(Control!$B$20*$A$10)*2,0))*Control!$B$41)*(Control!$B$43+Control!$B$45)*POWER(1+Control!$B$18,19)+Control!$B$47*POWER(1+Control!$B$18,19)+(Control!$B$48+Control!$B$49+Control!$B$50+Control!$B$51)*12*POWER(1+Control!$B$18,19)+((Control!$B$20*$A$10)*((Control!$B$28+Control!$B$29*(Control!$B$38-2))+(Control!$B$32+Control!$B$33*(Control!$B$38-2))+IF(AND(Control!$B$5&gt;0,Control!$B$6="Y",20&gt;=Control!$B$39),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58">
      <c r="A58" s="110" t="inlineStr">
        <is>
          <t>[calc] Occupancy 0.8 cum</t>
        </is>
      </c>
      <c r="B58" s="110" t="n"/>
      <c r="C58" s="110" t="n"/>
      <c r="D58" s="110">
        <f>D57</f>
        <v/>
      </c>
      <c r="E58" s="110">
        <f>D58+E57</f>
        <v/>
      </c>
      <c r="F58" s="110">
        <f>E58+F57</f>
        <v/>
      </c>
      <c r="G58" s="110">
        <f>F58+G57</f>
        <v/>
      </c>
      <c r="H58" s="110">
        <f>G58+H57</f>
        <v/>
      </c>
      <c r="I58" s="110">
        <f>H58+I57</f>
        <v/>
      </c>
      <c r="J58" s="110">
        <f>I58+J57</f>
        <v/>
      </c>
      <c r="K58" s="110">
        <f>J58+K57</f>
        <v/>
      </c>
      <c r="L58" s="110">
        <f>K58+L57</f>
        <v/>
      </c>
      <c r="M58" s="110">
        <f>L58+M57</f>
        <v/>
      </c>
      <c r="N58" s="110">
        <f>M58+N57</f>
        <v/>
      </c>
      <c r="O58" s="110">
        <f>N58+O57</f>
        <v/>
      </c>
      <c r="P58" s="110">
        <f>O58+P57</f>
        <v/>
      </c>
      <c r="Q58" s="110">
        <f>P58+Q57</f>
        <v/>
      </c>
      <c r="R58" s="110">
        <f>Q58+R57</f>
        <v/>
      </c>
      <c r="S58" s="110">
        <f>R58+S57</f>
        <v/>
      </c>
      <c r="T58" s="110">
        <f>S58+T57</f>
        <v/>
      </c>
      <c r="U58" s="110">
        <f>T58+U57</f>
        <v/>
      </c>
      <c r="V58" s="110">
        <f>U58+V57</f>
        <v/>
      </c>
      <c r="W58" s="110" t="n"/>
    </row>
    <row r="59">
      <c r="A59" s="110" t="inlineStr">
        <is>
          <t>[calc] Occupancy 0.85 dist</t>
        </is>
      </c>
      <c r="B59" s="110" t="n"/>
      <c r="C59" s="114">
        <f>-Control!$B$15</f>
        <v/>
      </c>
      <c r="D59" s="110">
        <f>Control!$B$11*(((((((Control!$B$20*$A$11)*((Control!$B$28+Control!$B$29*(Control!$B$38-2))+(Control!$B$32+Control!$B$33*(Control!$B$38-2))+IF(AND(Control!$B$5&gt;0,Control!$B$6="Y",1&gt;=Control!$B$39),Control!$B$36,0))*POWER(1+Control!$B$17,0))+((((Control!$B$20*$A$11)*Control!$B$38*2+IF(AND(Control!$B$5&gt;0,Control!$B$6="Y",1&gt;=Control!$B$39),(Control!$B$20*$A$11)*2,0))*Control!$B$41)*(Control!$B$42+Control!$B$44)*POWER(1+Control!$B$17,0))+(Control!$B$46*POWER(1+Control!$B$17,0)))-(((Control!$B$20*$A$11)*((Control!$B$28+Control!$B$29*(Control!$B$38-2))+(Control!$B$32+Control!$B$33*(Control!$B$38-2))+IF(AND(Control!$B$5&gt;0,Control!$B$6="Y",1&gt;=Control!$B$39),Control!$B$36,0))*POWER(1+Control!$B$17,0))*Control!$B$52+(((Control!$B$20*$A$11)*Control!$B$38*2+IF(AND(Control!$B$5&gt;0,Control!$B$6="Y",1&gt;=Control!$B$39),(Control!$B$20*$A$11)*2,0))*Control!$B$41)*(Control!$B$43+Control!$B$45)*POWER(1+Control!$B$18,0)+Control!$B$47*POWER(1+Control!$B$18,0)+(Control!$B$48+Control!$B$49+Control!$B$50+Control!$B$51)*12*POWER(1+Control!$B$18,0)+((Control!$B$20*$A$11)*((Control!$B$28+Control!$B$29*(Control!$B$38-2))+(Control!$B$32+Control!$B$33*(Control!$B$38-2))+IF(AND(Control!$B$5&gt;0,Control!$B$6="Y",1&gt;=Control!$B$39),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59" s="110">
        <f>Control!$B$11*(((((((Control!$B$20*$A$11)*((Control!$B$28+Control!$B$29*(Control!$B$38-2))+(Control!$B$32+Control!$B$33*(Control!$B$38-2))+IF(AND(Control!$B$5&gt;0,Control!$B$6="Y",2&gt;=Control!$B$39),Control!$B$36,0))*POWER(1+Control!$B$17,1))+((((Control!$B$20*$A$11)*Control!$B$38*2+IF(AND(Control!$B$5&gt;0,Control!$B$6="Y",2&gt;=Control!$B$39),(Control!$B$20*$A$11)*2,0))*Control!$B$41)*(Control!$B$42+Control!$B$44)*POWER(1+Control!$B$17,1))+(Control!$B$46*POWER(1+Control!$B$17,1)))-(((Control!$B$20*$A$11)*((Control!$B$28+Control!$B$29*(Control!$B$38-2))+(Control!$B$32+Control!$B$33*(Control!$B$38-2))+IF(AND(Control!$B$5&gt;0,Control!$B$6="Y",2&gt;=Control!$B$39),Control!$B$36,0))*POWER(1+Control!$B$17,1))*Control!$B$52+(((Control!$B$20*$A$11)*Control!$B$38*2+IF(AND(Control!$B$5&gt;0,Control!$B$6="Y",2&gt;=Control!$B$39),(Control!$B$20*$A$11)*2,0))*Control!$B$41)*(Control!$B$43+Control!$B$45)*POWER(1+Control!$B$18,1)+Control!$B$47*POWER(1+Control!$B$18,1)+(Control!$B$48+Control!$B$49+Control!$B$50+Control!$B$51)*12*POWER(1+Control!$B$18,1)+((Control!$B$20*$A$11)*((Control!$B$28+Control!$B$29*(Control!$B$38-2))+(Control!$B$32+Control!$B$33*(Control!$B$38-2))+IF(AND(Control!$B$5&gt;0,Control!$B$6="Y",2&gt;=Control!$B$39),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59" s="110">
        <f>Control!$B$11*(((((((Control!$B$20*$A$11)*((Control!$B$28+Control!$B$29*(Control!$B$38-2))+(Control!$B$32+Control!$B$33*(Control!$B$38-2))+IF(AND(Control!$B$5&gt;0,Control!$B$6="Y",3&gt;=Control!$B$39),Control!$B$36,0))*POWER(1+Control!$B$17,2))+((((Control!$B$20*$A$11)*Control!$B$38*2+IF(AND(Control!$B$5&gt;0,Control!$B$6="Y",3&gt;=Control!$B$39),(Control!$B$20*$A$11)*2,0))*Control!$B$41)*(Control!$B$42+Control!$B$44)*POWER(1+Control!$B$17,2))+(Control!$B$46*POWER(1+Control!$B$17,2)))-(((Control!$B$20*$A$11)*((Control!$B$28+Control!$B$29*(Control!$B$38-2))+(Control!$B$32+Control!$B$33*(Control!$B$38-2))+IF(AND(Control!$B$5&gt;0,Control!$B$6="Y",3&gt;=Control!$B$39),Control!$B$36,0))*POWER(1+Control!$B$17,2))*Control!$B$52+(((Control!$B$20*$A$11)*Control!$B$38*2+IF(AND(Control!$B$5&gt;0,Control!$B$6="Y",3&gt;=Control!$B$39),(Control!$B$20*$A$11)*2,0))*Control!$B$41)*(Control!$B$43+Control!$B$45)*POWER(1+Control!$B$18,2)+Control!$B$47*POWER(1+Control!$B$18,2)+(Control!$B$48+Control!$B$49+Control!$B$50+Control!$B$51)*12*POWER(1+Control!$B$18,2)+((Control!$B$20*$A$11)*((Control!$B$28+Control!$B$29*(Control!$B$38-2))+(Control!$B$32+Control!$B$33*(Control!$B$38-2))+IF(AND(Control!$B$5&gt;0,Control!$B$6="Y",3&gt;=Control!$B$39),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59" s="110">
        <f>Control!$B$11*(((((((Control!$B$20*$A$11)*((Control!$B$28+Control!$B$29*(Control!$B$38-2))+(Control!$B$32+Control!$B$33*(Control!$B$38-2))+IF(AND(Control!$B$5&gt;0,Control!$B$6="Y",4&gt;=Control!$B$39),Control!$B$36,0))*POWER(1+Control!$B$17,3))+((((Control!$B$20*$A$11)*Control!$B$38*2+IF(AND(Control!$B$5&gt;0,Control!$B$6="Y",4&gt;=Control!$B$39),(Control!$B$20*$A$11)*2,0))*Control!$B$41)*(Control!$B$42+Control!$B$44)*POWER(1+Control!$B$17,3))+(Control!$B$46*POWER(1+Control!$B$17,3)))-(((Control!$B$20*$A$11)*((Control!$B$28+Control!$B$29*(Control!$B$38-2))+(Control!$B$32+Control!$B$33*(Control!$B$38-2))+IF(AND(Control!$B$5&gt;0,Control!$B$6="Y",4&gt;=Control!$B$39),Control!$B$36,0))*POWER(1+Control!$B$17,3))*Control!$B$52+(((Control!$B$20*$A$11)*Control!$B$38*2+IF(AND(Control!$B$5&gt;0,Control!$B$6="Y",4&gt;=Control!$B$39),(Control!$B$20*$A$11)*2,0))*Control!$B$41)*(Control!$B$43+Control!$B$45)*POWER(1+Control!$B$18,3)+Control!$B$47*POWER(1+Control!$B$18,3)+(Control!$B$48+Control!$B$49+Control!$B$50+Control!$B$51)*12*POWER(1+Control!$B$18,3)+((Control!$B$20*$A$11)*((Control!$B$28+Control!$B$29*(Control!$B$38-2))+(Control!$B$32+Control!$B$33*(Control!$B$38-2))+IF(AND(Control!$B$5&gt;0,Control!$B$6="Y",4&gt;=Control!$B$39),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59" s="110">
        <f>Control!$B$11*(((((((Control!$B$20*$A$11)*((Control!$B$28+Control!$B$29*(Control!$B$38-2))+(Control!$B$32+Control!$B$33*(Control!$B$38-2))+IF(AND(Control!$B$5&gt;0,Control!$B$6="Y",5&gt;=Control!$B$39),Control!$B$36,0))*POWER(1+Control!$B$17,4))+((((Control!$B$20*$A$11)*Control!$B$38*2+IF(AND(Control!$B$5&gt;0,Control!$B$6="Y",5&gt;=Control!$B$39),(Control!$B$20*$A$11)*2,0))*Control!$B$41)*(Control!$B$42+Control!$B$44)*POWER(1+Control!$B$17,4))+(Control!$B$46*POWER(1+Control!$B$17,4)))-(((Control!$B$20*$A$11)*((Control!$B$28+Control!$B$29*(Control!$B$38-2))+(Control!$B$32+Control!$B$33*(Control!$B$38-2))+IF(AND(Control!$B$5&gt;0,Control!$B$6="Y",5&gt;=Control!$B$39),Control!$B$36,0))*POWER(1+Control!$B$17,4))*Control!$B$52+(((Control!$B$20*$A$11)*Control!$B$38*2+IF(AND(Control!$B$5&gt;0,Control!$B$6="Y",5&gt;=Control!$B$39),(Control!$B$20*$A$11)*2,0))*Control!$B$41)*(Control!$B$43+Control!$B$45)*POWER(1+Control!$B$18,4)+Control!$B$47*POWER(1+Control!$B$18,4)+(Control!$B$48+Control!$B$49+Control!$B$50+Control!$B$51)*12*POWER(1+Control!$B$18,4)+((Control!$B$20*$A$11)*((Control!$B$28+Control!$B$29*(Control!$B$38-2))+(Control!$B$32+Control!$B$33*(Control!$B$38-2))+IF(AND(Control!$B$5&gt;0,Control!$B$6="Y",5&gt;=Control!$B$39),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59" s="110">
        <f>Control!$B$11*(((((((Control!$B$20*$A$11)*((Control!$B$28+Control!$B$29*(Control!$B$38-2))+(Control!$B$32+Control!$B$33*(Control!$B$38-2))+IF(AND(Control!$B$5&gt;0,Control!$B$6="Y",6&gt;=Control!$B$39),Control!$B$36,0))*POWER(1+Control!$B$17,5))+((((Control!$B$20*$A$11)*Control!$B$38*2+IF(AND(Control!$B$5&gt;0,Control!$B$6="Y",6&gt;=Control!$B$39),(Control!$B$20*$A$11)*2,0))*Control!$B$41)*(Control!$B$42+Control!$B$44)*POWER(1+Control!$B$17,5))+(Control!$B$46*POWER(1+Control!$B$17,5)))-(((Control!$B$20*$A$11)*((Control!$B$28+Control!$B$29*(Control!$B$38-2))+(Control!$B$32+Control!$B$33*(Control!$B$38-2))+IF(AND(Control!$B$5&gt;0,Control!$B$6="Y",6&gt;=Control!$B$39),Control!$B$36,0))*POWER(1+Control!$B$17,5))*Control!$B$52+(((Control!$B$20*$A$11)*Control!$B$38*2+IF(AND(Control!$B$5&gt;0,Control!$B$6="Y",6&gt;=Control!$B$39),(Control!$B$20*$A$11)*2,0))*Control!$B$41)*(Control!$B$43+Control!$B$45)*POWER(1+Control!$B$18,5)+Control!$B$47*POWER(1+Control!$B$18,5)+(Control!$B$48+Control!$B$49+Control!$B$50+Control!$B$51)*12*POWER(1+Control!$B$18,5)+((Control!$B$20*$A$11)*((Control!$B$28+Control!$B$29*(Control!$B$38-2))+(Control!$B$32+Control!$B$33*(Control!$B$38-2))+IF(AND(Control!$B$5&gt;0,Control!$B$6="Y",6&gt;=Control!$B$39),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59" s="110">
        <f>Control!$B$11*(((((((Control!$B$20*$A$11)*((Control!$B$28+Control!$B$29*(Control!$B$38-2))+(Control!$B$32+Control!$B$33*(Control!$B$38-2))+IF(AND(Control!$B$5&gt;0,Control!$B$6="Y",7&gt;=Control!$B$39),Control!$B$36,0))*POWER(1+Control!$B$17,6))+((((Control!$B$20*$A$11)*Control!$B$38*2+IF(AND(Control!$B$5&gt;0,Control!$B$6="Y",7&gt;=Control!$B$39),(Control!$B$20*$A$11)*2,0))*Control!$B$41)*(Control!$B$42+Control!$B$44)*POWER(1+Control!$B$17,6))+(Control!$B$46*POWER(1+Control!$B$17,6)))-(((Control!$B$20*$A$11)*((Control!$B$28+Control!$B$29*(Control!$B$38-2))+(Control!$B$32+Control!$B$33*(Control!$B$38-2))+IF(AND(Control!$B$5&gt;0,Control!$B$6="Y",7&gt;=Control!$B$39),Control!$B$36,0))*POWER(1+Control!$B$17,6))*Control!$B$52+(((Control!$B$20*$A$11)*Control!$B$38*2+IF(AND(Control!$B$5&gt;0,Control!$B$6="Y",7&gt;=Control!$B$39),(Control!$B$20*$A$11)*2,0))*Control!$B$41)*(Control!$B$43+Control!$B$45)*POWER(1+Control!$B$18,6)+Control!$B$47*POWER(1+Control!$B$18,6)+(Control!$B$48+Control!$B$49+Control!$B$50+Control!$B$51)*12*POWER(1+Control!$B$18,6)+((Control!$B$20*$A$11)*((Control!$B$28+Control!$B$29*(Control!$B$38-2))+(Control!$B$32+Control!$B$33*(Control!$B$38-2))+IF(AND(Control!$B$5&gt;0,Control!$B$6="Y",7&gt;=Control!$B$39),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59" s="110">
        <f>Control!$B$11*(((((((Control!$B$20*$A$11)*((Control!$B$28+Control!$B$29*(Control!$B$38-2))+(Control!$B$32+Control!$B$33*(Control!$B$38-2))+IF(AND(Control!$B$5&gt;0,Control!$B$6="Y",8&gt;=Control!$B$39),Control!$B$36,0))*POWER(1+Control!$B$17,7))+((((Control!$B$20*$A$11)*Control!$B$38*2+IF(AND(Control!$B$5&gt;0,Control!$B$6="Y",8&gt;=Control!$B$39),(Control!$B$20*$A$11)*2,0))*Control!$B$41)*(Control!$B$42+Control!$B$44)*POWER(1+Control!$B$17,7))+(Control!$B$46*POWER(1+Control!$B$17,7)))-(((Control!$B$20*$A$11)*((Control!$B$28+Control!$B$29*(Control!$B$38-2))+(Control!$B$32+Control!$B$33*(Control!$B$38-2))+IF(AND(Control!$B$5&gt;0,Control!$B$6="Y",8&gt;=Control!$B$39),Control!$B$36,0))*POWER(1+Control!$B$17,7))*Control!$B$52+(((Control!$B$20*$A$11)*Control!$B$38*2+IF(AND(Control!$B$5&gt;0,Control!$B$6="Y",8&gt;=Control!$B$39),(Control!$B$20*$A$11)*2,0))*Control!$B$41)*(Control!$B$43+Control!$B$45)*POWER(1+Control!$B$18,7)+Control!$B$47*POWER(1+Control!$B$18,7)+(Control!$B$48+Control!$B$49+Control!$B$50+Control!$B$51)*12*POWER(1+Control!$B$18,7)+((Control!$B$20*$A$11)*((Control!$B$28+Control!$B$29*(Control!$B$38-2))+(Control!$B$32+Control!$B$33*(Control!$B$38-2))+IF(AND(Control!$B$5&gt;0,Control!$B$6="Y",8&gt;=Control!$B$39),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59" s="110">
        <f>Control!$B$11*(((((((Control!$B$20*$A$11)*((Control!$B$28+Control!$B$29*(Control!$B$38-2))+(Control!$B$32+Control!$B$33*(Control!$B$38-2))+IF(AND(Control!$B$5&gt;0,Control!$B$6="Y",9&gt;=Control!$B$39),Control!$B$36,0))*POWER(1+Control!$B$17,8))+((((Control!$B$20*$A$11)*Control!$B$38*2+IF(AND(Control!$B$5&gt;0,Control!$B$6="Y",9&gt;=Control!$B$39),(Control!$B$20*$A$11)*2,0))*Control!$B$41)*(Control!$B$42+Control!$B$44)*POWER(1+Control!$B$17,8))+(Control!$B$46*POWER(1+Control!$B$17,8)))-(((Control!$B$20*$A$11)*((Control!$B$28+Control!$B$29*(Control!$B$38-2))+(Control!$B$32+Control!$B$33*(Control!$B$38-2))+IF(AND(Control!$B$5&gt;0,Control!$B$6="Y",9&gt;=Control!$B$39),Control!$B$36,0))*POWER(1+Control!$B$17,8))*Control!$B$52+(((Control!$B$20*$A$11)*Control!$B$38*2+IF(AND(Control!$B$5&gt;0,Control!$B$6="Y",9&gt;=Control!$B$39),(Control!$B$20*$A$11)*2,0))*Control!$B$41)*(Control!$B$43+Control!$B$45)*POWER(1+Control!$B$18,8)+Control!$B$47*POWER(1+Control!$B$18,8)+(Control!$B$48+Control!$B$49+Control!$B$50+Control!$B$51)*12*POWER(1+Control!$B$18,8)+((Control!$B$20*$A$11)*((Control!$B$28+Control!$B$29*(Control!$B$38-2))+(Control!$B$32+Control!$B$33*(Control!$B$38-2))+IF(AND(Control!$B$5&gt;0,Control!$B$6="Y",9&gt;=Control!$B$39),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59" s="110">
        <f>Control!$B$11*(((((((Control!$B$20*$A$11)*((Control!$B$28+Control!$B$29*(Control!$B$38-2))+(Control!$B$32+Control!$B$33*(Control!$B$38-2))+IF(AND(Control!$B$5&gt;0,Control!$B$6="Y",10&gt;=Control!$B$39),Control!$B$36,0))*POWER(1+Control!$B$17,9))+((((Control!$B$20*$A$11)*Control!$B$38*2+IF(AND(Control!$B$5&gt;0,Control!$B$6="Y",10&gt;=Control!$B$39),(Control!$B$20*$A$11)*2,0))*Control!$B$41)*(Control!$B$42+Control!$B$44)*POWER(1+Control!$B$17,9))+(Control!$B$46*POWER(1+Control!$B$17,9)))-(((Control!$B$20*$A$11)*((Control!$B$28+Control!$B$29*(Control!$B$38-2))+(Control!$B$32+Control!$B$33*(Control!$B$38-2))+IF(AND(Control!$B$5&gt;0,Control!$B$6="Y",10&gt;=Control!$B$39),Control!$B$36,0))*POWER(1+Control!$B$17,9))*Control!$B$52+(((Control!$B$20*$A$11)*Control!$B$38*2+IF(AND(Control!$B$5&gt;0,Control!$B$6="Y",10&gt;=Control!$B$39),(Control!$B$20*$A$11)*2,0))*Control!$B$41)*(Control!$B$43+Control!$B$45)*POWER(1+Control!$B$18,9)+Control!$B$47*POWER(1+Control!$B$18,9)+(Control!$B$48+Control!$B$49+Control!$B$50+Control!$B$51)*12*POWER(1+Control!$B$18,9)+((Control!$B$20*$A$11)*((Control!$B$28+Control!$B$29*(Control!$B$38-2))+(Control!$B$32+Control!$B$33*(Control!$B$38-2))+IF(AND(Control!$B$5&gt;0,Control!$B$6="Y",10&gt;=Control!$B$39),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59" s="110">
        <f>Control!$B$11*(((((((Control!$B$20*$A$11)*((Control!$B$28+Control!$B$29*(Control!$B$38-2))+(Control!$B$32+Control!$B$33*(Control!$B$38-2))+IF(AND(Control!$B$5&gt;0,Control!$B$6="Y",11&gt;=Control!$B$39),Control!$B$36,0))*POWER(1+Control!$B$17,10))+((((Control!$B$20*$A$11)*Control!$B$38*2+IF(AND(Control!$B$5&gt;0,Control!$B$6="Y",11&gt;=Control!$B$39),(Control!$B$20*$A$11)*2,0))*Control!$B$41)*(Control!$B$42+Control!$B$44)*POWER(1+Control!$B$17,10))+(Control!$B$46*POWER(1+Control!$B$17,10)))-(((Control!$B$20*$A$11)*((Control!$B$28+Control!$B$29*(Control!$B$38-2))+(Control!$B$32+Control!$B$33*(Control!$B$38-2))+IF(AND(Control!$B$5&gt;0,Control!$B$6="Y",11&gt;=Control!$B$39),Control!$B$36,0))*POWER(1+Control!$B$17,10))*Control!$B$52+(((Control!$B$20*$A$11)*Control!$B$38*2+IF(AND(Control!$B$5&gt;0,Control!$B$6="Y",11&gt;=Control!$B$39),(Control!$B$20*$A$11)*2,0))*Control!$B$41)*(Control!$B$43+Control!$B$45)*POWER(1+Control!$B$18,10)+Control!$B$47*POWER(1+Control!$B$18,10)+(Control!$B$48+Control!$B$49+Control!$B$50+Control!$B$51)*12*POWER(1+Control!$B$18,10)+((Control!$B$20*$A$11)*((Control!$B$28+Control!$B$29*(Control!$B$38-2))+(Control!$B$32+Control!$B$33*(Control!$B$38-2))+IF(AND(Control!$B$5&gt;0,Control!$B$6="Y",11&gt;=Control!$B$39),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59" s="110">
        <f>Control!$B$11*(((((((Control!$B$20*$A$11)*((Control!$B$28+Control!$B$29*(Control!$B$38-2))+(Control!$B$32+Control!$B$33*(Control!$B$38-2))+IF(AND(Control!$B$5&gt;0,Control!$B$6="Y",12&gt;=Control!$B$39),Control!$B$36,0))*POWER(1+Control!$B$17,11))+((((Control!$B$20*$A$11)*Control!$B$38*2+IF(AND(Control!$B$5&gt;0,Control!$B$6="Y",12&gt;=Control!$B$39),(Control!$B$20*$A$11)*2,0))*Control!$B$41)*(Control!$B$42+Control!$B$44)*POWER(1+Control!$B$17,11))+(Control!$B$46*POWER(1+Control!$B$17,11)))-(((Control!$B$20*$A$11)*((Control!$B$28+Control!$B$29*(Control!$B$38-2))+(Control!$B$32+Control!$B$33*(Control!$B$38-2))+IF(AND(Control!$B$5&gt;0,Control!$B$6="Y",12&gt;=Control!$B$39),Control!$B$36,0))*POWER(1+Control!$B$17,11))*Control!$B$52+(((Control!$B$20*$A$11)*Control!$B$38*2+IF(AND(Control!$B$5&gt;0,Control!$B$6="Y",12&gt;=Control!$B$39),(Control!$B$20*$A$11)*2,0))*Control!$B$41)*(Control!$B$43+Control!$B$45)*POWER(1+Control!$B$18,11)+Control!$B$47*POWER(1+Control!$B$18,11)+(Control!$B$48+Control!$B$49+Control!$B$50+Control!$B$51)*12*POWER(1+Control!$B$18,11)+((Control!$B$20*$A$11)*((Control!$B$28+Control!$B$29*(Control!$B$38-2))+(Control!$B$32+Control!$B$33*(Control!$B$38-2))+IF(AND(Control!$B$5&gt;0,Control!$B$6="Y",12&gt;=Control!$B$39),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59" s="110">
        <f>Control!$B$11*(((((((Control!$B$20*$A$11)*((Control!$B$28+Control!$B$29*(Control!$B$38-2))+(Control!$B$32+Control!$B$33*(Control!$B$38-2))+IF(AND(Control!$B$5&gt;0,Control!$B$6="Y",13&gt;=Control!$B$39),Control!$B$36,0))*POWER(1+Control!$B$17,12))+((((Control!$B$20*$A$11)*Control!$B$38*2+IF(AND(Control!$B$5&gt;0,Control!$B$6="Y",13&gt;=Control!$B$39),(Control!$B$20*$A$11)*2,0))*Control!$B$41)*(Control!$B$42+Control!$B$44)*POWER(1+Control!$B$17,12))+(Control!$B$46*POWER(1+Control!$B$17,12)))-(((Control!$B$20*$A$11)*((Control!$B$28+Control!$B$29*(Control!$B$38-2))+(Control!$B$32+Control!$B$33*(Control!$B$38-2))+IF(AND(Control!$B$5&gt;0,Control!$B$6="Y",13&gt;=Control!$B$39),Control!$B$36,0))*POWER(1+Control!$B$17,12))*Control!$B$52+(((Control!$B$20*$A$11)*Control!$B$38*2+IF(AND(Control!$B$5&gt;0,Control!$B$6="Y",13&gt;=Control!$B$39),(Control!$B$20*$A$11)*2,0))*Control!$B$41)*(Control!$B$43+Control!$B$45)*POWER(1+Control!$B$18,12)+Control!$B$47*POWER(1+Control!$B$18,12)+(Control!$B$48+Control!$B$49+Control!$B$50+Control!$B$51)*12*POWER(1+Control!$B$18,12)+((Control!$B$20*$A$11)*((Control!$B$28+Control!$B$29*(Control!$B$38-2))+(Control!$B$32+Control!$B$33*(Control!$B$38-2))+IF(AND(Control!$B$5&gt;0,Control!$B$6="Y",13&gt;=Control!$B$39),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59" s="110">
        <f>Control!$B$11*(((((((Control!$B$20*$A$11)*((Control!$B$28+Control!$B$29*(Control!$B$38-2))+(Control!$B$32+Control!$B$33*(Control!$B$38-2))+IF(AND(Control!$B$5&gt;0,Control!$B$6="Y",14&gt;=Control!$B$39),Control!$B$36,0))*POWER(1+Control!$B$17,13))+((((Control!$B$20*$A$11)*Control!$B$38*2+IF(AND(Control!$B$5&gt;0,Control!$B$6="Y",14&gt;=Control!$B$39),(Control!$B$20*$A$11)*2,0))*Control!$B$41)*(Control!$B$42+Control!$B$44)*POWER(1+Control!$B$17,13))+(Control!$B$46*POWER(1+Control!$B$17,13)))-(((Control!$B$20*$A$11)*((Control!$B$28+Control!$B$29*(Control!$B$38-2))+(Control!$B$32+Control!$B$33*(Control!$B$38-2))+IF(AND(Control!$B$5&gt;0,Control!$B$6="Y",14&gt;=Control!$B$39),Control!$B$36,0))*POWER(1+Control!$B$17,13))*Control!$B$52+(((Control!$B$20*$A$11)*Control!$B$38*2+IF(AND(Control!$B$5&gt;0,Control!$B$6="Y",14&gt;=Control!$B$39),(Control!$B$20*$A$11)*2,0))*Control!$B$41)*(Control!$B$43+Control!$B$45)*POWER(1+Control!$B$18,13)+Control!$B$47*POWER(1+Control!$B$18,13)+(Control!$B$48+Control!$B$49+Control!$B$50+Control!$B$51)*12*POWER(1+Control!$B$18,13)+((Control!$B$20*$A$11)*((Control!$B$28+Control!$B$29*(Control!$B$38-2))+(Control!$B$32+Control!$B$33*(Control!$B$38-2))+IF(AND(Control!$B$5&gt;0,Control!$B$6="Y",14&gt;=Control!$B$39),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59" s="110">
        <f>Control!$B$11*(((((((Control!$B$20*$A$11)*((Control!$B$28+Control!$B$29*(Control!$B$38-2))+(Control!$B$32+Control!$B$33*(Control!$B$38-2))+IF(AND(Control!$B$5&gt;0,Control!$B$6="Y",15&gt;=Control!$B$39),Control!$B$36,0))*POWER(1+Control!$B$17,14))+((((Control!$B$20*$A$11)*Control!$B$38*2+IF(AND(Control!$B$5&gt;0,Control!$B$6="Y",15&gt;=Control!$B$39),(Control!$B$20*$A$11)*2,0))*Control!$B$41)*(Control!$B$42+Control!$B$44)*POWER(1+Control!$B$17,14))+(Control!$B$46*POWER(1+Control!$B$17,14)))-(((Control!$B$20*$A$11)*((Control!$B$28+Control!$B$29*(Control!$B$38-2))+(Control!$B$32+Control!$B$33*(Control!$B$38-2))+IF(AND(Control!$B$5&gt;0,Control!$B$6="Y",15&gt;=Control!$B$39),Control!$B$36,0))*POWER(1+Control!$B$17,14))*Control!$B$52+(((Control!$B$20*$A$11)*Control!$B$38*2+IF(AND(Control!$B$5&gt;0,Control!$B$6="Y",15&gt;=Control!$B$39),(Control!$B$20*$A$11)*2,0))*Control!$B$41)*(Control!$B$43+Control!$B$45)*POWER(1+Control!$B$18,14)+Control!$B$47*POWER(1+Control!$B$18,14)+(Control!$B$48+Control!$B$49+Control!$B$50+Control!$B$51)*12*POWER(1+Control!$B$18,14)+((Control!$B$20*$A$11)*((Control!$B$28+Control!$B$29*(Control!$B$38-2))+(Control!$B$32+Control!$B$33*(Control!$B$38-2))+IF(AND(Control!$B$5&gt;0,Control!$B$6="Y",15&gt;=Control!$B$39),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59" s="110">
        <f>Control!$B$11*(((((((Control!$B$20*$A$11)*((Control!$B$28+Control!$B$29*(Control!$B$38-2))+(Control!$B$32+Control!$B$33*(Control!$B$38-2))+IF(AND(Control!$B$5&gt;0,Control!$B$6="Y",16&gt;=Control!$B$39),Control!$B$36,0))*POWER(1+Control!$B$17,15))+((((Control!$B$20*$A$11)*Control!$B$38*2+IF(AND(Control!$B$5&gt;0,Control!$B$6="Y",16&gt;=Control!$B$39),(Control!$B$20*$A$11)*2,0))*Control!$B$41)*(Control!$B$42+Control!$B$44)*POWER(1+Control!$B$17,15))+(Control!$B$46*POWER(1+Control!$B$17,15)))-(((Control!$B$20*$A$11)*((Control!$B$28+Control!$B$29*(Control!$B$38-2))+(Control!$B$32+Control!$B$33*(Control!$B$38-2))+IF(AND(Control!$B$5&gt;0,Control!$B$6="Y",16&gt;=Control!$B$39),Control!$B$36,0))*POWER(1+Control!$B$17,15))*Control!$B$52+(((Control!$B$20*$A$11)*Control!$B$38*2+IF(AND(Control!$B$5&gt;0,Control!$B$6="Y",16&gt;=Control!$B$39),(Control!$B$20*$A$11)*2,0))*Control!$B$41)*(Control!$B$43+Control!$B$45)*POWER(1+Control!$B$18,15)+Control!$B$47*POWER(1+Control!$B$18,15)+(Control!$B$48+Control!$B$49+Control!$B$50+Control!$B$51)*12*POWER(1+Control!$B$18,15)+((Control!$B$20*$A$11)*((Control!$B$28+Control!$B$29*(Control!$B$38-2))+(Control!$B$32+Control!$B$33*(Control!$B$38-2))+IF(AND(Control!$B$5&gt;0,Control!$B$6="Y",16&gt;=Control!$B$39),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59" s="110">
        <f>Control!$B$11*(((((((Control!$B$20*$A$11)*((Control!$B$28+Control!$B$29*(Control!$B$38-2))+(Control!$B$32+Control!$B$33*(Control!$B$38-2))+IF(AND(Control!$B$5&gt;0,Control!$B$6="Y",17&gt;=Control!$B$39),Control!$B$36,0))*POWER(1+Control!$B$17,16))+((((Control!$B$20*$A$11)*Control!$B$38*2+IF(AND(Control!$B$5&gt;0,Control!$B$6="Y",17&gt;=Control!$B$39),(Control!$B$20*$A$11)*2,0))*Control!$B$41)*(Control!$B$42+Control!$B$44)*POWER(1+Control!$B$17,16))+(Control!$B$46*POWER(1+Control!$B$17,16)))-(((Control!$B$20*$A$11)*((Control!$B$28+Control!$B$29*(Control!$B$38-2))+(Control!$B$32+Control!$B$33*(Control!$B$38-2))+IF(AND(Control!$B$5&gt;0,Control!$B$6="Y",17&gt;=Control!$B$39),Control!$B$36,0))*POWER(1+Control!$B$17,16))*Control!$B$52+(((Control!$B$20*$A$11)*Control!$B$38*2+IF(AND(Control!$B$5&gt;0,Control!$B$6="Y",17&gt;=Control!$B$39),(Control!$B$20*$A$11)*2,0))*Control!$B$41)*(Control!$B$43+Control!$B$45)*POWER(1+Control!$B$18,16)+Control!$B$47*POWER(1+Control!$B$18,16)+(Control!$B$48+Control!$B$49+Control!$B$50+Control!$B$51)*12*POWER(1+Control!$B$18,16)+((Control!$B$20*$A$11)*((Control!$B$28+Control!$B$29*(Control!$B$38-2))+(Control!$B$32+Control!$B$33*(Control!$B$38-2))+IF(AND(Control!$B$5&gt;0,Control!$B$6="Y",17&gt;=Control!$B$39),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59" s="110">
        <f>Control!$B$11*(((((((Control!$B$20*$A$11)*((Control!$B$28+Control!$B$29*(Control!$B$38-2))+(Control!$B$32+Control!$B$33*(Control!$B$38-2))+IF(AND(Control!$B$5&gt;0,Control!$B$6="Y",18&gt;=Control!$B$39),Control!$B$36,0))*POWER(1+Control!$B$17,17))+((((Control!$B$20*$A$11)*Control!$B$38*2+IF(AND(Control!$B$5&gt;0,Control!$B$6="Y",18&gt;=Control!$B$39),(Control!$B$20*$A$11)*2,0))*Control!$B$41)*(Control!$B$42+Control!$B$44)*POWER(1+Control!$B$17,17))+(Control!$B$46*POWER(1+Control!$B$17,17)))-(((Control!$B$20*$A$11)*((Control!$B$28+Control!$B$29*(Control!$B$38-2))+(Control!$B$32+Control!$B$33*(Control!$B$38-2))+IF(AND(Control!$B$5&gt;0,Control!$B$6="Y",18&gt;=Control!$B$39),Control!$B$36,0))*POWER(1+Control!$B$17,17))*Control!$B$52+(((Control!$B$20*$A$11)*Control!$B$38*2+IF(AND(Control!$B$5&gt;0,Control!$B$6="Y",18&gt;=Control!$B$39),(Control!$B$20*$A$11)*2,0))*Control!$B$41)*(Control!$B$43+Control!$B$45)*POWER(1+Control!$B$18,17)+Control!$B$47*POWER(1+Control!$B$18,17)+(Control!$B$48+Control!$B$49+Control!$B$50+Control!$B$51)*12*POWER(1+Control!$B$18,17)+((Control!$B$20*$A$11)*((Control!$B$28+Control!$B$29*(Control!$B$38-2))+(Control!$B$32+Control!$B$33*(Control!$B$38-2))+IF(AND(Control!$B$5&gt;0,Control!$B$6="Y",18&gt;=Control!$B$39),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59" s="110">
        <f>Control!$B$11*(((((((Control!$B$20*$A$11)*((Control!$B$28+Control!$B$29*(Control!$B$38-2))+(Control!$B$32+Control!$B$33*(Control!$B$38-2))+IF(AND(Control!$B$5&gt;0,Control!$B$6="Y",19&gt;=Control!$B$39),Control!$B$36,0))*POWER(1+Control!$B$17,18))+((((Control!$B$20*$A$11)*Control!$B$38*2+IF(AND(Control!$B$5&gt;0,Control!$B$6="Y",19&gt;=Control!$B$39),(Control!$B$20*$A$11)*2,0))*Control!$B$41)*(Control!$B$42+Control!$B$44)*POWER(1+Control!$B$17,18))+(Control!$B$46*POWER(1+Control!$B$17,18)))-(((Control!$B$20*$A$11)*((Control!$B$28+Control!$B$29*(Control!$B$38-2))+(Control!$B$32+Control!$B$33*(Control!$B$38-2))+IF(AND(Control!$B$5&gt;0,Control!$B$6="Y",19&gt;=Control!$B$39),Control!$B$36,0))*POWER(1+Control!$B$17,18))*Control!$B$52+(((Control!$B$20*$A$11)*Control!$B$38*2+IF(AND(Control!$B$5&gt;0,Control!$B$6="Y",19&gt;=Control!$B$39),(Control!$B$20*$A$11)*2,0))*Control!$B$41)*(Control!$B$43+Control!$B$45)*POWER(1+Control!$B$18,18)+Control!$B$47*POWER(1+Control!$B$18,18)+(Control!$B$48+Control!$B$49+Control!$B$50+Control!$B$51)*12*POWER(1+Control!$B$18,18)+((Control!$B$20*$A$11)*((Control!$B$28+Control!$B$29*(Control!$B$38-2))+(Control!$B$32+Control!$B$33*(Control!$B$38-2))+IF(AND(Control!$B$5&gt;0,Control!$B$6="Y",19&gt;=Control!$B$39),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59" s="110">
        <f>Control!$B$11*(((((((Control!$B$20*$A$11)*((Control!$B$28+Control!$B$29*(Control!$B$38-2))+(Control!$B$32+Control!$B$33*(Control!$B$38-2))+IF(AND(Control!$B$5&gt;0,Control!$B$6="Y",20&gt;=Control!$B$39),Control!$B$36,0))*POWER(1+Control!$B$17,19))+((((Control!$B$20*$A$11)*Control!$B$38*2+IF(AND(Control!$B$5&gt;0,Control!$B$6="Y",20&gt;=Control!$B$39),(Control!$B$20*$A$11)*2,0))*Control!$B$41)*(Control!$B$42+Control!$B$44)*POWER(1+Control!$B$17,19))+(Control!$B$46*POWER(1+Control!$B$17,19)))-(((Control!$B$20*$A$11)*((Control!$B$28+Control!$B$29*(Control!$B$38-2))+(Control!$B$32+Control!$B$33*(Control!$B$38-2))+IF(AND(Control!$B$5&gt;0,Control!$B$6="Y",20&gt;=Control!$B$39),Control!$B$36,0))*POWER(1+Control!$B$17,19))*Control!$B$52+(((Control!$B$20*$A$11)*Control!$B$38*2+IF(AND(Control!$B$5&gt;0,Control!$B$6="Y",20&gt;=Control!$B$39),(Control!$B$20*$A$11)*2,0))*Control!$B$41)*(Control!$B$43+Control!$B$45)*POWER(1+Control!$B$18,19)+Control!$B$47*POWER(1+Control!$B$18,19)+(Control!$B$48+Control!$B$49+Control!$B$50+Control!$B$51)*12*POWER(1+Control!$B$18,19)+((Control!$B$20*$A$11)*((Control!$B$28+Control!$B$29*(Control!$B$38-2))+(Control!$B$32+Control!$B$33*(Control!$B$38-2))+IF(AND(Control!$B$5&gt;0,Control!$B$6="Y",20&gt;=Control!$B$39),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60">
      <c r="A60" s="110" t="inlineStr">
        <is>
          <t>[calc] Occupancy 0.85 cum</t>
        </is>
      </c>
      <c r="B60" s="110" t="n"/>
      <c r="C60" s="110" t="n"/>
      <c r="D60" s="110">
        <f>D59</f>
        <v/>
      </c>
      <c r="E60" s="110">
        <f>D60+E59</f>
        <v/>
      </c>
      <c r="F60" s="110">
        <f>E60+F59</f>
        <v/>
      </c>
      <c r="G60" s="110">
        <f>F60+G59</f>
        <v/>
      </c>
      <c r="H60" s="110">
        <f>G60+H59</f>
        <v/>
      </c>
      <c r="I60" s="110">
        <f>H60+I59</f>
        <v/>
      </c>
      <c r="J60" s="110">
        <f>I60+J59</f>
        <v/>
      </c>
      <c r="K60" s="110">
        <f>J60+K59</f>
        <v/>
      </c>
      <c r="L60" s="110">
        <f>K60+L59</f>
        <v/>
      </c>
      <c r="M60" s="110">
        <f>L60+M59</f>
        <v/>
      </c>
      <c r="N60" s="110">
        <f>M60+N59</f>
        <v/>
      </c>
      <c r="O60" s="110">
        <f>N60+O59</f>
        <v/>
      </c>
      <c r="P60" s="110">
        <f>O60+P59</f>
        <v/>
      </c>
      <c r="Q60" s="110">
        <f>P60+Q59</f>
        <v/>
      </c>
      <c r="R60" s="110">
        <f>Q60+R59</f>
        <v/>
      </c>
      <c r="S60" s="110">
        <f>R60+S59</f>
        <v/>
      </c>
      <c r="T60" s="110">
        <f>S60+T59</f>
        <v/>
      </c>
      <c r="U60" s="110">
        <f>T60+U59</f>
        <v/>
      </c>
      <c r="V60" s="110">
        <f>U60+V59</f>
        <v/>
      </c>
      <c r="W60" s="110" t="n"/>
    </row>
    <row r="61">
      <c r="A61" s="110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10" t="n"/>
      <c r="Q61" s="110" t="n"/>
      <c r="R61" s="110" t="n"/>
      <c r="S61" s="110" t="n"/>
      <c r="T61" s="110" t="n"/>
      <c r="U61" s="110" t="n"/>
      <c r="V61" s="110" t="n"/>
      <c r="W61" s="110" t="n"/>
    </row>
    <row r="6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O62" s="110" t="n"/>
      <c r="P62" s="110" t="n"/>
      <c r="Q62" s="110" t="n"/>
      <c r="R62" s="110" t="n"/>
      <c r="S62" s="110" t="n"/>
      <c r="T62" s="110" t="n"/>
      <c r="U62" s="110" t="n"/>
      <c r="V62" s="110" t="n"/>
      <c r="W62" s="110" t="n"/>
    </row>
    <row r="63">
      <c r="A63" s="110" t="inlineStr">
        <is>
          <t>[calc] ADR escalation 0.03 dist</t>
        </is>
      </c>
      <c r="B63" s="110" t="n"/>
      <c r="C63" s="114">
        <f>-Control!$B$15</f>
        <v/>
      </c>
      <c r="D63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$15,0))+(((Control!$B$20*(Control!$B$30*Control!$B$31+Control!$B$34*Control!$B$35+IF(AND(Control!$B$5&gt;0,Control!$B$6="Y",1&gt;=Control!$B$39),Control!$B$37*Control!$B$38,0)))*Control!$B$41)*(Control!$B$42+Control!$B$44)*POWER(1+$A$15,0))+(Control!$B$46*POWER(1+$A$15,0)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$15,0)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$15,0))*Control!$B$26))+(((Control!$B$54*Control!$B$55+Control!$B$56*Control!$B$57*Control!$B$58*Control!$B$59)*POWER(1+$A$15,0))-((Control!$B$56*Control!$B$57*Control!$B$58*Control!$B$59*POWER(1+$A$15,0))*Control!$B$60+(Control!$B$61+Control!$B$62+Control!$B$63)*12*POWER(1+Control!$B$18,0)+((Control!$B$54*Control!$B$55+Control!$B$56*Control!$B$57*Control!$B$58*Control!$B$59)*POWER(1+$A$15,0))*Control!$B$26))+((Control!$B$65*12*POWER(1+$A$15,0))-((Control!$B$66+Control!$B$67+Control!$B$68)*12*POWER(1+Control!$B$18,0)+(Control!$B$65*12*POWER(1+$A$15,0))*Control!$B$26)))*(1-Control!$B$23))-IF(AND(Control!$B$5&gt;0,Control!$B$6="Y",1=Control!$B$39-1),Control!$B$40,0))</f>
        <v/>
      </c>
      <c r="E63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$15,1))+(((Control!$B$20*(Control!$B$30*Control!$B$31+Control!$B$34*Control!$B$35+IF(AND(Control!$B$5&gt;0,Control!$B$6="Y",2&gt;=Control!$B$39),Control!$B$37*Control!$B$38,0)))*Control!$B$41)*(Control!$B$42+Control!$B$44)*POWER(1+$A$15,1))+(Control!$B$46*POWER(1+$A$15,1)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$15,1)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$15,1))*Control!$B$26))+(((Control!$B$54*Control!$B$55+Control!$B$56*Control!$B$57*Control!$B$58*Control!$B$59)*POWER(1+$A$15,1))-((Control!$B$56*Control!$B$57*Control!$B$58*Control!$B$59*POWER(1+$A$15,1))*Control!$B$60+(Control!$B$61+Control!$B$62+Control!$B$63)*12*POWER(1+Control!$B$18,1)+((Control!$B$54*Control!$B$55+Control!$B$56*Control!$B$57*Control!$B$58*Control!$B$59)*POWER(1+$A$15,1))*Control!$B$26))+((Control!$B$65*12*POWER(1+$A$15,1))-((Control!$B$66+Control!$B$67+Control!$B$68)*12*POWER(1+Control!$B$18,1)+(Control!$B$65*12*POWER(1+$A$15,1))*Control!$B$26)))*(1-Control!$B$23))-IF(AND(Control!$B$5&gt;0,Control!$B$6="Y",2=Control!$B$39-1),Control!$B$40,0))</f>
        <v/>
      </c>
      <c r="F63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$15,2))+(((Control!$B$20*(Control!$B$30*Control!$B$31+Control!$B$34*Control!$B$35+IF(AND(Control!$B$5&gt;0,Control!$B$6="Y",3&gt;=Control!$B$39),Control!$B$37*Control!$B$38,0)))*Control!$B$41)*(Control!$B$42+Control!$B$44)*POWER(1+$A$15,2))+(Control!$B$46*POWER(1+$A$15,2)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$15,2)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$15,2))*Control!$B$26))+(((Control!$B$54*Control!$B$55+Control!$B$56*Control!$B$57*Control!$B$58*Control!$B$59)*POWER(1+$A$15,2))-((Control!$B$56*Control!$B$57*Control!$B$58*Control!$B$59*POWER(1+$A$15,2))*Control!$B$60+(Control!$B$61+Control!$B$62+Control!$B$63)*12*POWER(1+Control!$B$18,2)+((Control!$B$54*Control!$B$55+Control!$B$56*Control!$B$57*Control!$B$58*Control!$B$59)*POWER(1+$A$15,2))*Control!$B$26))+((Control!$B$65*12*POWER(1+$A$15,2))-((Control!$B$66+Control!$B$67+Control!$B$68)*12*POWER(1+Control!$B$18,2)+(Control!$B$65*12*POWER(1+$A$15,2))*Control!$B$26)))*(1-Control!$B$23))-IF(AND(Control!$B$5&gt;0,Control!$B$6="Y",3=Control!$B$39-1),Control!$B$40,0))</f>
        <v/>
      </c>
      <c r="G63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$15,3))+(((Control!$B$20*(Control!$B$30*Control!$B$31+Control!$B$34*Control!$B$35+IF(AND(Control!$B$5&gt;0,Control!$B$6="Y",4&gt;=Control!$B$39),Control!$B$37*Control!$B$38,0)))*Control!$B$41)*(Control!$B$42+Control!$B$44)*POWER(1+$A$15,3))+(Control!$B$46*POWER(1+$A$15,3)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$15,3)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$15,3))*Control!$B$26))+(((Control!$B$54*Control!$B$55+Control!$B$56*Control!$B$57*Control!$B$58*Control!$B$59)*POWER(1+$A$15,3))-((Control!$B$56*Control!$B$57*Control!$B$58*Control!$B$59*POWER(1+$A$15,3))*Control!$B$60+(Control!$B$61+Control!$B$62+Control!$B$63)*12*POWER(1+Control!$B$18,3)+((Control!$B$54*Control!$B$55+Control!$B$56*Control!$B$57*Control!$B$58*Control!$B$59)*POWER(1+$A$15,3))*Control!$B$26))+((Control!$B$65*12*POWER(1+$A$15,3))-((Control!$B$66+Control!$B$67+Control!$B$68)*12*POWER(1+Control!$B$18,3)+(Control!$B$65*12*POWER(1+$A$15,3))*Control!$B$26)))*(1-Control!$B$23))-IF(AND(Control!$B$5&gt;0,Control!$B$6="Y",4=Control!$B$39-1),Control!$B$40,0))</f>
        <v/>
      </c>
      <c r="H63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$15,4))+(((Control!$B$20*(Control!$B$30*Control!$B$31+Control!$B$34*Control!$B$35+IF(AND(Control!$B$5&gt;0,Control!$B$6="Y",5&gt;=Control!$B$39),Control!$B$37*Control!$B$38,0)))*Control!$B$41)*(Control!$B$42+Control!$B$44)*POWER(1+$A$15,4))+(Control!$B$46*POWER(1+$A$15,4)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$15,4)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$15,4))*Control!$B$26))+(((Control!$B$54*Control!$B$55+Control!$B$56*Control!$B$57*Control!$B$58*Control!$B$59)*POWER(1+$A$15,4))-((Control!$B$56*Control!$B$57*Control!$B$58*Control!$B$59*POWER(1+$A$15,4))*Control!$B$60+(Control!$B$61+Control!$B$62+Control!$B$63)*12*POWER(1+Control!$B$18,4)+((Control!$B$54*Control!$B$55+Control!$B$56*Control!$B$57*Control!$B$58*Control!$B$59)*POWER(1+$A$15,4))*Control!$B$26))+((Control!$B$65*12*POWER(1+$A$15,4))-((Control!$B$66+Control!$B$67+Control!$B$68)*12*POWER(1+Control!$B$18,4)+(Control!$B$65*12*POWER(1+$A$15,4))*Control!$B$26)))*(1-Control!$B$23))-IF(AND(Control!$B$5&gt;0,Control!$B$6="Y",5=Control!$B$39-1),Control!$B$40,0))</f>
        <v/>
      </c>
      <c r="I63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$15,5))+(((Control!$B$20*(Control!$B$30*Control!$B$31+Control!$B$34*Control!$B$35+IF(AND(Control!$B$5&gt;0,Control!$B$6="Y",6&gt;=Control!$B$39),Control!$B$37*Control!$B$38,0)))*Control!$B$41)*(Control!$B$42+Control!$B$44)*POWER(1+$A$15,5))+(Control!$B$46*POWER(1+$A$15,5)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$15,5)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$15,5))*Control!$B$26))+(((Control!$B$54*Control!$B$55+Control!$B$56*Control!$B$57*Control!$B$58*Control!$B$59)*POWER(1+$A$15,5))-((Control!$B$56*Control!$B$57*Control!$B$58*Control!$B$59*POWER(1+$A$15,5))*Control!$B$60+(Control!$B$61+Control!$B$62+Control!$B$63)*12*POWER(1+Control!$B$18,5)+((Control!$B$54*Control!$B$55+Control!$B$56*Control!$B$57*Control!$B$58*Control!$B$59)*POWER(1+$A$15,5))*Control!$B$26))+((Control!$B$65*12*POWER(1+$A$15,5))-((Control!$B$66+Control!$B$67+Control!$B$68)*12*POWER(1+Control!$B$18,5)+(Control!$B$65*12*POWER(1+$A$15,5))*Control!$B$26)))*(1-Control!$B$23))-IF(AND(Control!$B$5&gt;0,Control!$B$6="Y",6=Control!$B$39-1),Control!$B$40,0))</f>
        <v/>
      </c>
      <c r="J63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$15,6))+(((Control!$B$20*(Control!$B$30*Control!$B$31+Control!$B$34*Control!$B$35+IF(AND(Control!$B$5&gt;0,Control!$B$6="Y",7&gt;=Control!$B$39),Control!$B$37*Control!$B$38,0)))*Control!$B$41)*(Control!$B$42+Control!$B$44)*POWER(1+$A$15,6))+(Control!$B$46*POWER(1+$A$15,6)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$15,6)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$15,6))*Control!$B$26))+(((Control!$B$54*Control!$B$55+Control!$B$56*Control!$B$57*Control!$B$58*Control!$B$59)*POWER(1+$A$15,6))-((Control!$B$56*Control!$B$57*Control!$B$58*Control!$B$59*POWER(1+$A$15,6))*Control!$B$60+(Control!$B$61+Control!$B$62+Control!$B$63)*12*POWER(1+Control!$B$18,6)+((Control!$B$54*Control!$B$55+Control!$B$56*Control!$B$57*Control!$B$58*Control!$B$59)*POWER(1+$A$15,6))*Control!$B$26))+((Control!$B$65*12*POWER(1+$A$15,6))-((Control!$B$66+Control!$B$67+Control!$B$68)*12*POWER(1+Control!$B$18,6)+(Control!$B$65*12*POWER(1+$A$15,6))*Control!$B$26)))*(1-Control!$B$23))-IF(AND(Control!$B$5&gt;0,Control!$B$6="Y",7=Control!$B$39-1),Control!$B$40,0))</f>
        <v/>
      </c>
      <c r="K63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$15,7))+(((Control!$B$20*(Control!$B$30*Control!$B$31+Control!$B$34*Control!$B$35+IF(AND(Control!$B$5&gt;0,Control!$B$6="Y",8&gt;=Control!$B$39),Control!$B$37*Control!$B$38,0)))*Control!$B$41)*(Control!$B$42+Control!$B$44)*POWER(1+$A$15,7))+(Control!$B$46*POWER(1+$A$15,7)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$15,7)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$15,7))*Control!$B$26))+(((Control!$B$54*Control!$B$55+Control!$B$56*Control!$B$57*Control!$B$58*Control!$B$59)*POWER(1+$A$15,7))-((Control!$B$56*Control!$B$57*Control!$B$58*Control!$B$59*POWER(1+$A$15,7))*Control!$B$60+(Control!$B$61+Control!$B$62+Control!$B$63)*12*POWER(1+Control!$B$18,7)+((Control!$B$54*Control!$B$55+Control!$B$56*Control!$B$57*Control!$B$58*Control!$B$59)*POWER(1+$A$15,7))*Control!$B$26))+((Control!$B$65*12*POWER(1+$A$15,7))-((Control!$B$66+Control!$B$67+Control!$B$68)*12*POWER(1+Control!$B$18,7)+(Control!$B$65*12*POWER(1+$A$15,7))*Control!$B$26)))*(1-Control!$B$23))-IF(AND(Control!$B$5&gt;0,Control!$B$6="Y",8=Control!$B$39-1),Control!$B$40,0))</f>
        <v/>
      </c>
      <c r="L63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$15,8))+(((Control!$B$20*(Control!$B$30*Control!$B$31+Control!$B$34*Control!$B$35+IF(AND(Control!$B$5&gt;0,Control!$B$6="Y",9&gt;=Control!$B$39),Control!$B$37*Control!$B$38,0)))*Control!$B$41)*(Control!$B$42+Control!$B$44)*POWER(1+$A$15,8))+(Control!$B$46*POWER(1+$A$15,8)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$15,8)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$15,8))*Control!$B$26))+(((Control!$B$54*Control!$B$55+Control!$B$56*Control!$B$57*Control!$B$58*Control!$B$59)*POWER(1+$A$15,8))-((Control!$B$56*Control!$B$57*Control!$B$58*Control!$B$59*POWER(1+$A$15,8))*Control!$B$60+(Control!$B$61+Control!$B$62+Control!$B$63)*12*POWER(1+Control!$B$18,8)+((Control!$B$54*Control!$B$55+Control!$B$56*Control!$B$57*Control!$B$58*Control!$B$59)*POWER(1+$A$15,8))*Control!$B$26))+((Control!$B$65*12*POWER(1+$A$15,8))-((Control!$B$66+Control!$B$67+Control!$B$68)*12*POWER(1+Control!$B$18,8)+(Control!$B$65*12*POWER(1+$A$15,8))*Control!$B$26)))*(1-Control!$B$23))-IF(AND(Control!$B$5&gt;0,Control!$B$6="Y",9=Control!$B$39-1),Control!$B$40,0))</f>
        <v/>
      </c>
      <c r="M63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$15,9))+(((Control!$B$20*(Control!$B$30*Control!$B$31+Control!$B$34*Control!$B$35+IF(AND(Control!$B$5&gt;0,Control!$B$6="Y",10&gt;=Control!$B$39),Control!$B$37*Control!$B$38,0)))*Control!$B$41)*(Control!$B$42+Control!$B$44)*POWER(1+$A$15,9))+(Control!$B$46*POWER(1+$A$15,9)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$15,9)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$15,9))*Control!$B$26))+(((Control!$B$54*Control!$B$55+Control!$B$56*Control!$B$57*Control!$B$58*Control!$B$59)*POWER(1+$A$15,9))-((Control!$B$56*Control!$B$57*Control!$B$58*Control!$B$59*POWER(1+$A$15,9))*Control!$B$60+(Control!$B$61+Control!$B$62+Control!$B$63)*12*POWER(1+Control!$B$18,9)+((Control!$B$54*Control!$B$55+Control!$B$56*Control!$B$57*Control!$B$58*Control!$B$59)*POWER(1+$A$15,9))*Control!$B$26))+((Control!$B$65*12*POWER(1+$A$15,9))-((Control!$B$66+Control!$B$67+Control!$B$68)*12*POWER(1+Control!$B$18,9)+(Control!$B$65*12*POWER(1+$A$15,9))*Control!$B$26)))*(1-Control!$B$23))-IF(AND(Control!$B$5&gt;0,Control!$B$6="Y",10=Control!$B$39-1),Control!$B$40,0))</f>
        <v/>
      </c>
      <c r="N63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$15,10))+(((Control!$B$20*(Control!$B$30*Control!$B$31+Control!$B$34*Control!$B$35+IF(AND(Control!$B$5&gt;0,Control!$B$6="Y",11&gt;=Control!$B$39),Control!$B$37*Control!$B$38,0)))*Control!$B$41)*(Control!$B$42+Control!$B$44)*POWER(1+$A$15,10))+(Control!$B$46*POWER(1+$A$15,10)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$15,10)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$15,10))*Control!$B$26))+(((Control!$B$54*Control!$B$55+Control!$B$56*Control!$B$57*Control!$B$58*Control!$B$59)*POWER(1+$A$15,10))-((Control!$B$56*Control!$B$57*Control!$B$58*Control!$B$59*POWER(1+$A$15,10))*Control!$B$60+(Control!$B$61+Control!$B$62+Control!$B$63)*12*POWER(1+Control!$B$18,10)+((Control!$B$54*Control!$B$55+Control!$B$56*Control!$B$57*Control!$B$58*Control!$B$59)*POWER(1+$A$15,10))*Control!$B$26))+((Control!$B$65*12*POWER(1+$A$15,10))-((Control!$B$66+Control!$B$67+Control!$B$68)*12*POWER(1+Control!$B$18,10)+(Control!$B$65*12*POWER(1+$A$15,10))*Control!$B$26)))*(1-Control!$B$23))-IF(AND(Control!$B$5&gt;0,Control!$B$6="Y",11=Control!$B$39-1),Control!$B$40,0))</f>
        <v/>
      </c>
      <c r="O63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$15,11))+(((Control!$B$20*(Control!$B$30*Control!$B$31+Control!$B$34*Control!$B$35+IF(AND(Control!$B$5&gt;0,Control!$B$6="Y",12&gt;=Control!$B$39),Control!$B$37*Control!$B$38,0)))*Control!$B$41)*(Control!$B$42+Control!$B$44)*POWER(1+$A$15,11))+(Control!$B$46*POWER(1+$A$15,11)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$15,11)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$15,11))*Control!$B$26))+(((Control!$B$54*Control!$B$55+Control!$B$56*Control!$B$57*Control!$B$58*Control!$B$59)*POWER(1+$A$15,11))-((Control!$B$56*Control!$B$57*Control!$B$58*Control!$B$59*POWER(1+$A$15,11))*Control!$B$60+(Control!$B$61+Control!$B$62+Control!$B$63)*12*POWER(1+Control!$B$18,11)+((Control!$B$54*Control!$B$55+Control!$B$56*Control!$B$57*Control!$B$58*Control!$B$59)*POWER(1+$A$15,11))*Control!$B$26))+((Control!$B$65*12*POWER(1+$A$15,11))-((Control!$B$66+Control!$B$67+Control!$B$68)*12*POWER(1+Control!$B$18,11)+(Control!$B$65*12*POWER(1+$A$15,11))*Control!$B$26)))*(1-Control!$B$23))-IF(AND(Control!$B$5&gt;0,Control!$B$6="Y",12=Control!$B$39-1),Control!$B$40,0))</f>
        <v/>
      </c>
      <c r="P63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$15,12))+(((Control!$B$20*(Control!$B$30*Control!$B$31+Control!$B$34*Control!$B$35+IF(AND(Control!$B$5&gt;0,Control!$B$6="Y",13&gt;=Control!$B$39),Control!$B$37*Control!$B$38,0)))*Control!$B$41)*(Control!$B$42+Control!$B$44)*POWER(1+$A$15,12))+(Control!$B$46*POWER(1+$A$15,12)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$15,12)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$15,12))*Control!$B$26))+(((Control!$B$54*Control!$B$55+Control!$B$56*Control!$B$57*Control!$B$58*Control!$B$59)*POWER(1+$A$15,12))-((Control!$B$56*Control!$B$57*Control!$B$58*Control!$B$59*POWER(1+$A$15,12))*Control!$B$60+(Control!$B$61+Control!$B$62+Control!$B$63)*12*POWER(1+Control!$B$18,12)+((Control!$B$54*Control!$B$55+Control!$B$56*Control!$B$57*Control!$B$58*Control!$B$59)*POWER(1+$A$15,12))*Control!$B$26))+((Control!$B$65*12*POWER(1+$A$15,12))-((Control!$B$66+Control!$B$67+Control!$B$68)*12*POWER(1+Control!$B$18,12)+(Control!$B$65*12*POWER(1+$A$15,12))*Control!$B$26)))*(1-Control!$B$23))-IF(AND(Control!$B$5&gt;0,Control!$B$6="Y",13=Control!$B$39-1),Control!$B$40,0))</f>
        <v/>
      </c>
      <c r="Q63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$15,13))+(((Control!$B$20*(Control!$B$30*Control!$B$31+Control!$B$34*Control!$B$35+IF(AND(Control!$B$5&gt;0,Control!$B$6="Y",14&gt;=Control!$B$39),Control!$B$37*Control!$B$38,0)))*Control!$B$41)*(Control!$B$42+Control!$B$44)*POWER(1+$A$15,13))+(Control!$B$46*POWER(1+$A$15,13)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$15,13)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$15,13))*Control!$B$26))+(((Control!$B$54*Control!$B$55+Control!$B$56*Control!$B$57*Control!$B$58*Control!$B$59)*POWER(1+$A$15,13))-((Control!$B$56*Control!$B$57*Control!$B$58*Control!$B$59*POWER(1+$A$15,13))*Control!$B$60+(Control!$B$61+Control!$B$62+Control!$B$63)*12*POWER(1+Control!$B$18,13)+((Control!$B$54*Control!$B$55+Control!$B$56*Control!$B$57*Control!$B$58*Control!$B$59)*POWER(1+$A$15,13))*Control!$B$26))+((Control!$B$65*12*POWER(1+$A$15,13))-((Control!$B$66+Control!$B$67+Control!$B$68)*12*POWER(1+Control!$B$18,13)+(Control!$B$65*12*POWER(1+$A$15,13))*Control!$B$26)))*(1-Control!$B$23))-IF(AND(Control!$B$5&gt;0,Control!$B$6="Y",14=Control!$B$39-1),Control!$B$40,0))</f>
        <v/>
      </c>
      <c r="R63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$15,14))+(((Control!$B$20*(Control!$B$30*Control!$B$31+Control!$B$34*Control!$B$35+IF(AND(Control!$B$5&gt;0,Control!$B$6="Y",15&gt;=Control!$B$39),Control!$B$37*Control!$B$38,0)))*Control!$B$41)*(Control!$B$42+Control!$B$44)*POWER(1+$A$15,14))+(Control!$B$46*POWER(1+$A$15,14)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$15,14)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$15,14))*Control!$B$26))+(((Control!$B$54*Control!$B$55+Control!$B$56*Control!$B$57*Control!$B$58*Control!$B$59)*POWER(1+$A$15,14))-((Control!$B$56*Control!$B$57*Control!$B$58*Control!$B$59*POWER(1+$A$15,14))*Control!$B$60+(Control!$B$61+Control!$B$62+Control!$B$63)*12*POWER(1+Control!$B$18,14)+((Control!$B$54*Control!$B$55+Control!$B$56*Control!$B$57*Control!$B$58*Control!$B$59)*POWER(1+$A$15,14))*Control!$B$26))+((Control!$B$65*12*POWER(1+$A$15,14))-((Control!$B$66+Control!$B$67+Control!$B$68)*12*POWER(1+Control!$B$18,14)+(Control!$B$65*12*POWER(1+$A$15,14))*Control!$B$26)))*(1-Control!$B$23))-IF(AND(Control!$B$5&gt;0,Control!$B$6="Y",15=Control!$B$39-1),Control!$B$40,0))</f>
        <v/>
      </c>
      <c r="S63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$15,15))+(((Control!$B$20*(Control!$B$30*Control!$B$31+Control!$B$34*Control!$B$35+IF(AND(Control!$B$5&gt;0,Control!$B$6="Y",16&gt;=Control!$B$39),Control!$B$37*Control!$B$38,0)))*Control!$B$41)*(Control!$B$42+Control!$B$44)*POWER(1+$A$15,15))+(Control!$B$46*POWER(1+$A$15,15)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$15,15)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$15,15))*Control!$B$26))+(((Control!$B$54*Control!$B$55+Control!$B$56*Control!$B$57*Control!$B$58*Control!$B$59)*POWER(1+$A$15,15))-((Control!$B$56*Control!$B$57*Control!$B$58*Control!$B$59*POWER(1+$A$15,15))*Control!$B$60+(Control!$B$61+Control!$B$62+Control!$B$63)*12*POWER(1+Control!$B$18,15)+((Control!$B$54*Control!$B$55+Control!$B$56*Control!$B$57*Control!$B$58*Control!$B$59)*POWER(1+$A$15,15))*Control!$B$26))+((Control!$B$65*12*POWER(1+$A$15,15))-((Control!$B$66+Control!$B$67+Control!$B$68)*12*POWER(1+Control!$B$18,15)+(Control!$B$65*12*POWER(1+$A$15,15))*Control!$B$26)))*(1-Control!$B$23))-IF(AND(Control!$B$5&gt;0,Control!$B$6="Y",16=Control!$B$39-1),Control!$B$40,0))</f>
        <v/>
      </c>
      <c r="T63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$15,16))+(((Control!$B$20*(Control!$B$30*Control!$B$31+Control!$B$34*Control!$B$35+IF(AND(Control!$B$5&gt;0,Control!$B$6="Y",17&gt;=Control!$B$39),Control!$B$37*Control!$B$38,0)))*Control!$B$41)*(Control!$B$42+Control!$B$44)*POWER(1+$A$15,16))+(Control!$B$46*POWER(1+$A$15,16)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$15,16)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$15,16))*Control!$B$26))+(((Control!$B$54*Control!$B$55+Control!$B$56*Control!$B$57*Control!$B$58*Control!$B$59)*POWER(1+$A$15,16))-((Control!$B$56*Control!$B$57*Control!$B$58*Control!$B$59*POWER(1+$A$15,16))*Control!$B$60+(Control!$B$61+Control!$B$62+Control!$B$63)*12*POWER(1+Control!$B$18,16)+((Control!$B$54*Control!$B$55+Control!$B$56*Control!$B$57*Control!$B$58*Control!$B$59)*POWER(1+$A$15,16))*Control!$B$26))+((Control!$B$65*12*POWER(1+$A$15,16))-((Control!$B$66+Control!$B$67+Control!$B$68)*12*POWER(1+Control!$B$18,16)+(Control!$B$65*12*POWER(1+$A$15,16))*Control!$B$26)))*(1-Control!$B$23))-IF(AND(Control!$B$5&gt;0,Control!$B$6="Y",17=Control!$B$39-1),Control!$B$40,0))</f>
        <v/>
      </c>
      <c r="U63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$15,17))+(((Control!$B$20*(Control!$B$30*Control!$B$31+Control!$B$34*Control!$B$35+IF(AND(Control!$B$5&gt;0,Control!$B$6="Y",18&gt;=Control!$B$39),Control!$B$37*Control!$B$38,0)))*Control!$B$41)*(Control!$B$42+Control!$B$44)*POWER(1+$A$15,17))+(Control!$B$46*POWER(1+$A$15,17)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$15,17)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$15,17))*Control!$B$26))+(((Control!$B$54*Control!$B$55+Control!$B$56*Control!$B$57*Control!$B$58*Control!$B$59)*POWER(1+$A$15,17))-((Control!$B$56*Control!$B$57*Control!$B$58*Control!$B$59*POWER(1+$A$15,17))*Control!$B$60+(Control!$B$61+Control!$B$62+Control!$B$63)*12*POWER(1+Control!$B$18,17)+((Control!$B$54*Control!$B$55+Control!$B$56*Control!$B$57*Control!$B$58*Control!$B$59)*POWER(1+$A$15,17))*Control!$B$26))+((Control!$B$65*12*POWER(1+$A$15,17))-((Control!$B$66+Control!$B$67+Control!$B$68)*12*POWER(1+Control!$B$18,17)+(Control!$B$65*12*POWER(1+$A$15,17))*Control!$B$26)))*(1-Control!$B$23))-IF(AND(Control!$B$5&gt;0,Control!$B$6="Y",18=Control!$B$39-1),Control!$B$40,0))</f>
        <v/>
      </c>
      <c r="V63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$15,18))+(((Control!$B$20*(Control!$B$30*Control!$B$31+Control!$B$34*Control!$B$35+IF(AND(Control!$B$5&gt;0,Control!$B$6="Y",19&gt;=Control!$B$39),Control!$B$37*Control!$B$38,0)))*Control!$B$41)*(Control!$B$42+Control!$B$44)*POWER(1+$A$15,18))+(Control!$B$46*POWER(1+$A$15,18)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$15,18)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$15,18))*Control!$B$26))+(((Control!$B$54*Control!$B$55+Control!$B$56*Control!$B$57*Control!$B$58*Control!$B$59)*POWER(1+$A$15,18))-((Control!$B$56*Control!$B$57*Control!$B$58*Control!$B$59*POWER(1+$A$15,18))*Control!$B$60+(Control!$B$61+Control!$B$62+Control!$B$63)*12*POWER(1+Control!$B$18,18)+((Control!$B$54*Control!$B$55+Control!$B$56*Control!$B$57*Control!$B$58*Control!$B$59)*POWER(1+$A$15,18))*Control!$B$26))+((Control!$B$65*12*POWER(1+$A$15,18))-((Control!$B$66+Control!$B$67+Control!$B$68)*12*POWER(1+Control!$B$18,18)+(Control!$B$65*12*POWER(1+$A$15,18))*Control!$B$26)))*(1-Control!$B$23))-IF(AND(Control!$B$5&gt;0,Control!$B$6="Y",19=Control!$B$39-1),Control!$B$40,0))</f>
        <v/>
      </c>
      <c r="W63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$15,19))+(((Control!$B$20*(Control!$B$30*Control!$B$31+Control!$B$34*Control!$B$35+IF(AND(Control!$B$5&gt;0,Control!$B$6="Y",20&gt;=Control!$B$39),Control!$B$37*Control!$B$38,0)))*Control!$B$41)*(Control!$B$42+Control!$B$44)*POWER(1+$A$15,19))+(Control!$B$46*POWER(1+$A$15,19)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$15,19)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$15,19))*Control!$B$26))+(((Control!$B$54*Control!$B$55+Control!$B$56*Control!$B$57*Control!$B$58*Control!$B$59)*POWER(1+$A$15,19))-((Control!$B$56*Control!$B$57*Control!$B$58*Control!$B$59*POWER(1+$A$15,19))*Control!$B$60+(Control!$B$61+Control!$B$62+Control!$B$63)*12*POWER(1+Control!$B$18,19)+((Control!$B$54*Control!$B$55+Control!$B$56*Control!$B$57*Control!$B$58*Control!$B$59)*POWER(1+$A$15,19))*Control!$B$26))+((Control!$B$65*12*POWER(1+$A$15,19))-((Control!$B$66+Control!$B$67+Control!$B$68)*12*POWER(1+Control!$B$18,19)+(Control!$B$65*12*POWER(1+$A$15,19))*Control!$B$26)))*(1-Control!$B$23))-IF(AND(Control!$B$5&gt;0,Control!$B$6="Y",20=Control!$B$39-1),Control!$B$40,0))+Valuation!$F$10*POWER(1+Control!$B$74,20)*(1-Control!$B$75)</f>
        <v/>
      </c>
    </row>
    <row r="64">
      <c r="A64" s="110" t="inlineStr">
        <is>
          <t>[calc] ADR escalation 0.03 cum</t>
        </is>
      </c>
      <c r="B64" s="110" t="n"/>
      <c r="C64" s="110" t="n"/>
      <c r="D64" s="110">
        <f>D63</f>
        <v/>
      </c>
      <c r="E64" s="110">
        <f>D64+E63</f>
        <v/>
      </c>
      <c r="F64" s="110">
        <f>E64+F63</f>
        <v/>
      </c>
      <c r="G64" s="110">
        <f>F64+G63</f>
        <v/>
      </c>
      <c r="H64" s="110">
        <f>G64+H63</f>
        <v/>
      </c>
      <c r="I64" s="110">
        <f>H64+I63</f>
        <v/>
      </c>
      <c r="J64" s="110">
        <f>I64+J63</f>
        <v/>
      </c>
      <c r="K64" s="110">
        <f>J64+K63</f>
        <v/>
      </c>
      <c r="L64" s="110">
        <f>K64+L63</f>
        <v/>
      </c>
      <c r="M64" s="110">
        <f>L64+M63</f>
        <v/>
      </c>
      <c r="N64" s="110">
        <f>M64+N63</f>
        <v/>
      </c>
      <c r="O64" s="110">
        <f>N64+O63</f>
        <v/>
      </c>
      <c r="P64" s="110">
        <f>O64+P63</f>
        <v/>
      </c>
      <c r="Q64" s="110">
        <f>P64+Q63</f>
        <v/>
      </c>
      <c r="R64" s="110">
        <f>Q64+R63</f>
        <v/>
      </c>
      <c r="S64" s="110">
        <f>R64+S63</f>
        <v/>
      </c>
      <c r="T64" s="110">
        <f>S64+T63</f>
        <v/>
      </c>
      <c r="U64" s="110">
        <f>T64+U63</f>
        <v/>
      </c>
      <c r="V64" s="110">
        <f>U64+V63</f>
        <v/>
      </c>
      <c r="W64" s="110" t="n"/>
    </row>
    <row r="65">
      <c r="A65" s="110" t="inlineStr">
        <is>
          <t>[calc] ADR escalation 0.04 dist</t>
        </is>
      </c>
      <c r="B65" s="110" t="n"/>
      <c r="C65" s="114">
        <f>-Control!$B$15</f>
        <v/>
      </c>
      <c r="D65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$16,0))+(((Control!$B$20*(Control!$B$30*Control!$B$31+Control!$B$34*Control!$B$35+IF(AND(Control!$B$5&gt;0,Control!$B$6="Y",1&gt;=Control!$B$39),Control!$B$37*Control!$B$38,0)))*Control!$B$41)*(Control!$B$42+Control!$B$44)*POWER(1+$A$16,0))+(Control!$B$46*POWER(1+$A$16,0)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$16,0)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$16,0))*Control!$B$26))+(((Control!$B$54*Control!$B$55+Control!$B$56*Control!$B$57*Control!$B$58*Control!$B$59)*POWER(1+$A$16,0))-((Control!$B$56*Control!$B$57*Control!$B$58*Control!$B$59*POWER(1+$A$16,0))*Control!$B$60+(Control!$B$61+Control!$B$62+Control!$B$63)*12*POWER(1+Control!$B$18,0)+((Control!$B$54*Control!$B$55+Control!$B$56*Control!$B$57*Control!$B$58*Control!$B$59)*POWER(1+$A$16,0))*Control!$B$26))+((Control!$B$65*12*POWER(1+$A$16,0))-((Control!$B$66+Control!$B$67+Control!$B$68)*12*POWER(1+Control!$B$18,0)+(Control!$B$65*12*POWER(1+$A$16,0))*Control!$B$26)))*(1-Control!$B$23))-IF(AND(Control!$B$5&gt;0,Control!$B$6="Y",1=Control!$B$39-1),Control!$B$40,0))</f>
        <v/>
      </c>
      <c r="E65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$16,1))+(((Control!$B$20*(Control!$B$30*Control!$B$31+Control!$B$34*Control!$B$35+IF(AND(Control!$B$5&gt;0,Control!$B$6="Y",2&gt;=Control!$B$39),Control!$B$37*Control!$B$38,0)))*Control!$B$41)*(Control!$B$42+Control!$B$44)*POWER(1+$A$16,1))+(Control!$B$46*POWER(1+$A$16,1)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$16,1)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$16,1))*Control!$B$26))+(((Control!$B$54*Control!$B$55+Control!$B$56*Control!$B$57*Control!$B$58*Control!$B$59)*POWER(1+$A$16,1))-((Control!$B$56*Control!$B$57*Control!$B$58*Control!$B$59*POWER(1+$A$16,1))*Control!$B$60+(Control!$B$61+Control!$B$62+Control!$B$63)*12*POWER(1+Control!$B$18,1)+((Control!$B$54*Control!$B$55+Control!$B$56*Control!$B$57*Control!$B$58*Control!$B$59)*POWER(1+$A$16,1))*Control!$B$26))+((Control!$B$65*12*POWER(1+$A$16,1))-((Control!$B$66+Control!$B$67+Control!$B$68)*12*POWER(1+Control!$B$18,1)+(Control!$B$65*12*POWER(1+$A$16,1))*Control!$B$26)))*(1-Control!$B$23))-IF(AND(Control!$B$5&gt;0,Control!$B$6="Y",2=Control!$B$39-1),Control!$B$40,0))</f>
        <v/>
      </c>
      <c r="F65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$16,2))+(((Control!$B$20*(Control!$B$30*Control!$B$31+Control!$B$34*Control!$B$35+IF(AND(Control!$B$5&gt;0,Control!$B$6="Y",3&gt;=Control!$B$39),Control!$B$37*Control!$B$38,0)))*Control!$B$41)*(Control!$B$42+Control!$B$44)*POWER(1+$A$16,2))+(Control!$B$46*POWER(1+$A$16,2)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$16,2)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$16,2))*Control!$B$26))+(((Control!$B$54*Control!$B$55+Control!$B$56*Control!$B$57*Control!$B$58*Control!$B$59)*POWER(1+$A$16,2))-((Control!$B$56*Control!$B$57*Control!$B$58*Control!$B$59*POWER(1+$A$16,2))*Control!$B$60+(Control!$B$61+Control!$B$62+Control!$B$63)*12*POWER(1+Control!$B$18,2)+((Control!$B$54*Control!$B$55+Control!$B$56*Control!$B$57*Control!$B$58*Control!$B$59)*POWER(1+$A$16,2))*Control!$B$26))+((Control!$B$65*12*POWER(1+$A$16,2))-((Control!$B$66+Control!$B$67+Control!$B$68)*12*POWER(1+Control!$B$18,2)+(Control!$B$65*12*POWER(1+$A$16,2))*Control!$B$26)))*(1-Control!$B$23))-IF(AND(Control!$B$5&gt;0,Control!$B$6="Y",3=Control!$B$39-1),Control!$B$40,0))</f>
        <v/>
      </c>
      <c r="G65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$16,3))+(((Control!$B$20*(Control!$B$30*Control!$B$31+Control!$B$34*Control!$B$35+IF(AND(Control!$B$5&gt;0,Control!$B$6="Y",4&gt;=Control!$B$39),Control!$B$37*Control!$B$38,0)))*Control!$B$41)*(Control!$B$42+Control!$B$44)*POWER(1+$A$16,3))+(Control!$B$46*POWER(1+$A$16,3)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$16,3)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$16,3))*Control!$B$26))+(((Control!$B$54*Control!$B$55+Control!$B$56*Control!$B$57*Control!$B$58*Control!$B$59)*POWER(1+$A$16,3))-((Control!$B$56*Control!$B$57*Control!$B$58*Control!$B$59*POWER(1+$A$16,3))*Control!$B$60+(Control!$B$61+Control!$B$62+Control!$B$63)*12*POWER(1+Control!$B$18,3)+((Control!$B$54*Control!$B$55+Control!$B$56*Control!$B$57*Control!$B$58*Control!$B$59)*POWER(1+$A$16,3))*Control!$B$26))+((Control!$B$65*12*POWER(1+$A$16,3))-((Control!$B$66+Control!$B$67+Control!$B$68)*12*POWER(1+Control!$B$18,3)+(Control!$B$65*12*POWER(1+$A$16,3))*Control!$B$26)))*(1-Control!$B$23))-IF(AND(Control!$B$5&gt;0,Control!$B$6="Y",4=Control!$B$39-1),Control!$B$40,0))</f>
        <v/>
      </c>
      <c r="H65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$16,4))+(((Control!$B$20*(Control!$B$30*Control!$B$31+Control!$B$34*Control!$B$35+IF(AND(Control!$B$5&gt;0,Control!$B$6="Y",5&gt;=Control!$B$39),Control!$B$37*Control!$B$38,0)))*Control!$B$41)*(Control!$B$42+Control!$B$44)*POWER(1+$A$16,4))+(Control!$B$46*POWER(1+$A$16,4)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$16,4)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$16,4))*Control!$B$26))+(((Control!$B$54*Control!$B$55+Control!$B$56*Control!$B$57*Control!$B$58*Control!$B$59)*POWER(1+$A$16,4))-((Control!$B$56*Control!$B$57*Control!$B$58*Control!$B$59*POWER(1+$A$16,4))*Control!$B$60+(Control!$B$61+Control!$B$62+Control!$B$63)*12*POWER(1+Control!$B$18,4)+((Control!$B$54*Control!$B$55+Control!$B$56*Control!$B$57*Control!$B$58*Control!$B$59)*POWER(1+$A$16,4))*Control!$B$26))+((Control!$B$65*12*POWER(1+$A$16,4))-((Control!$B$66+Control!$B$67+Control!$B$68)*12*POWER(1+Control!$B$18,4)+(Control!$B$65*12*POWER(1+$A$16,4))*Control!$B$26)))*(1-Control!$B$23))-IF(AND(Control!$B$5&gt;0,Control!$B$6="Y",5=Control!$B$39-1),Control!$B$40,0))</f>
        <v/>
      </c>
      <c r="I65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$16,5))+(((Control!$B$20*(Control!$B$30*Control!$B$31+Control!$B$34*Control!$B$35+IF(AND(Control!$B$5&gt;0,Control!$B$6="Y",6&gt;=Control!$B$39),Control!$B$37*Control!$B$38,0)))*Control!$B$41)*(Control!$B$42+Control!$B$44)*POWER(1+$A$16,5))+(Control!$B$46*POWER(1+$A$16,5)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$16,5)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$16,5))*Control!$B$26))+(((Control!$B$54*Control!$B$55+Control!$B$56*Control!$B$57*Control!$B$58*Control!$B$59)*POWER(1+$A$16,5))-((Control!$B$56*Control!$B$57*Control!$B$58*Control!$B$59*POWER(1+$A$16,5))*Control!$B$60+(Control!$B$61+Control!$B$62+Control!$B$63)*12*POWER(1+Control!$B$18,5)+((Control!$B$54*Control!$B$55+Control!$B$56*Control!$B$57*Control!$B$58*Control!$B$59)*POWER(1+$A$16,5))*Control!$B$26))+((Control!$B$65*12*POWER(1+$A$16,5))-((Control!$B$66+Control!$B$67+Control!$B$68)*12*POWER(1+Control!$B$18,5)+(Control!$B$65*12*POWER(1+$A$16,5))*Control!$B$26)))*(1-Control!$B$23))-IF(AND(Control!$B$5&gt;0,Control!$B$6="Y",6=Control!$B$39-1),Control!$B$40,0))</f>
        <v/>
      </c>
      <c r="J65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$16,6))+(((Control!$B$20*(Control!$B$30*Control!$B$31+Control!$B$34*Control!$B$35+IF(AND(Control!$B$5&gt;0,Control!$B$6="Y",7&gt;=Control!$B$39),Control!$B$37*Control!$B$38,0)))*Control!$B$41)*(Control!$B$42+Control!$B$44)*POWER(1+$A$16,6))+(Control!$B$46*POWER(1+$A$16,6)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$16,6)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$16,6))*Control!$B$26))+(((Control!$B$54*Control!$B$55+Control!$B$56*Control!$B$57*Control!$B$58*Control!$B$59)*POWER(1+$A$16,6))-((Control!$B$56*Control!$B$57*Control!$B$58*Control!$B$59*POWER(1+$A$16,6))*Control!$B$60+(Control!$B$61+Control!$B$62+Control!$B$63)*12*POWER(1+Control!$B$18,6)+((Control!$B$54*Control!$B$55+Control!$B$56*Control!$B$57*Control!$B$58*Control!$B$59)*POWER(1+$A$16,6))*Control!$B$26))+((Control!$B$65*12*POWER(1+$A$16,6))-((Control!$B$66+Control!$B$67+Control!$B$68)*12*POWER(1+Control!$B$18,6)+(Control!$B$65*12*POWER(1+$A$16,6))*Control!$B$26)))*(1-Control!$B$23))-IF(AND(Control!$B$5&gt;0,Control!$B$6="Y",7=Control!$B$39-1),Control!$B$40,0))</f>
        <v/>
      </c>
      <c r="K65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$16,7))+(((Control!$B$20*(Control!$B$30*Control!$B$31+Control!$B$34*Control!$B$35+IF(AND(Control!$B$5&gt;0,Control!$B$6="Y",8&gt;=Control!$B$39),Control!$B$37*Control!$B$38,0)))*Control!$B$41)*(Control!$B$42+Control!$B$44)*POWER(1+$A$16,7))+(Control!$B$46*POWER(1+$A$16,7)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$16,7)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$16,7))*Control!$B$26))+(((Control!$B$54*Control!$B$55+Control!$B$56*Control!$B$57*Control!$B$58*Control!$B$59)*POWER(1+$A$16,7))-((Control!$B$56*Control!$B$57*Control!$B$58*Control!$B$59*POWER(1+$A$16,7))*Control!$B$60+(Control!$B$61+Control!$B$62+Control!$B$63)*12*POWER(1+Control!$B$18,7)+((Control!$B$54*Control!$B$55+Control!$B$56*Control!$B$57*Control!$B$58*Control!$B$59)*POWER(1+$A$16,7))*Control!$B$26))+((Control!$B$65*12*POWER(1+$A$16,7))-((Control!$B$66+Control!$B$67+Control!$B$68)*12*POWER(1+Control!$B$18,7)+(Control!$B$65*12*POWER(1+$A$16,7))*Control!$B$26)))*(1-Control!$B$23))-IF(AND(Control!$B$5&gt;0,Control!$B$6="Y",8=Control!$B$39-1),Control!$B$40,0))</f>
        <v/>
      </c>
      <c r="L65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$16,8))+(((Control!$B$20*(Control!$B$30*Control!$B$31+Control!$B$34*Control!$B$35+IF(AND(Control!$B$5&gt;0,Control!$B$6="Y",9&gt;=Control!$B$39),Control!$B$37*Control!$B$38,0)))*Control!$B$41)*(Control!$B$42+Control!$B$44)*POWER(1+$A$16,8))+(Control!$B$46*POWER(1+$A$16,8)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$16,8)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$16,8))*Control!$B$26))+(((Control!$B$54*Control!$B$55+Control!$B$56*Control!$B$57*Control!$B$58*Control!$B$59)*POWER(1+$A$16,8))-((Control!$B$56*Control!$B$57*Control!$B$58*Control!$B$59*POWER(1+$A$16,8))*Control!$B$60+(Control!$B$61+Control!$B$62+Control!$B$63)*12*POWER(1+Control!$B$18,8)+((Control!$B$54*Control!$B$55+Control!$B$56*Control!$B$57*Control!$B$58*Control!$B$59)*POWER(1+$A$16,8))*Control!$B$26))+((Control!$B$65*12*POWER(1+$A$16,8))-((Control!$B$66+Control!$B$67+Control!$B$68)*12*POWER(1+Control!$B$18,8)+(Control!$B$65*12*POWER(1+$A$16,8))*Control!$B$26)))*(1-Control!$B$23))-IF(AND(Control!$B$5&gt;0,Control!$B$6="Y",9=Control!$B$39-1),Control!$B$40,0))</f>
        <v/>
      </c>
      <c r="M65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$16,9))+(((Control!$B$20*(Control!$B$30*Control!$B$31+Control!$B$34*Control!$B$35+IF(AND(Control!$B$5&gt;0,Control!$B$6="Y",10&gt;=Control!$B$39),Control!$B$37*Control!$B$38,0)))*Control!$B$41)*(Control!$B$42+Control!$B$44)*POWER(1+$A$16,9))+(Control!$B$46*POWER(1+$A$16,9)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$16,9)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$16,9))*Control!$B$26))+(((Control!$B$54*Control!$B$55+Control!$B$56*Control!$B$57*Control!$B$58*Control!$B$59)*POWER(1+$A$16,9))-((Control!$B$56*Control!$B$57*Control!$B$58*Control!$B$59*POWER(1+$A$16,9))*Control!$B$60+(Control!$B$61+Control!$B$62+Control!$B$63)*12*POWER(1+Control!$B$18,9)+((Control!$B$54*Control!$B$55+Control!$B$56*Control!$B$57*Control!$B$58*Control!$B$59)*POWER(1+$A$16,9))*Control!$B$26))+((Control!$B$65*12*POWER(1+$A$16,9))-((Control!$B$66+Control!$B$67+Control!$B$68)*12*POWER(1+Control!$B$18,9)+(Control!$B$65*12*POWER(1+$A$16,9))*Control!$B$26)))*(1-Control!$B$23))-IF(AND(Control!$B$5&gt;0,Control!$B$6="Y",10=Control!$B$39-1),Control!$B$40,0))</f>
        <v/>
      </c>
      <c r="N65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$16,10))+(((Control!$B$20*(Control!$B$30*Control!$B$31+Control!$B$34*Control!$B$35+IF(AND(Control!$B$5&gt;0,Control!$B$6="Y",11&gt;=Control!$B$39),Control!$B$37*Control!$B$38,0)))*Control!$B$41)*(Control!$B$42+Control!$B$44)*POWER(1+$A$16,10))+(Control!$B$46*POWER(1+$A$16,10)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$16,10)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$16,10))*Control!$B$26))+(((Control!$B$54*Control!$B$55+Control!$B$56*Control!$B$57*Control!$B$58*Control!$B$59)*POWER(1+$A$16,10))-((Control!$B$56*Control!$B$57*Control!$B$58*Control!$B$59*POWER(1+$A$16,10))*Control!$B$60+(Control!$B$61+Control!$B$62+Control!$B$63)*12*POWER(1+Control!$B$18,10)+((Control!$B$54*Control!$B$55+Control!$B$56*Control!$B$57*Control!$B$58*Control!$B$59)*POWER(1+$A$16,10))*Control!$B$26))+((Control!$B$65*12*POWER(1+$A$16,10))-((Control!$B$66+Control!$B$67+Control!$B$68)*12*POWER(1+Control!$B$18,10)+(Control!$B$65*12*POWER(1+$A$16,10))*Control!$B$26)))*(1-Control!$B$23))-IF(AND(Control!$B$5&gt;0,Control!$B$6="Y",11=Control!$B$39-1),Control!$B$40,0))</f>
        <v/>
      </c>
      <c r="O65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$16,11))+(((Control!$B$20*(Control!$B$30*Control!$B$31+Control!$B$34*Control!$B$35+IF(AND(Control!$B$5&gt;0,Control!$B$6="Y",12&gt;=Control!$B$39),Control!$B$37*Control!$B$38,0)))*Control!$B$41)*(Control!$B$42+Control!$B$44)*POWER(1+$A$16,11))+(Control!$B$46*POWER(1+$A$16,11)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$16,11)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$16,11))*Control!$B$26))+(((Control!$B$54*Control!$B$55+Control!$B$56*Control!$B$57*Control!$B$58*Control!$B$59)*POWER(1+$A$16,11))-((Control!$B$56*Control!$B$57*Control!$B$58*Control!$B$59*POWER(1+$A$16,11))*Control!$B$60+(Control!$B$61+Control!$B$62+Control!$B$63)*12*POWER(1+Control!$B$18,11)+((Control!$B$54*Control!$B$55+Control!$B$56*Control!$B$57*Control!$B$58*Control!$B$59)*POWER(1+$A$16,11))*Control!$B$26))+((Control!$B$65*12*POWER(1+$A$16,11))-((Control!$B$66+Control!$B$67+Control!$B$68)*12*POWER(1+Control!$B$18,11)+(Control!$B$65*12*POWER(1+$A$16,11))*Control!$B$26)))*(1-Control!$B$23))-IF(AND(Control!$B$5&gt;0,Control!$B$6="Y",12=Control!$B$39-1),Control!$B$40,0))</f>
        <v/>
      </c>
      <c r="P65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$16,12))+(((Control!$B$20*(Control!$B$30*Control!$B$31+Control!$B$34*Control!$B$35+IF(AND(Control!$B$5&gt;0,Control!$B$6="Y",13&gt;=Control!$B$39),Control!$B$37*Control!$B$38,0)))*Control!$B$41)*(Control!$B$42+Control!$B$44)*POWER(1+$A$16,12))+(Control!$B$46*POWER(1+$A$16,12)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$16,12)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$16,12))*Control!$B$26))+(((Control!$B$54*Control!$B$55+Control!$B$56*Control!$B$57*Control!$B$58*Control!$B$59)*POWER(1+$A$16,12))-((Control!$B$56*Control!$B$57*Control!$B$58*Control!$B$59*POWER(1+$A$16,12))*Control!$B$60+(Control!$B$61+Control!$B$62+Control!$B$63)*12*POWER(1+Control!$B$18,12)+((Control!$B$54*Control!$B$55+Control!$B$56*Control!$B$57*Control!$B$58*Control!$B$59)*POWER(1+$A$16,12))*Control!$B$26))+((Control!$B$65*12*POWER(1+$A$16,12))-((Control!$B$66+Control!$B$67+Control!$B$68)*12*POWER(1+Control!$B$18,12)+(Control!$B$65*12*POWER(1+$A$16,12))*Control!$B$26)))*(1-Control!$B$23))-IF(AND(Control!$B$5&gt;0,Control!$B$6="Y",13=Control!$B$39-1),Control!$B$40,0))</f>
        <v/>
      </c>
      <c r="Q65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$16,13))+(((Control!$B$20*(Control!$B$30*Control!$B$31+Control!$B$34*Control!$B$35+IF(AND(Control!$B$5&gt;0,Control!$B$6="Y",14&gt;=Control!$B$39),Control!$B$37*Control!$B$38,0)))*Control!$B$41)*(Control!$B$42+Control!$B$44)*POWER(1+$A$16,13))+(Control!$B$46*POWER(1+$A$16,13)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$16,13)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$16,13))*Control!$B$26))+(((Control!$B$54*Control!$B$55+Control!$B$56*Control!$B$57*Control!$B$58*Control!$B$59)*POWER(1+$A$16,13))-((Control!$B$56*Control!$B$57*Control!$B$58*Control!$B$59*POWER(1+$A$16,13))*Control!$B$60+(Control!$B$61+Control!$B$62+Control!$B$63)*12*POWER(1+Control!$B$18,13)+((Control!$B$54*Control!$B$55+Control!$B$56*Control!$B$57*Control!$B$58*Control!$B$59)*POWER(1+$A$16,13))*Control!$B$26))+((Control!$B$65*12*POWER(1+$A$16,13))-((Control!$B$66+Control!$B$67+Control!$B$68)*12*POWER(1+Control!$B$18,13)+(Control!$B$65*12*POWER(1+$A$16,13))*Control!$B$26)))*(1-Control!$B$23))-IF(AND(Control!$B$5&gt;0,Control!$B$6="Y",14=Control!$B$39-1),Control!$B$40,0))</f>
        <v/>
      </c>
      <c r="R65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$16,14))+(((Control!$B$20*(Control!$B$30*Control!$B$31+Control!$B$34*Control!$B$35+IF(AND(Control!$B$5&gt;0,Control!$B$6="Y",15&gt;=Control!$B$39),Control!$B$37*Control!$B$38,0)))*Control!$B$41)*(Control!$B$42+Control!$B$44)*POWER(1+$A$16,14))+(Control!$B$46*POWER(1+$A$16,14)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$16,14)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$16,14))*Control!$B$26))+(((Control!$B$54*Control!$B$55+Control!$B$56*Control!$B$57*Control!$B$58*Control!$B$59)*POWER(1+$A$16,14))-((Control!$B$56*Control!$B$57*Control!$B$58*Control!$B$59*POWER(1+$A$16,14))*Control!$B$60+(Control!$B$61+Control!$B$62+Control!$B$63)*12*POWER(1+Control!$B$18,14)+((Control!$B$54*Control!$B$55+Control!$B$56*Control!$B$57*Control!$B$58*Control!$B$59)*POWER(1+$A$16,14))*Control!$B$26))+((Control!$B$65*12*POWER(1+$A$16,14))-((Control!$B$66+Control!$B$67+Control!$B$68)*12*POWER(1+Control!$B$18,14)+(Control!$B$65*12*POWER(1+$A$16,14))*Control!$B$26)))*(1-Control!$B$23))-IF(AND(Control!$B$5&gt;0,Control!$B$6="Y",15=Control!$B$39-1),Control!$B$40,0))</f>
        <v/>
      </c>
      <c r="S65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$16,15))+(((Control!$B$20*(Control!$B$30*Control!$B$31+Control!$B$34*Control!$B$35+IF(AND(Control!$B$5&gt;0,Control!$B$6="Y",16&gt;=Control!$B$39),Control!$B$37*Control!$B$38,0)))*Control!$B$41)*(Control!$B$42+Control!$B$44)*POWER(1+$A$16,15))+(Control!$B$46*POWER(1+$A$16,15)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$16,15)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$16,15))*Control!$B$26))+(((Control!$B$54*Control!$B$55+Control!$B$56*Control!$B$57*Control!$B$58*Control!$B$59)*POWER(1+$A$16,15))-((Control!$B$56*Control!$B$57*Control!$B$58*Control!$B$59*POWER(1+$A$16,15))*Control!$B$60+(Control!$B$61+Control!$B$62+Control!$B$63)*12*POWER(1+Control!$B$18,15)+((Control!$B$54*Control!$B$55+Control!$B$56*Control!$B$57*Control!$B$58*Control!$B$59)*POWER(1+$A$16,15))*Control!$B$26))+((Control!$B$65*12*POWER(1+$A$16,15))-((Control!$B$66+Control!$B$67+Control!$B$68)*12*POWER(1+Control!$B$18,15)+(Control!$B$65*12*POWER(1+$A$16,15))*Control!$B$26)))*(1-Control!$B$23))-IF(AND(Control!$B$5&gt;0,Control!$B$6="Y",16=Control!$B$39-1),Control!$B$40,0))</f>
        <v/>
      </c>
      <c r="T65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$16,16))+(((Control!$B$20*(Control!$B$30*Control!$B$31+Control!$B$34*Control!$B$35+IF(AND(Control!$B$5&gt;0,Control!$B$6="Y",17&gt;=Control!$B$39),Control!$B$37*Control!$B$38,0)))*Control!$B$41)*(Control!$B$42+Control!$B$44)*POWER(1+$A$16,16))+(Control!$B$46*POWER(1+$A$16,16)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$16,16)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$16,16))*Control!$B$26))+(((Control!$B$54*Control!$B$55+Control!$B$56*Control!$B$57*Control!$B$58*Control!$B$59)*POWER(1+$A$16,16))-((Control!$B$56*Control!$B$57*Control!$B$58*Control!$B$59*POWER(1+$A$16,16))*Control!$B$60+(Control!$B$61+Control!$B$62+Control!$B$63)*12*POWER(1+Control!$B$18,16)+((Control!$B$54*Control!$B$55+Control!$B$56*Control!$B$57*Control!$B$58*Control!$B$59)*POWER(1+$A$16,16))*Control!$B$26))+((Control!$B$65*12*POWER(1+$A$16,16))-((Control!$B$66+Control!$B$67+Control!$B$68)*12*POWER(1+Control!$B$18,16)+(Control!$B$65*12*POWER(1+$A$16,16))*Control!$B$26)))*(1-Control!$B$23))-IF(AND(Control!$B$5&gt;0,Control!$B$6="Y",17=Control!$B$39-1),Control!$B$40,0))</f>
        <v/>
      </c>
      <c r="U65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$16,17))+(((Control!$B$20*(Control!$B$30*Control!$B$31+Control!$B$34*Control!$B$35+IF(AND(Control!$B$5&gt;0,Control!$B$6="Y",18&gt;=Control!$B$39),Control!$B$37*Control!$B$38,0)))*Control!$B$41)*(Control!$B$42+Control!$B$44)*POWER(1+$A$16,17))+(Control!$B$46*POWER(1+$A$16,17)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$16,17)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$16,17))*Control!$B$26))+(((Control!$B$54*Control!$B$55+Control!$B$56*Control!$B$57*Control!$B$58*Control!$B$59)*POWER(1+$A$16,17))-((Control!$B$56*Control!$B$57*Control!$B$58*Control!$B$59*POWER(1+$A$16,17))*Control!$B$60+(Control!$B$61+Control!$B$62+Control!$B$63)*12*POWER(1+Control!$B$18,17)+((Control!$B$54*Control!$B$55+Control!$B$56*Control!$B$57*Control!$B$58*Control!$B$59)*POWER(1+$A$16,17))*Control!$B$26))+((Control!$B$65*12*POWER(1+$A$16,17))-((Control!$B$66+Control!$B$67+Control!$B$68)*12*POWER(1+Control!$B$18,17)+(Control!$B$65*12*POWER(1+$A$16,17))*Control!$B$26)))*(1-Control!$B$23))-IF(AND(Control!$B$5&gt;0,Control!$B$6="Y",18=Control!$B$39-1),Control!$B$40,0))</f>
        <v/>
      </c>
      <c r="V65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$16,18))+(((Control!$B$20*(Control!$B$30*Control!$B$31+Control!$B$34*Control!$B$35+IF(AND(Control!$B$5&gt;0,Control!$B$6="Y",19&gt;=Control!$B$39),Control!$B$37*Control!$B$38,0)))*Control!$B$41)*(Control!$B$42+Control!$B$44)*POWER(1+$A$16,18))+(Control!$B$46*POWER(1+$A$16,18)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$16,18)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$16,18))*Control!$B$26))+(((Control!$B$54*Control!$B$55+Control!$B$56*Control!$B$57*Control!$B$58*Control!$B$59)*POWER(1+$A$16,18))-((Control!$B$56*Control!$B$57*Control!$B$58*Control!$B$59*POWER(1+$A$16,18))*Control!$B$60+(Control!$B$61+Control!$B$62+Control!$B$63)*12*POWER(1+Control!$B$18,18)+((Control!$B$54*Control!$B$55+Control!$B$56*Control!$B$57*Control!$B$58*Control!$B$59)*POWER(1+$A$16,18))*Control!$B$26))+((Control!$B$65*12*POWER(1+$A$16,18))-((Control!$B$66+Control!$B$67+Control!$B$68)*12*POWER(1+Control!$B$18,18)+(Control!$B$65*12*POWER(1+$A$16,18))*Control!$B$26)))*(1-Control!$B$23))-IF(AND(Control!$B$5&gt;0,Control!$B$6="Y",19=Control!$B$39-1),Control!$B$40,0))</f>
        <v/>
      </c>
      <c r="W65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$16,19))+(((Control!$B$20*(Control!$B$30*Control!$B$31+Control!$B$34*Control!$B$35+IF(AND(Control!$B$5&gt;0,Control!$B$6="Y",20&gt;=Control!$B$39),Control!$B$37*Control!$B$38,0)))*Control!$B$41)*(Control!$B$42+Control!$B$44)*POWER(1+$A$16,19))+(Control!$B$46*POWER(1+$A$16,19)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$16,19)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$16,19))*Control!$B$26))+(((Control!$B$54*Control!$B$55+Control!$B$56*Control!$B$57*Control!$B$58*Control!$B$59)*POWER(1+$A$16,19))-((Control!$B$56*Control!$B$57*Control!$B$58*Control!$B$59*POWER(1+$A$16,19))*Control!$B$60+(Control!$B$61+Control!$B$62+Control!$B$63)*12*POWER(1+Control!$B$18,19)+((Control!$B$54*Control!$B$55+Control!$B$56*Control!$B$57*Control!$B$58*Control!$B$59)*POWER(1+$A$16,19))*Control!$B$26))+((Control!$B$65*12*POWER(1+$A$16,19))-((Control!$B$66+Control!$B$67+Control!$B$68)*12*POWER(1+Control!$B$18,19)+(Control!$B$65*12*POWER(1+$A$16,19))*Control!$B$26)))*(1-Control!$B$23))-IF(AND(Control!$B$5&gt;0,Control!$B$6="Y",20=Control!$B$39-1),Control!$B$40,0))+Valuation!$F$10*POWER(1+Control!$B$74,20)*(1-Control!$B$75)</f>
        <v/>
      </c>
    </row>
    <row r="66">
      <c r="A66" s="110" t="inlineStr">
        <is>
          <t>[calc] ADR escalation 0.04 cum</t>
        </is>
      </c>
      <c r="B66" s="110" t="n"/>
      <c r="C66" s="110" t="n"/>
      <c r="D66" s="110">
        <f>D65</f>
        <v/>
      </c>
      <c r="E66" s="110">
        <f>D66+E65</f>
        <v/>
      </c>
      <c r="F66" s="110">
        <f>E66+F65</f>
        <v/>
      </c>
      <c r="G66" s="110">
        <f>F66+G65</f>
        <v/>
      </c>
      <c r="H66" s="110">
        <f>G66+H65</f>
        <v/>
      </c>
      <c r="I66" s="110">
        <f>H66+I65</f>
        <v/>
      </c>
      <c r="J66" s="110">
        <f>I66+J65</f>
        <v/>
      </c>
      <c r="K66" s="110">
        <f>J66+K65</f>
        <v/>
      </c>
      <c r="L66" s="110">
        <f>K66+L65</f>
        <v/>
      </c>
      <c r="M66" s="110">
        <f>L66+M65</f>
        <v/>
      </c>
      <c r="N66" s="110">
        <f>M66+N65</f>
        <v/>
      </c>
      <c r="O66" s="110">
        <f>N66+O65</f>
        <v/>
      </c>
      <c r="P66" s="110">
        <f>O66+P65</f>
        <v/>
      </c>
      <c r="Q66" s="110">
        <f>P66+Q65</f>
        <v/>
      </c>
      <c r="R66" s="110">
        <f>Q66+R65</f>
        <v/>
      </c>
      <c r="S66" s="110">
        <f>R66+S65</f>
        <v/>
      </c>
      <c r="T66" s="110">
        <f>S66+T65</f>
        <v/>
      </c>
      <c r="U66" s="110">
        <f>T66+U65</f>
        <v/>
      </c>
      <c r="V66" s="110">
        <f>U66+V65</f>
        <v/>
      </c>
      <c r="W66" s="110" t="n"/>
    </row>
    <row r="67">
      <c r="A67" s="110" t="inlineStr">
        <is>
          <t>[calc] ADR escalation 0.05 dist</t>
        </is>
      </c>
      <c r="B67" s="110" t="n"/>
      <c r="C67" s="114">
        <f>-Control!$B$15</f>
        <v/>
      </c>
      <c r="D67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$17,0))+(((Control!$B$20*(Control!$B$30*Control!$B$31+Control!$B$34*Control!$B$35+IF(AND(Control!$B$5&gt;0,Control!$B$6="Y",1&gt;=Control!$B$39),Control!$B$37*Control!$B$38,0)))*Control!$B$41)*(Control!$B$42+Control!$B$44)*POWER(1+$A$17,0))+(Control!$B$46*POWER(1+$A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$17,0))*Control!$B$26))+(((Control!$B$54*Control!$B$55+Control!$B$56*Control!$B$57*Control!$B$58*Control!$B$59)*POWER(1+$A$17,0))-((Control!$B$56*Control!$B$57*Control!$B$58*Control!$B$59*POWER(1+$A$17,0))*Control!$B$60+(Control!$B$61+Control!$B$62+Control!$B$63)*12*POWER(1+Control!$B$18,0)+((Control!$B$54*Control!$B$55+Control!$B$56*Control!$B$57*Control!$B$58*Control!$B$59)*POWER(1+$A$17,0))*Control!$B$26))+((Control!$B$65*12*POWER(1+$A$17,0))-((Control!$B$66+Control!$B$67+Control!$B$68)*12*POWER(1+Control!$B$18,0)+(Control!$B$65*12*POWER(1+$A$17,0))*Control!$B$26)))*(1-Control!$B$23))-IF(AND(Control!$B$5&gt;0,Control!$B$6="Y",1=Control!$B$39-1),Control!$B$40,0))</f>
        <v/>
      </c>
      <c r="E67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$17,1))+(((Control!$B$20*(Control!$B$30*Control!$B$31+Control!$B$34*Control!$B$35+IF(AND(Control!$B$5&gt;0,Control!$B$6="Y",2&gt;=Control!$B$39),Control!$B$37*Control!$B$38,0)))*Control!$B$41)*(Control!$B$42+Control!$B$44)*POWER(1+$A$17,1))+(Control!$B$46*POWER(1+$A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$17,1))*Control!$B$26))+(((Control!$B$54*Control!$B$55+Control!$B$56*Control!$B$57*Control!$B$58*Control!$B$59)*POWER(1+$A$17,1))-((Control!$B$56*Control!$B$57*Control!$B$58*Control!$B$59*POWER(1+$A$17,1))*Control!$B$60+(Control!$B$61+Control!$B$62+Control!$B$63)*12*POWER(1+Control!$B$18,1)+((Control!$B$54*Control!$B$55+Control!$B$56*Control!$B$57*Control!$B$58*Control!$B$59)*POWER(1+$A$17,1))*Control!$B$26))+((Control!$B$65*12*POWER(1+$A$17,1))-((Control!$B$66+Control!$B$67+Control!$B$68)*12*POWER(1+Control!$B$18,1)+(Control!$B$65*12*POWER(1+$A$17,1))*Control!$B$26)))*(1-Control!$B$23))-IF(AND(Control!$B$5&gt;0,Control!$B$6="Y",2=Control!$B$39-1),Control!$B$40,0))</f>
        <v/>
      </c>
      <c r="F67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$17,2))+(((Control!$B$20*(Control!$B$30*Control!$B$31+Control!$B$34*Control!$B$35+IF(AND(Control!$B$5&gt;0,Control!$B$6="Y",3&gt;=Control!$B$39),Control!$B$37*Control!$B$38,0)))*Control!$B$41)*(Control!$B$42+Control!$B$44)*POWER(1+$A$17,2))+(Control!$B$46*POWER(1+$A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$17,2))*Control!$B$26))+(((Control!$B$54*Control!$B$55+Control!$B$56*Control!$B$57*Control!$B$58*Control!$B$59)*POWER(1+$A$17,2))-((Control!$B$56*Control!$B$57*Control!$B$58*Control!$B$59*POWER(1+$A$17,2))*Control!$B$60+(Control!$B$61+Control!$B$62+Control!$B$63)*12*POWER(1+Control!$B$18,2)+((Control!$B$54*Control!$B$55+Control!$B$56*Control!$B$57*Control!$B$58*Control!$B$59)*POWER(1+$A$17,2))*Control!$B$26))+((Control!$B$65*12*POWER(1+$A$17,2))-((Control!$B$66+Control!$B$67+Control!$B$68)*12*POWER(1+Control!$B$18,2)+(Control!$B$65*12*POWER(1+$A$17,2))*Control!$B$26)))*(1-Control!$B$23))-IF(AND(Control!$B$5&gt;0,Control!$B$6="Y",3=Control!$B$39-1),Control!$B$40,0))</f>
        <v/>
      </c>
      <c r="G67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$17,3))+(((Control!$B$20*(Control!$B$30*Control!$B$31+Control!$B$34*Control!$B$35+IF(AND(Control!$B$5&gt;0,Control!$B$6="Y",4&gt;=Control!$B$39),Control!$B$37*Control!$B$38,0)))*Control!$B$41)*(Control!$B$42+Control!$B$44)*POWER(1+$A$17,3))+(Control!$B$46*POWER(1+$A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$17,3))*Control!$B$26))+(((Control!$B$54*Control!$B$55+Control!$B$56*Control!$B$57*Control!$B$58*Control!$B$59)*POWER(1+$A$17,3))-((Control!$B$56*Control!$B$57*Control!$B$58*Control!$B$59*POWER(1+$A$17,3))*Control!$B$60+(Control!$B$61+Control!$B$62+Control!$B$63)*12*POWER(1+Control!$B$18,3)+((Control!$B$54*Control!$B$55+Control!$B$56*Control!$B$57*Control!$B$58*Control!$B$59)*POWER(1+$A$17,3))*Control!$B$26))+((Control!$B$65*12*POWER(1+$A$17,3))-((Control!$B$66+Control!$B$67+Control!$B$68)*12*POWER(1+Control!$B$18,3)+(Control!$B$65*12*POWER(1+$A$17,3))*Control!$B$26)))*(1-Control!$B$23))-IF(AND(Control!$B$5&gt;0,Control!$B$6="Y",4=Control!$B$39-1),Control!$B$40,0))</f>
        <v/>
      </c>
      <c r="H67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$17,4))+(((Control!$B$20*(Control!$B$30*Control!$B$31+Control!$B$34*Control!$B$35+IF(AND(Control!$B$5&gt;0,Control!$B$6="Y",5&gt;=Control!$B$39),Control!$B$37*Control!$B$38,0)))*Control!$B$41)*(Control!$B$42+Control!$B$44)*POWER(1+$A$17,4))+(Control!$B$46*POWER(1+$A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$17,4))*Control!$B$26))+(((Control!$B$54*Control!$B$55+Control!$B$56*Control!$B$57*Control!$B$58*Control!$B$59)*POWER(1+$A$17,4))-((Control!$B$56*Control!$B$57*Control!$B$58*Control!$B$59*POWER(1+$A$17,4))*Control!$B$60+(Control!$B$61+Control!$B$62+Control!$B$63)*12*POWER(1+Control!$B$18,4)+((Control!$B$54*Control!$B$55+Control!$B$56*Control!$B$57*Control!$B$58*Control!$B$59)*POWER(1+$A$17,4))*Control!$B$26))+((Control!$B$65*12*POWER(1+$A$17,4))-((Control!$B$66+Control!$B$67+Control!$B$68)*12*POWER(1+Control!$B$18,4)+(Control!$B$65*12*POWER(1+$A$17,4))*Control!$B$26)))*(1-Control!$B$23))-IF(AND(Control!$B$5&gt;0,Control!$B$6="Y",5=Control!$B$39-1),Control!$B$40,0))</f>
        <v/>
      </c>
      <c r="I67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$17,5))+(((Control!$B$20*(Control!$B$30*Control!$B$31+Control!$B$34*Control!$B$35+IF(AND(Control!$B$5&gt;0,Control!$B$6="Y",6&gt;=Control!$B$39),Control!$B$37*Control!$B$38,0)))*Control!$B$41)*(Control!$B$42+Control!$B$44)*POWER(1+$A$17,5))+(Control!$B$46*POWER(1+$A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$17,5))*Control!$B$26))+(((Control!$B$54*Control!$B$55+Control!$B$56*Control!$B$57*Control!$B$58*Control!$B$59)*POWER(1+$A$17,5))-((Control!$B$56*Control!$B$57*Control!$B$58*Control!$B$59*POWER(1+$A$17,5))*Control!$B$60+(Control!$B$61+Control!$B$62+Control!$B$63)*12*POWER(1+Control!$B$18,5)+((Control!$B$54*Control!$B$55+Control!$B$56*Control!$B$57*Control!$B$58*Control!$B$59)*POWER(1+$A$17,5))*Control!$B$26))+((Control!$B$65*12*POWER(1+$A$17,5))-((Control!$B$66+Control!$B$67+Control!$B$68)*12*POWER(1+Control!$B$18,5)+(Control!$B$65*12*POWER(1+$A$17,5))*Control!$B$26)))*(1-Control!$B$23))-IF(AND(Control!$B$5&gt;0,Control!$B$6="Y",6=Control!$B$39-1),Control!$B$40,0))</f>
        <v/>
      </c>
      <c r="J67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$17,6))+(((Control!$B$20*(Control!$B$30*Control!$B$31+Control!$B$34*Control!$B$35+IF(AND(Control!$B$5&gt;0,Control!$B$6="Y",7&gt;=Control!$B$39),Control!$B$37*Control!$B$38,0)))*Control!$B$41)*(Control!$B$42+Control!$B$44)*POWER(1+$A$17,6))+(Control!$B$46*POWER(1+$A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$17,6))*Control!$B$26))+(((Control!$B$54*Control!$B$55+Control!$B$56*Control!$B$57*Control!$B$58*Control!$B$59)*POWER(1+$A$17,6))-((Control!$B$56*Control!$B$57*Control!$B$58*Control!$B$59*POWER(1+$A$17,6))*Control!$B$60+(Control!$B$61+Control!$B$62+Control!$B$63)*12*POWER(1+Control!$B$18,6)+((Control!$B$54*Control!$B$55+Control!$B$56*Control!$B$57*Control!$B$58*Control!$B$59)*POWER(1+$A$17,6))*Control!$B$26))+((Control!$B$65*12*POWER(1+$A$17,6))-((Control!$B$66+Control!$B$67+Control!$B$68)*12*POWER(1+Control!$B$18,6)+(Control!$B$65*12*POWER(1+$A$17,6))*Control!$B$26)))*(1-Control!$B$23))-IF(AND(Control!$B$5&gt;0,Control!$B$6="Y",7=Control!$B$39-1),Control!$B$40,0))</f>
        <v/>
      </c>
      <c r="K67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$17,7))+(((Control!$B$20*(Control!$B$30*Control!$B$31+Control!$B$34*Control!$B$35+IF(AND(Control!$B$5&gt;0,Control!$B$6="Y",8&gt;=Control!$B$39),Control!$B$37*Control!$B$38,0)))*Control!$B$41)*(Control!$B$42+Control!$B$44)*POWER(1+$A$17,7))+(Control!$B$46*POWER(1+$A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$17,7))*Control!$B$26))+(((Control!$B$54*Control!$B$55+Control!$B$56*Control!$B$57*Control!$B$58*Control!$B$59)*POWER(1+$A$17,7))-((Control!$B$56*Control!$B$57*Control!$B$58*Control!$B$59*POWER(1+$A$17,7))*Control!$B$60+(Control!$B$61+Control!$B$62+Control!$B$63)*12*POWER(1+Control!$B$18,7)+((Control!$B$54*Control!$B$55+Control!$B$56*Control!$B$57*Control!$B$58*Control!$B$59)*POWER(1+$A$17,7))*Control!$B$26))+((Control!$B$65*12*POWER(1+$A$17,7))-((Control!$B$66+Control!$B$67+Control!$B$68)*12*POWER(1+Control!$B$18,7)+(Control!$B$65*12*POWER(1+$A$17,7))*Control!$B$26)))*(1-Control!$B$23))-IF(AND(Control!$B$5&gt;0,Control!$B$6="Y",8=Control!$B$39-1),Control!$B$40,0))</f>
        <v/>
      </c>
      <c r="L67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$17,8))+(((Control!$B$20*(Control!$B$30*Control!$B$31+Control!$B$34*Control!$B$35+IF(AND(Control!$B$5&gt;0,Control!$B$6="Y",9&gt;=Control!$B$39),Control!$B$37*Control!$B$38,0)))*Control!$B$41)*(Control!$B$42+Control!$B$44)*POWER(1+$A$17,8))+(Control!$B$46*POWER(1+$A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$17,8))*Control!$B$26))+(((Control!$B$54*Control!$B$55+Control!$B$56*Control!$B$57*Control!$B$58*Control!$B$59)*POWER(1+$A$17,8))-((Control!$B$56*Control!$B$57*Control!$B$58*Control!$B$59*POWER(1+$A$17,8))*Control!$B$60+(Control!$B$61+Control!$B$62+Control!$B$63)*12*POWER(1+Control!$B$18,8)+((Control!$B$54*Control!$B$55+Control!$B$56*Control!$B$57*Control!$B$58*Control!$B$59)*POWER(1+$A$17,8))*Control!$B$26))+((Control!$B$65*12*POWER(1+$A$17,8))-((Control!$B$66+Control!$B$67+Control!$B$68)*12*POWER(1+Control!$B$18,8)+(Control!$B$65*12*POWER(1+$A$17,8))*Control!$B$26)))*(1-Control!$B$23))-IF(AND(Control!$B$5&gt;0,Control!$B$6="Y",9=Control!$B$39-1),Control!$B$40,0))</f>
        <v/>
      </c>
      <c r="M67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$17,9))+(((Control!$B$20*(Control!$B$30*Control!$B$31+Control!$B$34*Control!$B$35+IF(AND(Control!$B$5&gt;0,Control!$B$6="Y",10&gt;=Control!$B$39),Control!$B$37*Control!$B$38,0)))*Control!$B$41)*(Control!$B$42+Control!$B$44)*POWER(1+$A$17,9))+(Control!$B$46*POWER(1+$A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$17,9))*Control!$B$26))+(((Control!$B$54*Control!$B$55+Control!$B$56*Control!$B$57*Control!$B$58*Control!$B$59)*POWER(1+$A$17,9))-((Control!$B$56*Control!$B$57*Control!$B$58*Control!$B$59*POWER(1+$A$17,9))*Control!$B$60+(Control!$B$61+Control!$B$62+Control!$B$63)*12*POWER(1+Control!$B$18,9)+((Control!$B$54*Control!$B$55+Control!$B$56*Control!$B$57*Control!$B$58*Control!$B$59)*POWER(1+$A$17,9))*Control!$B$26))+((Control!$B$65*12*POWER(1+$A$17,9))-((Control!$B$66+Control!$B$67+Control!$B$68)*12*POWER(1+Control!$B$18,9)+(Control!$B$65*12*POWER(1+$A$17,9))*Control!$B$26)))*(1-Control!$B$23))-IF(AND(Control!$B$5&gt;0,Control!$B$6="Y",10=Control!$B$39-1),Control!$B$40,0))</f>
        <v/>
      </c>
      <c r="N67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$17,10))+(((Control!$B$20*(Control!$B$30*Control!$B$31+Control!$B$34*Control!$B$35+IF(AND(Control!$B$5&gt;0,Control!$B$6="Y",11&gt;=Control!$B$39),Control!$B$37*Control!$B$38,0)))*Control!$B$41)*(Control!$B$42+Control!$B$44)*POWER(1+$A$17,10))+(Control!$B$46*POWER(1+$A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$17,10))*Control!$B$26))+(((Control!$B$54*Control!$B$55+Control!$B$56*Control!$B$57*Control!$B$58*Control!$B$59)*POWER(1+$A$17,10))-((Control!$B$56*Control!$B$57*Control!$B$58*Control!$B$59*POWER(1+$A$17,10))*Control!$B$60+(Control!$B$61+Control!$B$62+Control!$B$63)*12*POWER(1+Control!$B$18,10)+((Control!$B$54*Control!$B$55+Control!$B$56*Control!$B$57*Control!$B$58*Control!$B$59)*POWER(1+$A$17,10))*Control!$B$26))+((Control!$B$65*12*POWER(1+$A$17,10))-((Control!$B$66+Control!$B$67+Control!$B$68)*12*POWER(1+Control!$B$18,10)+(Control!$B$65*12*POWER(1+$A$17,10))*Control!$B$26)))*(1-Control!$B$23))-IF(AND(Control!$B$5&gt;0,Control!$B$6="Y",11=Control!$B$39-1),Control!$B$40,0))</f>
        <v/>
      </c>
      <c r="O67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$17,11))+(((Control!$B$20*(Control!$B$30*Control!$B$31+Control!$B$34*Control!$B$35+IF(AND(Control!$B$5&gt;0,Control!$B$6="Y",12&gt;=Control!$B$39),Control!$B$37*Control!$B$38,0)))*Control!$B$41)*(Control!$B$42+Control!$B$44)*POWER(1+$A$17,11))+(Control!$B$46*POWER(1+$A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$17,11))*Control!$B$26))+(((Control!$B$54*Control!$B$55+Control!$B$56*Control!$B$57*Control!$B$58*Control!$B$59)*POWER(1+$A$17,11))-((Control!$B$56*Control!$B$57*Control!$B$58*Control!$B$59*POWER(1+$A$17,11))*Control!$B$60+(Control!$B$61+Control!$B$62+Control!$B$63)*12*POWER(1+Control!$B$18,11)+((Control!$B$54*Control!$B$55+Control!$B$56*Control!$B$57*Control!$B$58*Control!$B$59)*POWER(1+$A$17,11))*Control!$B$26))+((Control!$B$65*12*POWER(1+$A$17,11))-((Control!$B$66+Control!$B$67+Control!$B$68)*12*POWER(1+Control!$B$18,11)+(Control!$B$65*12*POWER(1+$A$17,11))*Control!$B$26)))*(1-Control!$B$23))-IF(AND(Control!$B$5&gt;0,Control!$B$6="Y",12=Control!$B$39-1),Control!$B$40,0))</f>
        <v/>
      </c>
      <c r="P67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$17,12))+(((Control!$B$20*(Control!$B$30*Control!$B$31+Control!$B$34*Control!$B$35+IF(AND(Control!$B$5&gt;0,Control!$B$6="Y",13&gt;=Control!$B$39),Control!$B$37*Control!$B$38,0)))*Control!$B$41)*(Control!$B$42+Control!$B$44)*POWER(1+$A$17,12))+(Control!$B$46*POWER(1+$A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$17,12))*Control!$B$26))+(((Control!$B$54*Control!$B$55+Control!$B$56*Control!$B$57*Control!$B$58*Control!$B$59)*POWER(1+$A$17,12))-((Control!$B$56*Control!$B$57*Control!$B$58*Control!$B$59*POWER(1+$A$17,12))*Control!$B$60+(Control!$B$61+Control!$B$62+Control!$B$63)*12*POWER(1+Control!$B$18,12)+((Control!$B$54*Control!$B$55+Control!$B$56*Control!$B$57*Control!$B$58*Control!$B$59)*POWER(1+$A$17,12))*Control!$B$26))+((Control!$B$65*12*POWER(1+$A$17,12))-((Control!$B$66+Control!$B$67+Control!$B$68)*12*POWER(1+Control!$B$18,12)+(Control!$B$65*12*POWER(1+$A$17,12))*Control!$B$26)))*(1-Control!$B$23))-IF(AND(Control!$B$5&gt;0,Control!$B$6="Y",13=Control!$B$39-1),Control!$B$40,0))</f>
        <v/>
      </c>
      <c r="Q67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$17,13))+(((Control!$B$20*(Control!$B$30*Control!$B$31+Control!$B$34*Control!$B$35+IF(AND(Control!$B$5&gt;0,Control!$B$6="Y",14&gt;=Control!$B$39),Control!$B$37*Control!$B$38,0)))*Control!$B$41)*(Control!$B$42+Control!$B$44)*POWER(1+$A$17,13))+(Control!$B$46*POWER(1+$A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$17,13))*Control!$B$26))+(((Control!$B$54*Control!$B$55+Control!$B$56*Control!$B$57*Control!$B$58*Control!$B$59)*POWER(1+$A$17,13))-((Control!$B$56*Control!$B$57*Control!$B$58*Control!$B$59*POWER(1+$A$17,13))*Control!$B$60+(Control!$B$61+Control!$B$62+Control!$B$63)*12*POWER(1+Control!$B$18,13)+((Control!$B$54*Control!$B$55+Control!$B$56*Control!$B$57*Control!$B$58*Control!$B$59)*POWER(1+$A$17,13))*Control!$B$26))+((Control!$B$65*12*POWER(1+$A$17,13))-((Control!$B$66+Control!$B$67+Control!$B$68)*12*POWER(1+Control!$B$18,13)+(Control!$B$65*12*POWER(1+$A$17,13))*Control!$B$26)))*(1-Control!$B$23))-IF(AND(Control!$B$5&gt;0,Control!$B$6="Y",14=Control!$B$39-1),Control!$B$40,0))</f>
        <v/>
      </c>
      <c r="R67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$17,14))+(((Control!$B$20*(Control!$B$30*Control!$B$31+Control!$B$34*Control!$B$35+IF(AND(Control!$B$5&gt;0,Control!$B$6="Y",15&gt;=Control!$B$39),Control!$B$37*Control!$B$38,0)))*Control!$B$41)*(Control!$B$42+Control!$B$44)*POWER(1+$A$17,14))+(Control!$B$46*POWER(1+$A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$17,14))*Control!$B$26))+(((Control!$B$54*Control!$B$55+Control!$B$56*Control!$B$57*Control!$B$58*Control!$B$59)*POWER(1+$A$17,14))-((Control!$B$56*Control!$B$57*Control!$B$58*Control!$B$59*POWER(1+$A$17,14))*Control!$B$60+(Control!$B$61+Control!$B$62+Control!$B$63)*12*POWER(1+Control!$B$18,14)+((Control!$B$54*Control!$B$55+Control!$B$56*Control!$B$57*Control!$B$58*Control!$B$59)*POWER(1+$A$17,14))*Control!$B$26))+((Control!$B$65*12*POWER(1+$A$17,14))-((Control!$B$66+Control!$B$67+Control!$B$68)*12*POWER(1+Control!$B$18,14)+(Control!$B$65*12*POWER(1+$A$17,14))*Control!$B$26)))*(1-Control!$B$23))-IF(AND(Control!$B$5&gt;0,Control!$B$6="Y",15=Control!$B$39-1),Control!$B$40,0))</f>
        <v/>
      </c>
      <c r="S67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$17,15))+(((Control!$B$20*(Control!$B$30*Control!$B$31+Control!$B$34*Control!$B$35+IF(AND(Control!$B$5&gt;0,Control!$B$6="Y",16&gt;=Control!$B$39),Control!$B$37*Control!$B$38,0)))*Control!$B$41)*(Control!$B$42+Control!$B$44)*POWER(1+$A$17,15))+(Control!$B$46*POWER(1+$A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$17,15))*Control!$B$26))+(((Control!$B$54*Control!$B$55+Control!$B$56*Control!$B$57*Control!$B$58*Control!$B$59)*POWER(1+$A$17,15))-((Control!$B$56*Control!$B$57*Control!$B$58*Control!$B$59*POWER(1+$A$17,15))*Control!$B$60+(Control!$B$61+Control!$B$62+Control!$B$63)*12*POWER(1+Control!$B$18,15)+((Control!$B$54*Control!$B$55+Control!$B$56*Control!$B$57*Control!$B$58*Control!$B$59)*POWER(1+$A$17,15))*Control!$B$26))+((Control!$B$65*12*POWER(1+$A$17,15))-((Control!$B$66+Control!$B$67+Control!$B$68)*12*POWER(1+Control!$B$18,15)+(Control!$B$65*12*POWER(1+$A$17,15))*Control!$B$26)))*(1-Control!$B$23))-IF(AND(Control!$B$5&gt;0,Control!$B$6="Y",16=Control!$B$39-1),Control!$B$40,0))</f>
        <v/>
      </c>
      <c r="T67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$17,16))+(((Control!$B$20*(Control!$B$30*Control!$B$31+Control!$B$34*Control!$B$35+IF(AND(Control!$B$5&gt;0,Control!$B$6="Y",17&gt;=Control!$B$39),Control!$B$37*Control!$B$38,0)))*Control!$B$41)*(Control!$B$42+Control!$B$44)*POWER(1+$A$17,16))+(Control!$B$46*POWER(1+$A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$17,16))*Control!$B$26))+(((Control!$B$54*Control!$B$55+Control!$B$56*Control!$B$57*Control!$B$58*Control!$B$59)*POWER(1+$A$17,16))-((Control!$B$56*Control!$B$57*Control!$B$58*Control!$B$59*POWER(1+$A$17,16))*Control!$B$60+(Control!$B$61+Control!$B$62+Control!$B$63)*12*POWER(1+Control!$B$18,16)+((Control!$B$54*Control!$B$55+Control!$B$56*Control!$B$57*Control!$B$58*Control!$B$59)*POWER(1+$A$17,16))*Control!$B$26))+((Control!$B$65*12*POWER(1+$A$17,16))-((Control!$B$66+Control!$B$67+Control!$B$68)*12*POWER(1+Control!$B$18,16)+(Control!$B$65*12*POWER(1+$A$17,16))*Control!$B$26)))*(1-Control!$B$23))-IF(AND(Control!$B$5&gt;0,Control!$B$6="Y",17=Control!$B$39-1),Control!$B$40,0))</f>
        <v/>
      </c>
      <c r="U67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$17,17))+(((Control!$B$20*(Control!$B$30*Control!$B$31+Control!$B$34*Control!$B$35+IF(AND(Control!$B$5&gt;0,Control!$B$6="Y",18&gt;=Control!$B$39),Control!$B$37*Control!$B$38,0)))*Control!$B$41)*(Control!$B$42+Control!$B$44)*POWER(1+$A$17,17))+(Control!$B$46*POWER(1+$A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$17,17))*Control!$B$26))+(((Control!$B$54*Control!$B$55+Control!$B$56*Control!$B$57*Control!$B$58*Control!$B$59)*POWER(1+$A$17,17))-((Control!$B$56*Control!$B$57*Control!$B$58*Control!$B$59*POWER(1+$A$17,17))*Control!$B$60+(Control!$B$61+Control!$B$62+Control!$B$63)*12*POWER(1+Control!$B$18,17)+((Control!$B$54*Control!$B$55+Control!$B$56*Control!$B$57*Control!$B$58*Control!$B$59)*POWER(1+$A$17,17))*Control!$B$26))+((Control!$B$65*12*POWER(1+$A$17,17))-((Control!$B$66+Control!$B$67+Control!$B$68)*12*POWER(1+Control!$B$18,17)+(Control!$B$65*12*POWER(1+$A$17,17))*Control!$B$26)))*(1-Control!$B$23))-IF(AND(Control!$B$5&gt;0,Control!$B$6="Y",18=Control!$B$39-1),Control!$B$40,0))</f>
        <v/>
      </c>
      <c r="V67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$17,18))+(((Control!$B$20*(Control!$B$30*Control!$B$31+Control!$B$34*Control!$B$35+IF(AND(Control!$B$5&gt;0,Control!$B$6="Y",19&gt;=Control!$B$39),Control!$B$37*Control!$B$38,0)))*Control!$B$41)*(Control!$B$42+Control!$B$44)*POWER(1+$A$17,18))+(Control!$B$46*POWER(1+$A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$17,18))*Control!$B$26))+(((Control!$B$54*Control!$B$55+Control!$B$56*Control!$B$57*Control!$B$58*Control!$B$59)*POWER(1+$A$17,18))-((Control!$B$56*Control!$B$57*Control!$B$58*Control!$B$59*POWER(1+$A$17,18))*Control!$B$60+(Control!$B$61+Control!$B$62+Control!$B$63)*12*POWER(1+Control!$B$18,18)+((Control!$B$54*Control!$B$55+Control!$B$56*Control!$B$57*Control!$B$58*Control!$B$59)*POWER(1+$A$17,18))*Control!$B$26))+((Control!$B$65*12*POWER(1+$A$17,18))-((Control!$B$66+Control!$B$67+Control!$B$68)*12*POWER(1+Control!$B$18,18)+(Control!$B$65*12*POWER(1+$A$17,18))*Control!$B$26)))*(1-Control!$B$23))-IF(AND(Control!$B$5&gt;0,Control!$B$6="Y",19=Control!$B$39-1),Control!$B$40,0))</f>
        <v/>
      </c>
      <c r="W67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$17,19))+(((Control!$B$20*(Control!$B$30*Control!$B$31+Control!$B$34*Control!$B$35+IF(AND(Control!$B$5&gt;0,Control!$B$6="Y",20&gt;=Control!$B$39),Control!$B$37*Control!$B$38,0)))*Control!$B$41)*(Control!$B$42+Control!$B$44)*POWER(1+$A$17,19))+(Control!$B$46*POWER(1+$A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$17,19))*Control!$B$26))+(((Control!$B$54*Control!$B$55+Control!$B$56*Control!$B$57*Control!$B$58*Control!$B$59)*POWER(1+$A$17,19))-((Control!$B$56*Control!$B$57*Control!$B$58*Control!$B$59*POWER(1+$A$17,19))*Control!$B$60+(Control!$B$61+Control!$B$62+Control!$B$63)*12*POWER(1+Control!$B$18,19)+((Control!$B$54*Control!$B$55+Control!$B$56*Control!$B$57*Control!$B$58*Control!$B$59)*POWER(1+$A$17,19))*Control!$B$26))+((Control!$B$65*12*POWER(1+$A$17,19))-((Control!$B$66+Control!$B$67+Control!$B$68)*12*POWER(1+Control!$B$18,19)+(Control!$B$65*12*POWER(1+$A$17,19))*Control!$B$26)))*(1-Control!$B$23))-IF(AND(Control!$B$5&gt;0,Control!$B$6="Y",20=Control!$B$39-1),Control!$B$40,0))+Valuation!$F$10*POWER(1+Control!$B$74,20)*(1-Control!$B$75)</f>
        <v/>
      </c>
    </row>
    <row r="68">
      <c r="A68" s="110" t="inlineStr">
        <is>
          <t>[calc] ADR escalation 0.05 cum</t>
        </is>
      </c>
      <c r="B68" s="110" t="n"/>
      <c r="C68" s="110" t="n"/>
      <c r="D68" s="110">
        <f>D67</f>
        <v/>
      </c>
      <c r="E68" s="110">
        <f>D68+E67</f>
        <v/>
      </c>
      <c r="F68" s="110">
        <f>E68+F67</f>
        <v/>
      </c>
      <c r="G68" s="110">
        <f>F68+G67</f>
        <v/>
      </c>
      <c r="H68" s="110">
        <f>G68+H67</f>
        <v/>
      </c>
      <c r="I68" s="110">
        <f>H68+I67</f>
        <v/>
      </c>
      <c r="J68" s="110">
        <f>I68+J67</f>
        <v/>
      </c>
      <c r="K68" s="110">
        <f>J68+K67</f>
        <v/>
      </c>
      <c r="L68" s="110">
        <f>K68+L67</f>
        <v/>
      </c>
      <c r="M68" s="110">
        <f>L68+M67</f>
        <v/>
      </c>
      <c r="N68" s="110">
        <f>M68+N67</f>
        <v/>
      </c>
      <c r="O68" s="110">
        <f>N68+O67</f>
        <v/>
      </c>
      <c r="P68" s="110">
        <f>O68+P67</f>
        <v/>
      </c>
      <c r="Q68" s="110">
        <f>P68+Q67</f>
        <v/>
      </c>
      <c r="R68" s="110">
        <f>Q68+R67</f>
        <v/>
      </c>
      <c r="S68" s="110">
        <f>R68+S67</f>
        <v/>
      </c>
      <c r="T68" s="110">
        <f>S68+T67</f>
        <v/>
      </c>
      <c r="U68" s="110">
        <f>T68+U67</f>
        <v/>
      </c>
      <c r="V68" s="110">
        <f>U68+V67</f>
        <v/>
      </c>
      <c r="W68" s="110" t="n"/>
    </row>
    <row r="69">
      <c r="A69" s="110" t="inlineStr">
        <is>
          <t>[calc] ADR escalation 0.06 dist</t>
        </is>
      </c>
      <c r="B69" s="110" t="n"/>
      <c r="C69" s="114">
        <f>-Control!$B$15</f>
        <v/>
      </c>
      <c r="D69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$18,0))+(((Control!$B$20*(Control!$B$30*Control!$B$31+Control!$B$34*Control!$B$35+IF(AND(Control!$B$5&gt;0,Control!$B$6="Y",1&gt;=Control!$B$39),Control!$B$37*Control!$B$38,0)))*Control!$B$41)*(Control!$B$42+Control!$B$44)*POWER(1+$A$18,0))+(Control!$B$46*POWER(1+$A$18,0)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$18,0)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$18,0))*Control!$B$26))+(((Control!$B$54*Control!$B$55+Control!$B$56*Control!$B$57*Control!$B$58*Control!$B$59)*POWER(1+$A$18,0))-((Control!$B$56*Control!$B$57*Control!$B$58*Control!$B$59*POWER(1+$A$18,0))*Control!$B$60+(Control!$B$61+Control!$B$62+Control!$B$63)*12*POWER(1+Control!$B$18,0)+((Control!$B$54*Control!$B$55+Control!$B$56*Control!$B$57*Control!$B$58*Control!$B$59)*POWER(1+$A$18,0))*Control!$B$26))+((Control!$B$65*12*POWER(1+$A$18,0))-((Control!$B$66+Control!$B$67+Control!$B$68)*12*POWER(1+Control!$B$18,0)+(Control!$B$65*12*POWER(1+$A$18,0))*Control!$B$26)))*(1-Control!$B$23))-IF(AND(Control!$B$5&gt;0,Control!$B$6="Y",1=Control!$B$39-1),Control!$B$40,0))</f>
        <v/>
      </c>
      <c r="E69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$18,1))+(((Control!$B$20*(Control!$B$30*Control!$B$31+Control!$B$34*Control!$B$35+IF(AND(Control!$B$5&gt;0,Control!$B$6="Y",2&gt;=Control!$B$39),Control!$B$37*Control!$B$38,0)))*Control!$B$41)*(Control!$B$42+Control!$B$44)*POWER(1+$A$18,1))+(Control!$B$46*POWER(1+$A$18,1)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$18,1)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$18,1))*Control!$B$26))+(((Control!$B$54*Control!$B$55+Control!$B$56*Control!$B$57*Control!$B$58*Control!$B$59)*POWER(1+$A$18,1))-((Control!$B$56*Control!$B$57*Control!$B$58*Control!$B$59*POWER(1+$A$18,1))*Control!$B$60+(Control!$B$61+Control!$B$62+Control!$B$63)*12*POWER(1+Control!$B$18,1)+((Control!$B$54*Control!$B$55+Control!$B$56*Control!$B$57*Control!$B$58*Control!$B$59)*POWER(1+$A$18,1))*Control!$B$26))+((Control!$B$65*12*POWER(1+$A$18,1))-((Control!$B$66+Control!$B$67+Control!$B$68)*12*POWER(1+Control!$B$18,1)+(Control!$B$65*12*POWER(1+$A$18,1))*Control!$B$26)))*(1-Control!$B$23))-IF(AND(Control!$B$5&gt;0,Control!$B$6="Y",2=Control!$B$39-1),Control!$B$40,0))</f>
        <v/>
      </c>
      <c r="F69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$18,2))+(((Control!$B$20*(Control!$B$30*Control!$B$31+Control!$B$34*Control!$B$35+IF(AND(Control!$B$5&gt;0,Control!$B$6="Y",3&gt;=Control!$B$39),Control!$B$37*Control!$B$38,0)))*Control!$B$41)*(Control!$B$42+Control!$B$44)*POWER(1+$A$18,2))+(Control!$B$46*POWER(1+$A$18,2)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$18,2)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$18,2))*Control!$B$26))+(((Control!$B$54*Control!$B$55+Control!$B$56*Control!$B$57*Control!$B$58*Control!$B$59)*POWER(1+$A$18,2))-((Control!$B$56*Control!$B$57*Control!$B$58*Control!$B$59*POWER(1+$A$18,2))*Control!$B$60+(Control!$B$61+Control!$B$62+Control!$B$63)*12*POWER(1+Control!$B$18,2)+((Control!$B$54*Control!$B$55+Control!$B$56*Control!$B$57*Control!$B$58*Control!$B$59)*POWER(1+$A$18,2))*Control!$B$26))+((Control!$B$65*12*POWER(1+$A$18,2))-((Control!$B$66+Control!$B$67+Control!$B$68)*12*POWER(1+Control!$B$18,2)+(Control!$B$65*12*POWER(1+$A$18,2))*Control!$B$26)))*(1-Control!$B$23))-IF(AND(Control!$B$5&gt;0,Control!$B$6="Y",3=Control!$B$39-1),Control!$B$40,0))</f>
        <v/>
      </c>
      <c r="G69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$18,3))+(((Control!$B$20*(Control!$B$30*Control!$B$31+Control!$B$34*Control!$B$35+IF(AND(Control!$B$5&gt;0,Control!$B$6="Y",4&gt;=Control!$B$39),Control!$B$37*Control!$B$38,0)))*Control!$B$41)*(Control!$B$42+Control!$B$44)*POWER(1+$A$18,3))+(Control!$B$46*POWER(1+$A$18,3)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$18,3)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$18,3))*Control!$B$26))+(((Control!$B$54*Control!$B$55+Control!$B$56*Control!$B$57*Control!$B$58*Control!$B$59)*POWER(1+$A$18,3))-((Control!$B$56*Control!$B$57*Control!$B$58*Control!$B$59*POWER(1+$A$18,3))*Control!$B$60+(Control!$B$61+Control!$B$62+Control!$B$63)*12*POWER(1+Control!$B$18,3)+((Control!$B$54*Control!$B$55+Control!$B$56*Control!$B$57*Control!$B$58*Control!$B$59)*POWER(1+$A$18,3))*Control!$B$26))+((Control!$B$65*12*POWER(1+$A$18,3))-((Control!$B$66+Control!$B$67+Control!$B$68)*12*POWER(1+Control!$B$18,3)+(Control!$B$65*12*POWER(1+$A$18,3))*Control!$B$26)))*(1-Control!$B$23))-IF(AND(Control!$B$5&gt;0,Control!$B$6="Y",4=Control!$B$39-1),Control!$B$40,0))</f>
        <v/>
      </c>
      <c r="H69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$18,4))+(((Control!$B$20*(Control!$B$30*Control!$B$31+Control!$B$34*Control!$B$35+IF(AND(Control!$B$5&gt;0,Control!$B$6="Y",5&gt;=Control!$B$39),Control!$B$37*Control!$B$38,0)))*Control!$B$41)*(Control!$B$42+Control!$B$44)*POWER(1+$A$18,4))+(Control!$B$46*POWER(1+$A$18,4)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$18,4)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$18,4))*Control!$B$26))+(((Control!$B$54*Control!$B$55+Control!$B$56*Control!$B$57*Control!$B$58*Control!$B$59)*POWER(1+$A$18,4))-((Control!$B$56*Control!$B$57*Control!$B$58*Control!$B$59*POWER(1+$A$18,4))*Control!$B$60+(Control!$B$61+Control!$B$62+Control!$B$63)*12*POWER(1+Control!$B$18,4)+((Control!$B$54*Control!$B$55+Control!$B$56*Control!$B$57*Control!$B$58*Control!$B$59)*POWER(1+$A$18,4))*Control!$B$26))+((Control!$B$65*12*POWER(1+$A$18,4))-((Control!$B$66+Control!$B$67+Control!$B$68)*12*POWER(1+Control!$B$18,4)+(Control!$B$65*12*POWER(1+$A$18,4))*Control!$B$26)))*(1-Control!$B$23))-IF(AND(Control!$B$5&gt;0,Control!$B$6="Y",5=Control!$B$39-1),Control!$B$40,0))</f>
        <v/>
      </c>
      <c r="I69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$18,5))+(((Control!$B$20*(Control!$B$30*Control!$B$31+Control!$B$34*Control!$B$35+IF(AND(Control!$B$5&gt;0,Control!$B$6="Y",6&gt;=Control!$B$39),Control!$B$37*Control!$B$38,0)))*Control!$B$41)*(Control!$B$42+Control!$B$44)*POWER(1+$A$18,5))+(Control!$B$46*POWER(1+$A$18,5)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$18,5)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$18,5))*Control!$B$26))+(((Control!$B$54*Control!$B$55+Control!$B$56*Control!$B$57*Control!$B$58*Control!$B$59)*POWER(1+$A$18,5))-((Control!$B$56*Control!$B$57*Control!$B$58*Control!$B$59*POWER(1+$A$18,5))*Control!$B$60+(Control!$B$61+Control!$B$62+Control!$B$63)*12*POWER(1+Control!$B$18,5)+((Control!$B$54*Control!$B$55+Control!$B$56*Control!$B$57*Control!$B$58*Control!$B$59)*POWER(1+$A$18,5))*Control!$B$26))+((Control!$B$65*12*POWER(1+$A$18,5))-((Control!$B$66+Control!$B$67+Control!$B$68)*12*POWER(1+Control!$B$18,5)+(Control!$B$65*12*POWER(1+$A$18,5))*Control!$B$26)))*(1-Control!$B$23))-IF(AND(Control!$B$5&gt;0,Control!$B$6="Y",6=Control!$B$39-1),Control!$B$40,0))</f>
        <v/>
      </c>
      <c r="J69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$18,6))+(((Control!$B$20*(Control!$B$30*Control!$B$31+Control!$B$34*Control!$B$35+IF(AND(Control!$B$5&gt;0,Control!$B$6="Y",7&gt;=Control!$B$39),Control!$B$37*Control!$B$38,0)))*Control!$B$41)*(Control!$B$42+Control!$B$44)*POWER(1+$A$18,6))+(Control!$B$46*POWER(1+$A$18,6)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$18,6)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$18,6))*Control!$B$26))+(((Control!$B$54*Control!$B$55+Control!$B$56*Control!$B$57*Control!$B$58*Control!$B$59)*POWER(1+$A$18,6))-((Control!$B$56*Control!$B$57*Control!$B$58*Control!$B$59*POWER(1+$A$18,6))*Control!$B$60+(Control!$B$61+Control!$B$62+Control!$B$63)*12*POWER(1+Control!$B$18,6)+((Control!$B$54*Control!$B$55+Control!$B$56*Control!$B$57*Control!$B$58*Control!$B$59)*POWER(1+$A$18,6))*Control!$B$26))+((Control!$B$65*12*POWER(1+$A$18,6))-((Control!$B$66+Control!$B$67+Control!$B$68)*12*POWER(1+Control!$B$18,6)+(Control!$B$65*12*POWER(1+$A$18,6))*Control!$B$26)))*(1-Control!$B$23))-IF(AND(Control!$B$5&gt;0,Control!$B$6="Y",7=Control!$B$39-1),Control!$B$40,0))</f>
        <v/>
      </c>
      <c r="K69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$18,7))+(((Control!$B$20*(Control!$B$30*Control!$B$31+Control!$B$34*Control!$B$35+IF(AND(Control!$B$5&gt;0,Control!$B$6="Y",8&gt;=Control!$B$39),Control!$B$37*Control!$B$38,0)))*Control!$B$41)*(Control!$B$42+Control!$B$44)*POWER(1+$A$18,7))+(Control!$B$46*POWER(1+$A$18,7)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$18,7)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$18,7))*Control!$B$26))+(((Control!$B$54*Control!$B$55+Control!$B$56*Control!$B$57*Control!$B$58*Control!$B$59)*POWER(1+$A$18,7))-((Control!$B$56*Control!$B$57*Control!$B$58*Control!$B$59*POWER(1+$A$18,7))*Control!$B$60+(Control!$B$61+Control!$B$62+Control!$B$63)*12*POWER(1+Control!$B$18,7)+((Control!$B$54*Control!$B$55+Control!$B$56*Control!$B$57*Control!$B$58*Control!$B$59)*POWER(1+$A$18,7))*Control!$B$26))+((Control!$B$65*12*POWER(1+$A$18,7))-((Control!$B$66+Control!$B$67+Control!$B$68)*12*POWER(1+Control!$B$18,7)+(Control!$B$65*12*POWER(1+$A$18,7))*Control!$B$26)))*(1-Control!$B$23))-IF(AND(Control!$B$5&gt;0,Control!$B$6="Y",8=Control!$B$39-1),Control!$B$40,0))</f>
        <v/>
      </c>
      <c r="L69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$18,8))+(((Control!$B$20*(Control!$B$30*Control!$B$31+Control!$B$34*Control!$B$35+IF(AND(Control!$B$5&gt;0,Control!$B$6="Y",9&gt;=Control!$B$39),Control!$B$37*Control!$B$38,0)))*Control!$B$41)*(Control!$B$42+Control!$B$44)*POWER(1+$A$18,8))+(Control!$B$46*POWER(1+$A$18,8)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$18,8)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$18,8))*Control!$B$26))+(((Control!$B$54*Control!$B$55+Control!$B$56*Control!$B$57*Control!$B$58*Control!$B$59)*POWER(1+$A$18,8))-((Control!$B$56*Control!$B$57*Control!$B$58*Control!$B$59*POWER(1+$A$18,8))*Control!$B$60+(Control!$B$61+Control!$B$62+Control!$B$63)*12*POWER(1+Control!$B$18,8)+((Control!$B$54*Control!$B$55+Control!$B$56*Control!$B$57*Control!$B$58*Control!$B$59)*POWER(1+$A$18,8))*Control!$B$26))+((Control!$B$65*12*POWER(1+$A$18,8))-((Control!$B$66+Control!$B$67+Control!$B$68)*12*POWER(1+Control!$B$18,8)+(Control!$B$65*12*POWER(1+$A$18,8))*Control!$B$26)))*(1-Control!$B$23))-IF(AND(Control!$B$5&gt;0,Control!$B$6="Y",9=Control!$B$39-1),Control!$B$40,0))</f>
        <v/>
      </c>
      <c r="M69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$18,9))+(((Control!$B$20*(Control!$B$30*Control!$B$31+Control!$B$34*Control!$B$35+IF(AND(Control!$B$5&gt;0,Control!$B$6="Y",10&gt;=Control!$B$39),Control!$B$37*Control!$B$38,0)))*Control!$B$41)*(Control!$B$42+Control!$B$44)*POWER(1+$A$18,9))+(Control!$B$46*POWER(1+$A$18,9)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$18,9)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$18,9))*Control!$B$26))+(((Control!$B$54*Control!$B$55+Control!$B$56*Control!$B$57*Control!$B$58*Control!$B$59)*POWER(1+$A$18,9))-((Control!$B$56*Control!$B$57*Control!$B$58*Control!$B$59*POWER(1+$A$18,9))*Control!$B$60+(Control!$B$61+Control!$B$62+Control!$B$63)*12*POWER(1+Control!$B$18,9)+((Control!$B$54*Control!$B$55+Control!$B$56*Control!$B$57*Control!$B$58*Control!$B$59)*POWER(1+$A$18,9))*Control!$B$26))+((Control!$B$65*12*POWER(1+$A$18,9))-((Control!$B$66+Control!$B$67+Control!$B$68)*12*POWER(1+Control!$B$18,9)+(Control!$B$65*12*POWER(1+$A$18,9))*Control!$B$26)))*(1-Control!$B$23))-IF(AND(Control!$B$5&gt;0,Control!$B$6="Y",10=Control!$B$39-1),Control!$B$40,0))</f>
        <v/>
      </c>
      <c r="N69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$18,10))+(((Control!$B$20*(Control!$B$30*Control!$B$31+Control!$B$34*Control!$B$35+IF(AND(Control!$B$5&gt;0,Control!$B$6="Y",11&gt;=Control!$B$39),Control!$B$37*Control!$B$38,0)))*Control!$B$41)*(Control!$B$42+Control!$B$44)*POWER(1+$A$18,10))+(Control!$B$46*POWER(1+$A$18,10)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$18,10)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$18,10))*Control!$B$26))+(((Control!$B$54*Control!$B$55+Control!$B$56*Control!$B$57*Control!$B$58*Control!$B$59)*POWER(1+$A$18,10))-((Control!$B$56*Control!$B$57*Control!$B$58*Control!$B$59*POWER(1+$A$18,10))*Control!$B$60+(Control!$B$61+Control!$B$62+Control!$B$63)*12*POWER(1+Control!$B$18,10)+((Control!$B$54*Control!$B$55+Control!$B$56*Control!$B$57*Control!$B$58*Control!$B$59)*POWER(1+$A$18,10))*Control!$B$26))+((Control!$B$65*12*POWER(1+$A$18,10))-((Control!$B$66+Control!$B$67+Control!$B$68)*12*POWER(1+Control!$B$18,10)+(Control!$B$65*12*POWER(1+$A$18,10))*Control!$B$26)))*(1-Control!$B$23))-IF(AND(Control!$B$5&gt;0,Control!$B$6="Y",11=Control!$B$39-1),Control!$B$40,0))</f>
        <v/>
      </c>
      <c r="O69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$18,11))+(((Control!$B$20*(Control!$B$30*Control!$B$31+Control!$B$34*Control!$B$35+IF(AND(Control!$B$5&gt;0,Control!$B$6="Y",12&gt;=Control!$B$39),Control!$B$37*Control!$B$38,0)))*Control!$B$41)*(Control!$B$42+Control!$B$44)*POWER(1+$A$18,11))+(Control!$B$46*POWER(1+$A$18,11)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$18,11)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$18,11))*Control!$B$26))+(((Control!$B$54*Control!$B$55+Control!$B$56*Control!$B$57*Control!$B$58*Control!$B$59)*POWER(1+$A$18,11))-((Control!$B$56*Control!$B$57*Control!$B$58*Control!$B$59*POWER(1+$A$18,11))*Control!$B$60+(Control!$B$61+Control!$B$62+Control!$B$63)*12*POWER(1+Control!$B$18,11)+((Control!$B$54*Control!$B$55+Control!$B$56*Control!$B$57*Control!$B$58*Control!$B$59)*POWER(1+$A$18,11))*Control!$B$26))+((Control!$B$65*12*POWER(1+$A$18,11))-((Control!$B$66+Control!$B$67+Control!$B$68)*12*POWER(1+Control!$B$18,11)+(Control!$B$65*12*POWER(1+$A$18,11))*Control!$B$26)))*(1-Control!$B$23))-IF(AND(Control!$B$5&gt;0,Control!$B$6="Y",12=Control!$B$39-1),Control!$B$40,0))</f>
        <v/>
      </c>
      <c r="P69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$18,12))+(((Control!$B$20*(Control!$B$30*Control!$B$31+Control!$B$34*Control!$B$35+IF(AND(Control!$B$5&gt;0,Control!$B$6="Y",13&gt;=Control!$B$39),Control!$B$37*Control!$B$38,0)))*Control!$B$41)*(Control!$B$42+Control!$B$44)*POWER(1+$A$18,12))+(Control!$B$46*POWER(1+$A$18,12)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$18,12)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$18,12))*Control!$B$26))+(((Control!$B$54*Control!$B$55+Control!$B$56*Control!$B$57*Control!$B$58*Control!$B$59)*POWER(1+$A$18,12))-((Control!$B$56*Control!$B$57*Control!$B$58*Control!$B$59*POWER(1+$A$18,12))*Control!$B$60+(Control!$B$61+Control!$B$62+Control!$B$63)*12*POWER(1+Control!$B$18,12)+((Control!$B$54*Control!$B$55+Control!$B$56*Control!$B$57*Control!$B$58*Control!$B$59)*POWER(1+$A$18,12))*Control!$B$26))+((Control!$B$65*12*POWER(1+$A$18,12))-((Control!$B$66+Control!$B$67+Control!$B$68)*12*POWER(1+Control!$B$18,12)+(Control!$B$65*12*POWER(1+$A$18,12))*Control!$B$26)))*(1-Control!$B$23))-IF(AND(Control!$B$5&gt;0,Control!$B$6="Y",13=Control!$B$39-1),Control!$B$40,0))</f>
        <v/>
      </c>
      <c r="Q69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$18,13))+(((Control!$B$20*(Control!$B$30*Control!$B$31+Control!$B$34*Control!$B$35+IF(AND(Control!$B$5&gt;0,Control!$B$6="Y",14&gt;=Control!$B$39),Control!$B$37*Control!$B$38,0)))*Control!$B$41)*(Control!$B$42+Control!$B$44)*POWER(1+$A$18,13))+(Control!$B$46*POWER(1+$A$18,13)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$18,13)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$18,13))*Control!$B$26))+(((Control!$B$54*Control!$B$55+Control!$B$56*Control!$B$57*Control!$B$58*Control!$B$59)*POWER(1+$A$18,13))-((Control!$B$56*Control!$B$57*Control!$B$58*Control!$B$59*POWER(1+$A$18,13))*Control!$B$60+(Control!$B$61+Control!$B$62+Control!$B$63)*12*POWER(1+Control!$B$18,13)+((Control!$B$54*Control!$B$55+Control!$B$56*Control!$B$57*Control!$B$58*Control!$B$59)*POWER(1+$A$18,13))*Control!$B$26))+((Control!$B$65*12*POWER(1+$A$18,13))-((Control!$B$66+Control!$B$67+Control!$B$68)*12*POWER(1+Control!$B$18,13)+(Control!$B$65*12*POWER(1+$A$18,13))*Control!$B$26)))*(1-Control!$B$23))-IF(AND(Control!$B$5&gt;0,Control!$B$6="Y",14=Control!$B$39-1),Control!$B$40,0))</f>
        <v/>
      </c>
      <c r="R69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$18,14))+(((Control!$B$20*(Control!$B$30*Control!$B$31+Control!$B$34*Control!$B$35+IF(AND(Control!$B$5&gt;0,Control!$B$6="Y",15&gt;=Control!$B$39),Control!$B$37*Control!$B$38,0)))*Control!$B$41)*(Control!$B$42+Control!$B$44)*POWER(1+$A$18,14))+(Control!$B$46*POWER(1+$A$18,14)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$18,14)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$18,14))*Control!$B$26))+(((Control!$B$54*Control!$B$55+Control!$B$56*Control!$B$57*Control!$B$58*Control!$B$59)*POWER(1+$A$18,14))-((Control!$B$56*Control!$B$57*Control!$B$58*Control!$B$59*POWER(1+$A$18,14))*Control!$B$60+(Control!$B$61+Control!$B$62+Control!$B$63)*12*POWER(1+Control!$B$18,14)+((Control!$B$54*Control!$B$55+Control!$B$56*Control!$B$57*Control!$B$58*Control!$B$59)*POWER(1+$A$18,14))*Control!$B$26))+((Control!$B$65*12*POWER(1+$A$18,14))-((Control!$B$66+Control!$B$67+Control!$B$68)*12*POWER(1+Control!$B$18,14)+(Control!$B$65*12*POWER(1+$A$18,14))*Control!$B$26)))*(1-Control!$B$23))-IF(AND(Control!$B$5&gt;0,Control!$B$6="Y",15=Control!$B$39-1),Control!$B$40,0))</f>
        <v/>
      </c>
      <c r="S69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$18,15))+(((Control!$B$20*(Control!$B$30*Control!$B$31+Control!$B$34*Control!$B$35+IF(AND(Control!$B$5&gt;0,Control!$B$6="Y",16&gt;=Control!$B$39),Control!$B$37*Control!$B$38,0)))*Control!$B$41)*(Control!$B$42+Control!$B$44)*POWER(1+$A$18,15))+(Control!$B$46*POWER(1+$A$18,15)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$18,15)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$18,15))*Control!$B$26))+(((Control!$B$54*Control!$B$55+Control!$B$56*Control!$B$57*Control!$B$58*Control!$B$59)*POWER(1+$A$18,15))-((Control!$B$56*Control!$B$57*Control!$B$58*Control!$B$59*POWER(1+$A$18,15))*Control!$B$60+(Control!$B$61+Control!$B$62+Control!$B$63)*12*POWER(1+Control!$B$18,15)+((Control!$B$54*Control!$B$55+Control!$B$56*Control!$B$57*Control!$B$58*Control!$B$59)*POWER(1+$A$18,15))*Control!$B$26))+((Control!$B$65*12*POWER(1+$A$18,15))-((Control!$B$66+Control!$B$67+Control!$B$68)*12*POWER(1+Control!$B$18,15)+(Control!$B$65*12*POWER(1+$A$18,15))*Control!$B$26)))*(1-Control!$B$23))-IF(AND(Control!$B$5&gt;0,Control!$B$6="Y",16=Control!$B$39-1),Control!$B$40,0))</f>
        <v/>
      </c>
      <c r="T69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$18,16))+(((Control!$B$20*(Control!$B$30*Control!$B$31+Control!$B$34*Control!$B$35+IF(AND(Control!$B$5&gt;0,Control!$B$6="Y",17&gt;=Control!$B$39),Control!$B$37*Control!$B$38,0)))*Control!$B$41)*(Control!$B$42+Control!$B$44)*POWER(1+$A$18,16))+(Control!$B$46*POWER(1+$A$18,16)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$18,16)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$18,16))*Control!$B$26))+(((Control!$B$54*Control!$B$55+Control!$B$56*Control!$B$57*Control!$B$58*Control!$B$59)*POWER(1+$A$18,16))-((Control!$B$56*Control!$B$57*Control!$B$58*Control!$B$59*POWER(1+$A$18,16))*Control!$B$60+(Control!$B$61+Control!$B$62+Control!$B$63)*12*POWER(1+Control!$B$18,16)+((Control!$B$54*Control!$B$55+Control!$B$56*Control!$B$57*Control!$B$58*Control!$B$59)*POWER(1+$A$18,16))*Control!$B$26))+((Control!$B$65*12*POWER(1+$A$18,16))-((Control!$B$66+Control!$B$67+Control!$B$68)*12*POWER(1+Control!$B$18,16)+(Control!$B$65*12*POWER(1+$A$18,16))*Control!$B$26)))*(1-Control!$B$23))-IF(AND(Control!$B$5&gt;0,Control!$B$6="Y",17=Control!$B$39-1),Control!$B$40,0))</f>
        <v/>
      </c>
      <c r="U69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$18,17))+(((Control!$B$20*(Control!$B$30*Control!$B$31+Control!$B$34*Control!$B$35+IF(AND(Control!$B$5&gt;0,Control!$B$6="Y",18&gt;=Control!$B$39),Control!$B$37*Control!$B$38,0)))*Control!$B$41)*(Control!$B$42+Control!$B$44)*POWER(1+$A$18,17))+(Control!$B$46*POWER(1+$A$18,17)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$18,17)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$18,17))*Control!$B$26))+(((Control!$B$54*Control!$B$55+Control!$B$56*Control!$B$57*Control!$B$58*Control!$B$59)*POWER(1+$A$18,17))-((Control!$B$56*Control!$B$57*Control!$B$58*Control!$B$59*POWER(1+$A$18,17))*Control!$B$60+(Control!$B$61+Control!$B$62+Control!$B$63)*12*POWER(1+Control!$B$18,17)+((Control!$B$54*Control!$B$55+Control!$B$56*Control!$B$57*Control!$B$58*Control!$B$59)*POWER(1+$A$18,17))*Control!$B$26))+((Control!$B$65*12*POWER(1+$A$18,17))-((Control!$B$66+Control!$B$67+Control!$B$68)*12*POWER(1+Control!$B$18,17)+(Control!$B$65*12*POWER(1+$A$18,17))*Control!$B$26)))*(1-Control!$B$23))-IF(AND(Control!$B$5&gt;0,Control!$B$6="Y",18=Control!$B$39-1),Control!$B$40,0))</f>
        <v/>
      </c>
      <c r="V69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$18,18))+(((Control!$B$20*(Control!$B$30*Control!$B$31+Control!$B$34*Control!$B$35+IF(AND(Control!$B$5&gt;0,Control!$B$6="Y",19&gt;=Control!$B$39),Control!$B$37*Control!$B$38,0)))*Control!$B$41)*(Control!$B$42+Control!$B$44)*POWER(1+$A$18,18))+(Control!$B$46*POWER(1+$A$18,18)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$18,18)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$18,18))*Control!$B$26))+(((Control!$B$54*Control!$B$55+Control!$B$56*Control!$B$57*Control!$B$58*Control!$B$59)*POWER(1+$A$18,18))-((Control!$B$56*Control!$B$57*Control!$B$58*Control!$B$59*POWER(1+$A$18,18))*Control!$B$60+(Control!$B$61+Control!$B$62+Control!$B$63)*12*POWER(1+Control!$B$18,18)+((Control!$B$54*Control!$B$55+Control!$B$56*Control!$B$57*Control!$B$58*Control!$B$59)*POWER(1+$A$18,18))*Control!$B$26))+((Control!$B$65*12*POWER(1+$A$18,18))-((Control!$B$66+Control!$B$67+Control!$B$68)*12*POWER(1+Control!$B$18,18)+(Control!$B$65*12*POWER(1+$A$18,18))*Control!$B$26)))*(1-Control!$B$23))-IF(AND(Control!$B$5&gt;0,Control!$B$6="Y",19=Control!$B$39-1),Control!$B$40,0))</f>
        <v/>
      </c>
      <c r="W69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$18,19))+(((Control!$B$20*(Control!$B$30*Control!$B$31+Control!$B$34*Control!$B$35+IF(AND(Control!$B$5&gt;0,Control!$B$6="Y",20&gt;=Control!$B$39),Control!$B$37*Control!$B$38,0)))*Control!$B$41)*(Control!$B$42+Control!$B$44)*POWER(1+$A$18,19))+(Control!$B$46*POWER(1+$A$18,19)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$18,19)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$18,19))*Control!$B$26))+(((Control!$B$54*Control!$B$55+Control!$B$56*Control!$B$57*Control!$B$58*Control!$B$59)*POWER(1+$A$18,19))-((Control!$B$56*Control!$B$57*Control!$B$58*Control!$B$59*POWER(1+$A$18,19))*Control!$B$60+(Control!$B$61+Control!$B$62+Control!$B$63)*12*POWER(1+Control!$B$18,19)+((Control!$B$54*Control!$B$55+Control!$B$56*Control!$B$57*Control!$B$58*Control!$B$59)*POWER(1+$A$18,19))*Control!$B$26))+((Control!$B$65*12*POWER(1+$A$18,19))-((Control!$B$66+Control!$B$67+Control!$B$68)*12*POWER(1+Control!$B$18,19)+(Control!$B$65*12*POWER(1+$A$18,19))*Control!$B$26)))*(1-Control!$B$23))-IF(AND(Control!$B$5&gt;0,Control!$B$6="Y",20=Control!$B$39-1),Control!$B$40,0))+Valuation!$F$10*POWER(1+Control!$B$74,20)*(1-Control!$B$75)</f>
        <v/>
      </c>
    </row>
    <row r="70">
      <c r="A70" s="110" t="inlineStr">
        <is>
          <t>[calc] ADR escalation 0.06 cum</t>
        </is>
      </c>
      <c r="B70" s="110" t="n"/>
      <c r="C70" s="110" t="n"/>
      <c r="D70" s="110">
        <f>D69</f>
        <v/>
      </c>
      <c r="E70" s="110">
        <f>D70+E69</f>
        <v/>
      </c>
      <c r="F70" s="110">
        <f>E70+F69</f>
        <v/>
      </c>
      <c r="G70" s="110">
        <f>F70+G69</f>
        <v/>
      </c>
      <c r="H70" s="110">
        <f>G70+H69</f>
        <v/>
      </c>
      <c r="I70" s="110">
        <f>H70+I69</f>
        <v/>
      </c>
      <c r="J70" s="110">
        <f>I70+J69</f>
        <v/>
      </c>
      <c r="K70" s="110">
        <f>J70+K69</f>
        <v/>
      </c>
      <c r="L70" s="110">
        <f>K70+L69</f>
        <v/>
      </c>
      <c r="M70" s="110">
        <f>L70+M69</f>
        <v/>
      </c>
      <c r="N70" s="110">
        <f>M70+N69</f>
        <v/>
      </c>
      <c r="O70" s="110">
        <f>N70+O69</f>
        <v/>
      </c>
      <c r="P70" s="110">
        <f>O70+P69</f>
        <v/>
      </c>
      <c r="Q70" s="110">
        <f>P70+Q69</f>
        <v/>
      </c>
      <c r="R70" s="110">
        <f>Q70+R69</f>
        <v/>
      </c>
      <c r="S70" s="110">
        <f>R70+S69</f>
        <v/>
      </c>
      <c r="T70" s="110">
        <f>S70+T69</f>
        <v/>
      </c>
      <c r="U70" s="110">
        <f>T70+U69</f>
        <v/>
      </c>
      <c r="V70" s="110">
        <f>U70+V69</f>
        <v/>
      </c>
      <c r="W70" s="110" t="n"/>
    </row>
    <row r="71">
      <c r="A71" s="110" t="inlineStr">
        <is>
          <t>[calc] ADR escalation 0.07 dist</t>
        </is>
      </c>
      <c r="B71" s="110" t="n"/>
      <c r="C71" s="114">
        <f>-Control!$B$15</f>
        <v/>
      </c>
      <c r="D71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$19,0))+(((Control!$B$20*(Control!$B$30*Control!$B$31+Control!$B$34*Control!$B$35+IF(AND(Control!$B$5&gt;0,Control!$B$6="Y",1&gt;=Control!$B$39),Control!$B$37*Control!$B$38,0)))*Control!$B$41)*(Control!$B$42+Control!$B$44)*POWER(1+$A$19,0))+(Control!$B$46*POWER(1+$A$19,0)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$19,0)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$19,0))*Control!$B$26))+(((Control!$B$54*Control!$B$55+Control!$B$56*Control!$B$57*Control!$B$58*Control!$B$59)*POWER(1+$A$19,0))-((Control!$B$56*Control!$B$57*Control!$B$58*Control!$B$59*POWER(1+$A$19,0))*Control!$B$60+(Control!$B$61+Control!$B$62+Control!$B$63)*12*POWER(1+Control!$B$18,0)+((Control!$B$54*Control!$B$55+Control!$B$56*Control!$B$57*Control!$B$58*Control!$B$59)*POWER(1+$A$19,0))*Control!$B$26))+((Control!$B$65*12*POWER(1+$A$19,0))-((Control!$B$66+Control!$B$67+Control!$B$68)*12*POWER(1+Control!$B$18,0)+(Control!$B$65*12*POWER(1+$A$19,0))*Control!$B$26)))*(1-Control!$B$23))-IF(AND(Control!$B$5&gt;0,Control!$B$6="Y",1=Control!$B$39-1),Control!$B$40,0))</f>
        <v/>
      </c>
      <c r="E71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$19,1))+(((Control!$B$20*(Control!$B$30*Control!$B$31+Control!$B$34*Control!$B$35+IF(AND(Control!$B$5&gt;0,Control!$B$6="Y",2&gt;=Control!$B$39),Control!$B$37*Control!$B$38,0)))*Control!$B$41)*(Control!$B$42+Control!$B$44)*POWER(1+$A$19,1))+(Control!$B$46*POWER(1+$A$19,1)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$19,1)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$19,1))*Control!$B$26))+(((Control!$B$54*Control!$B$55+Control!$B$56*Control!$B$57*Control!$B$58*Control!$B$59)*POWER(1+$A$19,1))-((Control!$B$56*Control!$B$57*Control!$B$58*Control!$B$59*POWER(1+$A$19,1))*Control!$B$60+(Control!$B$61+Control!$B$62+Control!$B$63)*12*POWER(1+Control!$B$18,1)+((Control!$B$54*Control!$B$55+Control!$B$56*Control!$B$57*Control!$B$58*Control!$B$59)*POWER(1+$A$19,1))*Control!$B$26))+((Control!$B$65*12*POWER(1+$A$19,1))-((Control!$B$66+Control!$B$67+Control!$B$68)*12*POWER(1+Control!$B$18,1)+(Control!$B$65*12*POWER(1+$A$19,1))*Control!$B$26)))*(1-Control!$B$23))-IF(AND(Control!$B$5&gt;0,Control!$B$6="Y",2=Control!$B$39-1),Control!$B$40,0))</f>
        <v/>
      </c>
      <c r="F71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$19,2))+(((Control!$B$20*(Control!$B$30*Control!$B$31+Control!$B$34*Control!$B$35+IF(AND(Control!$B$5&gt;0,Control!$B$6="Y",3&gt;=Control!$B$39),Control!$B$37*Control!$B$38,0)))*Control!$B$41)*(Control!$B$42+Control!$B$44)*POWER(1+$A$19,2))+(Control!$B$46*POWER(1+$A$19,2)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$19,2)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$19,2))*Control!$B$26))+(((Control!$B$54*Control!$B$55+Control!$B$56*Control!$B$57*Control!$B$58*Control!$B$59)*POWER(1+$A$19,2))-((Control!$B$56*Control!$B$57*Control!$B$58*Control!$B$59*POWER(1+$A$19,2))*Control!$B$60+(Control!$B$61+Control!$B$62+Control!$B$63)*12*POWER(1+Control!$B$18,2)+((Control!$B$54*Control!$B$55+Control!$B$56*Control!$B$57*Control!$B$58*Control!$B$59)*POWER(1+$A$19,2))*Control!$B$26))+((Control!$B$65*12*POWER(1+$A$19,2))-((Control!$B$66+Control!$B$67+Control!$B$68)*12*POWER(1+Control!$B$18,2)+(Control!$B$65*12*POWER(1+$A$19,2))*Control!$B$26)))*(1-Control!$B$23))-IF(AND(Control!$B$5&gt;0,Control!$B$6="Y",3=Control!$B$39-1),Control!$B$40,0))</f>
        <v/>
      </c>
      <c r="G71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$19,3))+(((Control!$B$20*(Control!$B$30*Control!$B$31+Control!$B$34*Control!$B$35+IF(AND(Control!$B$5&gt;0,Control!$B$6="Y",4&gt;=Control!$B$39),Control!$B$37*Control!$B$38,0)))*Control!$B$41)*(Control!$B$42+Control!$B$44)*POWER(1+$A$19,3))+(Control!$B$46*POWER(1+$A$19,3)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$19,3)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$19,3))*Control!$B$26))+(((Control!$B$54*Control!$B$55+Control!$B$56*Control!$B$57*Control!$B$58*Control!$B$59)*POWER(1+$A$19,3))-((Control!$B$56*Control!$B$57*Control!$B$58*Control!$B$59*POWER(1+$A$19,3))*Control!$B$60+(Control!$B$61+Control!$B$62+Control!$B$63)*12*POWER(1+Control!$B$18,3)+((Control!$B$54*Control!$B$55+Control!$B$56*Control!$B$57*Control!$B$58*Control!$B$59)*POWER(1+$A$19,3))*Control!$B$26))+((Control!$B$65*12*POWER(1+$A$19,3))-((Control!$B$66+Control!$B$67+Control!$B$68)*12*POWER(1+Control!$B$18,3)+(Control!$B$65*12*POWER(1+$A$19,3))*Control!$B$26)))*(1-Control!$B$23))-IF(AND(Control!$B$5&gt;0,Control!$B$6="Y",4=Control!$B$39-1),Control!$B$40,0))</f>
        <v/>
      </c>
      <c r="H71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$19,4))+(((Control!$B$20*(Control!$B$30*Control!$B$31+Control!$B$34*Control!$B$35+IF(AND(Control!$B$5&gt;0,Control!$B$6="Y",5&gt;=Control!$B$39),Control!$B$37*Control!$B$38,0)))*Control!$B$41)*(Control!$B$42+Control!$B$44)*POWER(1+$A$19,4))+(Control!$B$46*POWER(1+$A$19,4)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$19,4)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$19,4))*Control!$B$26))+(((Control!$B$54*Control!$B$55+Control!$B$56*Control!$B$57*Control!$B$58*Control!$B$59)*POWER(1+$A$19,4))-((Control!$B$56*Control!$B$57*Control!$B$58*Control!$B$59*POWER(1+$A$19,4))*Control!$B$60+(Control!$B$61+Control!$B$62+Control!$B$63)*12*POWER(1+Control!$B$18,4)+((Control!$B$54*Control!$B$55+Control!$B$56*Control!$B$57*Control!$B$58*Control!$B$59)*POWER(1+$A$19,4))*Control!$B$26))+((Control!$B$65*12*POWER(1+$A$19,4))-((Control!$B$66+Control!$B$67+Control!$B$68)*12*POWER(1+Control!$B$18,4)+(Control!$B$65*12*POWER(1+$A$19,4))*Control!$B$26)))*(1-Control!$B$23))-IF(AND(Control!$B$5&gt;0,Control!$B$6="Y",5=Control!$B$39-1),Control!$B$40,0))</f>
        <v/>
      </c>
      <c r="I71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$19,5))+(((Control!$B$20*(Control!$B$30*Control!$B$31+Control!$B$34*Control!$B$35+IF(AND(Control!$B$5&gt;0,Control!$B$6="Y",6&gt;=Control!$B$39),Control!$B$37*Control!$B$38,0)))*Control!$B$41)*(Control!$B$42+Control!$B$44)*POWER(1+$A$19,5))+(Control!$B$46*POWER(1+$A$19,5)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$19,5)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$19,5))*Control!$B$26))+(((Control!$B$54*Control!$B$55+Control!$B$56*Control!$B$57*Control!$B$58*Control!$B$59)*POWER(1+$A$19,5))-((Control!$B$56*Control!$B$57*Control!$B$58*Control!$B$59*POWER(1+$A$19,5))*Control!$B$60+(Control!$B$61+Control!$B$62+Control!$B$63)*12*POWER(1+Control!$B$18,5)+((Control!$B$54*Control!$B$55+Control!$B$56*Control!$B$57*Control!$B$58*Control!$B$59)*POWER(1+$A$19,5))*Control!$B$26))+((Control!$B$65*12*POWER(1+$A$19,5))-((Control!$B$66+Control!$B$67+Control!$B$68)*12*POWER(1+Control!$B$18,5)+(Control!$B$65*12*POWER(1+$A$19,5))*Control!$B$26)))*(1-Control!$B$23))-IF(AND(Control!$B$5&gt;0,Control!$B$6="Y",6=Control!$B$39-1),Control!$B$40,0))</f>
        <v/>
      </c>
      <c r="J71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$19,6))+(((Control!$B$20*(Control!$B$30*Control!$B$31+Control!$B$34*Control!$B$35+IF(AND(Control!$B$5&gt;0,Control!$B$6="Y",7&gt;=Control!$B$39),Control!$B$37*Control!$B$38,0)))*Control!$B$41)*(Control!$B$42+Control!$B$44)*POWER(1+$A$19,6))+(Control!$B$46*POWER(1+$A$19,6)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$19,6)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$19,6))*Control!$B$26))+(((Control!$B$54*Control!$B$55+Control!$B$56*Control!$B$57*Control!$B$58*Control!$B$59)*POWER(1+$A$19,6))-((Control!$B$56*Control!$B$57*Control!$B$58*Control!$B$59*POWER(1+$A$19,6))*Control!$B$60+(Control!$B$61+Control!$B$62+Control!$B$63)*12*POWER(1+Control!$B$18,6)+((Control!$B$54*Control!$B$55+Control!$B$56*Control!$B$57*Control!$B$58*Control!$B$59)*POWER(1+$A$19,6))*Control!$B$26))+((Control!$B$65*12*POWER(1+$A$19,6))-((Control!$B$66+Control!$B$67+Control!$B$68)*12*POWER(1+Control!$B$18,6)+(Control!$B$65*12*POWER(1+$A$19,6))*Control!$B$26)))*(1-Control!$B$23))-IF(AND(Control!$B$5&gt;0,Control!$B$6="Y",7=Control!$B$39-1),Control!$B$40,0))</f>
        <v/>
      </c>
      <c r="K71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$19,7))+(((Control!$B$20*(Control!$B$30*Control!$B$31+Control!$B$34*Control!$B$35+IF(AND(Control!$B$5&gt;0,Control!$B$6="Y",8&gt;=Control!$B$39),Control!$B$37*Control!$B$38,0)))*Control!$B$41)*(Control!$B$42+Control!$B$44)*POWER(1+$A$19,7))+(Control!$B$46*POWER(1+$A$19,7)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$19,7)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$19,7))*Control!$B$26))+(((Control!$B$54*Control!$B$55+Control!$B$56*Control!$B$57*Control!$B$58*Control!$B$59)*POWER(1+$A$19,7))-((Control!$B$56*Control!$B$57*Control!$B$58*Control!$B$59*POWER(1+$A$19,7))*Control!$B$60+(Control!$B$61+Control!$B$62+Control!$B$63)*12*POWER(1+Control!$B$18,7)+((Control!$B$54*Control!$B$55+Control!$B$56*Control!$B$57*Control!$B$58*Control!$B$59)*POWER(1+$A$19,7))*Control!$B$26))+((Control!$B$65*12*POWER(1+$A$19,7))-((Control!$B$66+Control!$B$67+Control!$B$68)*12*POWER(1+Control!$B$18,7)+(Control!$B$65*12*POWER(1+$A$19,7))*Control!$B$26)))*(1-Control!$B$23))-IF(AND(Control!$B$5&gt;0,Control!$B$6="Y",8=Control!$B$39-1),Control!$B$40,0))</f>
        <v/>
      </c>
      <c r="L71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$19,8))+(((Control!$B$20*(Control!$B$30*Control!$B$31+Control!$B$34*Control!$B$35+IF(AND(Control!$B$5&gt;0,Control!$B$6="Y",9&gt;=Control!$B$39),Control!$B$37*Control!$B$38,0)))*Control!$B$41)*(Control!$B$42+Control!$B$44)*POWER(1+$A$19,8))+(Control!$B$46*POWER(1+$A$19,8)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$19,8)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$19,8))*Control!$B$26))+(((Control!$B$54*Control!$B$55+Control!$B$56*Control!$B$57*Control!$B$58*Control!$B$59)*POWER(1+$A$19,8))-((Control!$B$56*Control!$B$57*Control!$B$58*Control!$B$59*POWER(1+$A$19,8))*Control!$B$60+(Control!$B$61+Control!$B$62+Control!$B$63)*12*POWER(1+Control!$B$18,8)+((Control!$B$54*Control!$B$55+Control!$B$56*Control!$B$57*Control!$B$58*Control!$B$59)*POWER(1+$A$19,8))*Control!$B$26))+((Control!$B$65*12*POWER(1+$A$19,8))-((Control!$B$66+Control!$B$67+Control!$B$68)*12*POWER(1+Control!$B$18,8)+(Control!$B$65*12*POWER(1+$A$19,8))*Control!$B$26)))*(1-Control!$B$23))-IF(AND(Control!$B$5&gt;0,Control!$B$6="Y",9=Control!$B$39-1),Control!$B$40,0))</f>
        <v/>
      </c>
      <c r="M71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$19,9))+(((Control!$B$20*(Control!$B$30*Control!$B$31+Control!$B$34*Control!$B$35+IF(AND(Control!$B$5&gt;0,Control!$B$6="Y",10&gt;=Control!$B$39),Control!$B$37*Control!$B$38,0)))*Control!$B$41)*(Control!$B$42+Control!$B$44)*POWER(1+$A$19,9))+(Control!$B$46*POWER(1+$A$19,9)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$19,9)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$19,9))*Control!$B$26))+(((Control!$B$54*Control!$B$55+Control!$B$56*Control!$B$57*Control!$B$58*Control!$B$59)*POWER(1+$A$19,9))-((Control!$B$56*Control!$B$57*Control!$B$58*Control!$B$59*POWER(1+$A$19,9))*Control!$B$60+(Control!$B$61+Control!$B$62+Control!$B$63)*12*POWER(1+Control!$B$18,9)+((Control!$B$54*Control!$B$55+Control!$B$56*Control!$B$57*Control!$B$58*Control!$B$59)*POWER(1+$A$19,9))*Control!$B$26))+((Control!$B$65*12*POWER(1+$A$19,9))-((Control!$B$66+Control!$B$67+Control!$B$68)*12*POWER(1+Control!$B$18,9)+(Control!$B$65*12*POWER(1+$A$19,9))*Control!$B$26)))*(1-Control!$B$23))-IF(AND(Control!$B$5&gt;0,Control!$B$6="Y",10=Control!$B$39-1),Control!$B$40,0))</f>
        <v/>
      </c>
      <c r="N71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$19,10))+(((Control!$B$20*(Control!$B$30*Control!$B$31+Control!$B$34*Control!$B$35+IF(AND(Control!$B$5&gt;0,Control!$B$6="Y",11&gt;=Control!$B$39),Control!$B$37*Control!$B$38,0)))*Control!$B$41)*(Control!$B$42+Control!$B$44)*POWER(1+$A$19,10))+(Control!$B$46*POWER(1+$A$19,10)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$19,10)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$19,10))*Control!$B$26))+(((Control!$B$54*Control!$B$55+Control!$B$56*Control!$B$57*Control!$B$58*Control!$B$59)*POWER(1+$A$19,10))-((Control!$B$56*Control!$B$57*Control!$B$58*Control!$B$59*POWER(1+$A$19,10))*Control!$B$60+(Control!$B$61+Control!$B$62+Control!$B$63)*12*POWER(1+Control!$B$18,10)+((Control!$B$54*Control!$B$55+Control!$B$56*Control!$B$57*Control!$B$58*Control!$B$59)*POWER(1+$A$19,10))*Control!$B$26))+((Control!$B$65*12*POWER(1+$A$19,10))-((Control!$B$66+Control!$B$67+Control!$B$68)*12*POWER(1+Control!$B$18,10)+(Control!$B$65*12*POWER(1+$A$19,10))*Control!$B$26)))*(1-Control!$B$23))-IF(AND(Control!$B$5&gt;0,Control!$B$6="Y",11=Control!$B$39-1),Control!$B$40,0))</f>
        <v/>
      </c>
      <c r="O71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$19,11))+(((Control!$B$20*(Control!$B$30*Control!$B$31+Control!$B$34*Control!$B$35+IF(AND(Control!$B$5&gt;0,Control!$B$6="Y",12&gt;=Control!$B$39),Control!$B$37*Control!$B$38,0)))*Control!$B$41)*(Control!$B$42+Control!$B$44)*POWER(1+$A$19,11))+(Control!$B$46*POWER(1+$A$19,11)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$19,11)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$19,11))*Control!$B$26))+(((Control!$B$54*Control!$B$55+Control!$B$56*Control!$B$57*Control!$B$58*Control!$B$59)*POWER(1+$A$19,11))-((Control!$B$56*Control!$B$57*Control!$B$58*Control!$B$59*POWER(1+$A$19,11))*Control!$B$60+(Control!$B$61+Control!$B$62+Control!$B$63)*12*POWER(1+Control!$B$18,11)+((Control!$B$54*Control!$B$55+Control!$B$56*Control!$B$57*Control!$B$58*Control!$B$59)*POWER(1+$A$19,11))*Control!$B$26))+((Control!$B$65*12*POWER(1+$A$19,11))-((Control!$B$66+Control!$B$67+Control!$B$68)*12*POWER(1+Control!$B$18,11)+(Control!$B$65*12*POWER(1+$A$19,11))*Control!$B$26)))*(1-Control!$B$23))-IF(AND(Control!$B$5&gt;0,Control!$B$6="Y",12=Control!$B$39-1),Control!$B$40,0))</f>
        <v/>
      </c>
      <c r="P71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$19,12))+(((Control!$B$20*(Control!$B$30*Control!$B$31+Control!$B$34*Control!$B$35+IF(AND(Control!$B$5&gt;0,Control!$B$6="Y",13&gt;=Control!$B$39),Control!$B$37*Control!$B$38,0)))*Control!$B$41)*(Control!$B$42+Control!$B$44)*POWER(1+$A$19,12))+(Control!$B$46*POWER(1+$A$19,12)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$19,12)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$19,12))*Control!$B$26))+(((Control!$B$54*Control!$B$55+Control!$B$56*Control!$B$57*Control!$B$58*Control!$B$59)*POWER(1+$A$19,12))-((Control!$B$56*Control!$B$57*Control!$B$58*Control!$B$59*POWER(1+$A$19,12))*Control!$B$60+(Control!$B$61+Control!$B$62+Control!$B$63)*12*POWER(1+Control!$B$18,12)+((Control!$B$54*Control!$B$55+Control!$B$56*Control!$B$57*Control!$B$58*Control!$B$59)*POWER(1+$A$19,12))*Control!$B$26))+((Control!$B$65*12*POWER(1+$A$19,12))-((Control!$B$66+Control!$B$67+Control!$B$68)*12*POWER(1+Control!$B$18,12)+(Control!$B$65*12*POWER(1+$A$19,12))*Control!$B$26)))*(1-Control!$B$23))-IF(AND(Control!$B$5&gt;0,Control!$B$6="Y",13=Control!$B$39-1),Control!$B$40,0))</f>
        <v/>
      </c>
      <c r="Q71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$19,13))+(((Control!$B$20*(Control!$B$30*Control!$B$31+Control!$B$34*Control!$B$35+IF(AND(Control!$B$5&gt;0,Control!$B$6="Y",14&gt;=Control!$B$39),Control!$B$37*Control!$B$38,0)))*Control!$B$41)*(Control!$B$42+Control!$B$44)*POWER(1+$A$19,13))+(Control!$B$46*POWER(1+$A$19,13)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$19,13)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$19,13))*Control!$B$26))+(((Control!$B$54*Control!$B$55+Control!$B$56*Control!$B$57*Control!$B$58*Control!$B$59)*POWER(1+$A$19,13))-((Control!$B$56*Control!$B$57*Control!$B$58*Control!$B$59*POWER(1+$A$19,13))*Control!$B$60+(Control!$B$61+Control!$B$62+Control!$B$63)*12*POWER(1+Control!$B$18,13)+((Control!$B$54*Control!$B$55+Control!$B$56*Control!$B$57*Control!$B$58*Control!$B$59)*POWER(1+$A$19,13))*Control!$B$26))+((Control!$B$65*12*POWER(1+$A$19,13))-((Control!$B$66+Control!$B$67+Control!$B$68)*12*POWER(1+Control!$B$18,13)+(Control!$B$65*12*POWER(1+$A$19,13))*Control!$B$26)))*(1-Control!$B$23))-IF(AND(Control!$B$5&gt;0,Control!$B$6="Y",14=Control!$B$39-1),Control!$B$40,0))</f>
        <v/>
      </c>
      <c r="R71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$19,14))+(((Control!$B$20*(Control!$B$30*Control!$B$31+Control!$B$34*Control!$B$35+IF(AND(Control!$B$5&gt;0,Control!$B$6="Y",15&gt;=Control!$B$39),Control!$B$37*Control!$B$38,0)))*Control!$B$41)*(Control!$B$42+Control!$B$44)*POWER(1+$A$19,14))+(Control!$B$46*POWER(1+$A$19,14)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$19,14)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$19,14))*Control!$B$26))+(((Control!$B$54*Control!$B$55+Control!$B$56*Control!$B$57*Control!$B$58*Control!$B$59)*POWER(1+$A$19,14))-((Control!$B$56*Control!$B$57*Control!$B$58*Control!$B$59*POWER(1+$A$19,14))*Control!$B$60+(Control!$B$61+Control!$B$62+Control!$B$63)*12*POWER(1+Control!$B$18,14)+((Control!$B$54*Control!$B$55+Control!$B$56*Control!$B$57*Control!$B$58*Control!$B$59)*POWER(1+$A$19,14))*Control!$B$26))+((Control!$B$65*12*POWER(1+$A$19,14))-((Control!$B$66+Control!$B$67+Control!$B$68)*12*POWER(1+Control!$B$18,14)+(Control!$B$65*12*POWER(1+$A$19,14))*Control!$B$26)))*(1-Control!$B$23))-IF(AND(Control!$B$5&gt;0,Control!$B$6="Y",15=Control!$B$39-1),Control!$B$40,0))</f>
        <v/>
      </c>
      <c r="S71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$19,15))+(((Control!$B$20*(Control!$B$30*Control!$B$31+Control!$B$34*Control!$B$35+IF(AND(Control!$B$5&gt;0,Control!$B$6="Y",16&gt;=Control!$B$39),Control!$B$37*Control!$B$38,0)))*Control!$B$41)*(Control!$B$42+Control!$B$44)*POWER(1+$A$19,15))+(Control!$B$46*POWER(1+$A$19,15)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$19,15)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$19,15))*Control!$B$26))+(((Control!$B$54*Control!$B$55+Control!$B$56*Control!$B$57*Control!$B$58*Control!$B$59)*POWER(1+$A$19,15))-((Control!$B$56*Control!$B$57*Control!$B$58*Control!$B$59*POWER(1+$A$19,15))*Control!$B$60+(Control!$B$61+Control!$B$62+Control!$B$63)*12*POWER(1+Control!$B$18,15)+((Control!$B$54*Control!$B$55+Control!$B$56*Control!$B$57*Control!$B$58*Control!$B$59)*POWER(1+$A$19,15))*Control!$B$26))+((Control!$B$65*12*POWER(1+$A$19,15))-((Control!$B$66+Control!$B$67+Control!$B$68)*12*POWER(1+Control!$B$18,15)+(Control!$B$65*12*POWER(1+$A$19,15))*Control!$B$26)))*(1-Control!$B$23))-IF(AND(Control!$B$5&gt;0,Control!$B$6="Y",16=Control!$B$39-1),Control!$B$40,0))</f>
        <v/>
      </c>
      <c r="T71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$19,16))+(((Control!$B$20*(Control!$B$30*Control!$B$31+Control!$B$34*Control!$B$35+IF(AND(Control!$B$5&gt;0,Control!$B$6="Y",17&gt;=Control!$B$39),Control!$B$37*Control!$B$38,0)))*Control!$B$41)*(Control!$B$42+Control!$B$44)*POWER(1+$A$19,16))+(Control!$B$46*POWER(1+$A$19,16)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$19,16)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$19,16))*Control!$B$26))+(((Control!$B$54*Control!$B$55+Control!$B$56*Control!$B$57*Control!$B$58*Control!$B$59)*POWER(1+$A$19,16))-((Control!$B$56*Control!$B$57*Control!$B$58*Control!$B$59*POWER(1+$A$19,16))*Control!$B$60+(Control!$B$61+Control!$B$62+Control!$B$63)*12*POWER(1+Control!$B$18,16)+((Control!$B$54*Control!$B$55+Control!$B$56*Control!$B$57*Control!$B$58*Control!$B$59)*POWER(1+$A$19,16))*Control!$B$26))+((Control!$B$65*12*POWER(1+$A$19,16))-((Control!$B$66+Control!$B$67+Control!$B$68)*12*POWER(1+Control!$B$18,16)+(Control!$B$65*12*POWER(1+$A$19,16))*Control!$B$26)))*(1-Control!$B$23))-IF(AND(Control!$B$5&gt;0,Control!$B$6="Y",17=Control!$B$39-1),Control!$B$40,0))</f>
        <v/>
      </c>
      <c r="U71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$19,17))+(((Control!$B$20*(Control!$B$30*Control!$B$31+Control!$B$34*Control!$B$35+IF(AND(Control!$B$5&gt;0,Control!$B$6="Y",18&gt;=Control!$B$39),Control!$B$37*Control!$B$38,0)))*Control!$B$41)*(Control!$B$42+Control!$B$44)*POWER(1+$A$19,17))+(Control!$B$46*POWER(1+$A$19,17)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$19,17)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$19,17))*Control!$B$26))+(((Control!$B$54*Control!$B$55+Control!$B$56*Control!$B$57*Control!$B$58*Control!$B$59)*POWER(1+$A$19,17))-((Control!$B$56*Control!$B$57*Control!$B$58*Control!$B$59*POWER(1+$A$19,17))*Control!$B$60+(Control!$B$61+Control!$B$62+Control!$B$63)*12*POWER(1+Control!$B$18,17)+((Control!$B$54*Control!$B$55+Control!$B$56*Control!$B$57*Control!$B$58*Control!$B$59)*POWER(1+$A$19,17))*Control!$B$26))+((Control!$B$65*12*POWER(1+$A$19,17))-((Control!$B$66+Control!$B$67+Control!$B$68)*12*POWER(1+Control!$B$18,17)+(Control!$B$65*12*POWER(1+$A$19,17))*Control!$B$26)))*(1-Control!$B$23))-IF(AND(Control!$B$5&gt;0,Control!$B$6="Y",18=Control!$B$39-1),Control!$B$40,0))</f>
        <v/>
      </c>
      <c r="V71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$19,18))+(((Control!$B$20*(Control!$B$30*Control!$B$31+Control!$B$34*Control!$B$35+IF(AND(Control!$B$5&gt;0,Control!$B$6="Y",19&gt;=Control!$B$39),Control!$B$37*Control!$B$38,0)))*Control!$B$41)*(Control!$B$42+Control!$B$44)*POWER(1+$A$19,18))+(Control!$B$46*POWER(1+$A$19,18)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$19,18)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$19,18))*Control!$B$26))+(((Control!$B$54*Control!$B$55+Control!$B$56*Control!$B$57*Control!$B$58*Control!$B$59)*POWER(1+$A$19,18))-((Control!$B$56*Control!$B$57*Control!$B$58*Control!$B$59*POWER(1+$A$19,18))*Control!$B$60+(Control!$B$61+Control!$B$62+Control!$B$63)*12*POWER(1+Control!$B$18,18)+((Control!$B$54*Control!$B$55+Control!$B$56*Control!$B$57*Control!$B$58*Control!$B$59)*POWER(1+$A$19,18))*Control!$B$26))+((Control!$B$65*12*POWER(1+$A$19,18))-((Control!$B$66+Control!$B$67+Control!$B$68)*12*POWER(1+Control!$B$18,18)+(Control!$B$65*12*POWER(1+$A$19,18))*Control!$B$26)))*(1-Control!$B$23))-IF(AND(Control!$B$5&gt;0,Control!$B$6="Y",19=Control!$B$39-1),Control!$B$40,0))</f>
        <v/>
      </c>
      <c r="W71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$19,19))+(((Control!$B$20*(Control!$B$30*Control!$B$31+Control!$B$34*Control!$B$35+IF(AND(Control!$B$5&gt;0,Control!$B$6="Y",20&gt;=Control!$B$39),Control!$B$37*Control!$B$38,0)))*Control!$B$41)*(Control!$B$42+Control!$B$44)*POWER(1+$A$19,19))+(Control!$B$46*POWER(1+$A$19,19)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$19,19)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$19,19))*Control!$B$26))+(((Control!$B$54*Control!$B$55+Control!$B$56*Control!$B$57*Control!$B$58*Control!$B$59)*POWER(1+$A$19,19))-((Control!$B$56*Control!$B$57*Control!$B$58*Control!$B$59*POWER(1+$A$19,19))*Control!$B$60+(Control!$B$61+Control!$B$62+Control!$B$63)*12*POWER(1+Control!$B$18,19)+((Control!$B$54*Control!$B$55+Control!$B$56*Control!$B$57*Control!$B$58*Control!$B$59)*POWER(1+$A$19,19))*Control!$B$26))+((Control!$B$65*12*POWER(1+$A$19,19))-((Control!$B$66+Control!$B$67+Control!$B$68)*12*POWER(1+Control!$B$18,19)+(Control!$B$65*12*POWER(1+$A$19,19))*Control!$B$26)))*(1-Control!$B$23))-IF(AND(Control!$B$5&gt;0,Control!$B$6="Y",20=Control!$B$39-1),Control!$B$40,0))+Valuation!$F$10*POWER(1+Control!$B$74,20)*(1-Control!$B$75)</f>
        <v/>
      </c>
    </row>
    <row r="72">
      <c r="A72" s="110" t="inlineStr">
        <is>
          <t>[calc] ADR escalation 0.07 cum</t>
        </is>
      </c>
      <c r="B72" s="110" t="n"/>
      <c r="C72" s="110" t="n"/>
      <c r="D72" s="110">
        <f>D71</f>
        <v/>
      </c>
      <c r="E72" s="110">
        <f>D72+E71</f>
        <v/>
      </c>
      <c r="F72" s="110">
        <f>E72+F71</f>
        <v/>
      </c>
      <c r="G72" s="110">
        <f>F72+G71</f>
        <v/>
      </c>
      <c r="H72" s="110">
        <f>G72+H71</f>
        <v/>
      </c>
      <c r="I72" s="110">
        <f>H72+I71</f>
        <v/>
      </c>
      <c r="J72" s="110">
        <f>I72+J71</f>
        <v/>
      </c>
      <c r="K72" s="110">
        <f>J72+K71</f>
        <v/>
      </c>
      <c r="L72" s="110">
        <f>K72+L71</f>
        <v/>
      </c>
      <c r="M72" s="110">
        <f>L72+M71</f>
        <v/>
      </c>
      <c r="N72" s="110">
        <f>M72+N71</f>
        <v/>
      </c>
      <c r="O72" s="110">
        <f>N72+O71</f>
        <v/>
      </c>
      <c r="P72" s="110">
        <f>O72+P71</f>
        <v/>
      </c>
      <c r="Q72" s="110">
        <f>P72+Q71</f>
        <v/>
      </c>
      <c r="R72" s="110">
        <f>Q72+R71</f>
        <v/>
      </c>
      <c r="S72" s="110">
        <f>R72+S71</f>
        <v/>
      </c>
      <c r="T72" s="110">
        <f>S72+T71</f>
        <v/>
      </c>
      <c r="U72" s="110">
        <f>T72+U71</f>
        <v/>
      </c>
      <c r="V72" s="110">
        <f>U72+V71</f>
        <v/>
      </c>
      <c r="W72" s="110" t="n"/>
    </row>
    <row r="73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O73" s="110" t="n"/>
      <c r="P73" s="110" t="n"/>
      <c r="Q73" s="110" t="n"/>
      <c r="R73" s="110" t="n"/>
      <c r="S73" s="110" t="n"/>
      <c r="T73" s="110" t="n"/>
      <c r="U73" s="110" t="n"/>
      <c r="V73" s="110" t="n"/>
      <c r="W73" s="110" t="n"/>
    </row>
    <row r="74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O74" s="110" t="n"/>
      <c r="P74" s="110" t="n"/>
      <c r="Q74" s="110" t="n"/>
      <c r="R74" s="110" t="n"/>
      <c r="S74" s="110" t="n"/>
      <c r="T74" s="110" t="n"/>
      <c r="U74" s="110" t="n"/>
      <c r="V74" s="110" t="n"/>
      <c r="W74" s="110" t="n"/>
    </row>
    <row r="75">
      <c r="A75" s="110" t="inlineStr">
        <is>
          <t>[calc] Tour GP (× base) 0.6 dist</t>
        </is>
      </c>
      <c r="B75" s="110" t="n"/>
      <c r="C75" s="114">
        <f>-Control!$B$15</f>
        <v/>
      </c>
      <c r="D75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23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75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23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75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23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75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23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75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23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75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23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75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23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75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23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75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23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75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23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75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23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75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23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75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23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75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23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75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23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75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23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75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23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75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23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75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23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75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23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76">
      <c r="A76" s="110" t="inlineStr">
        <is>
          <t>[calc] Tour GP (× base) 0.6 cum</t>
        </is>
      </c>
      <c r="B76" s="110" t="n"/>
      <c r="C76" s="110" t="n"/>
      <c r="D76" s="110">
        <f>D75</f>
        <v/>
      </c>
      <c r="E76" s="110">
        <f>D76+E75</f>
        <v/>
      </c>
      <c r="F76" s="110">
        <f>E76+F75</f>
        <v/>
      </c>
      <c r="G76" s="110">
        <f>F76+G75</f>
        <v/>
      </c>
      <c r="H76" s="110">
        <f>G76+H75</f>
        <v/>
      </c>
      <c r="I76" s="110">
        <f>H76+I75</f>
        <v/>
      </c>
      <c r="J76" s="110">
        <f>I76+J75</f>
        <v/>
      </c>
      <c r="K76" s="110">
        <f>J76+K75</f>
        <v/>
      </c>
      <c r="L76" s="110">
        <f>K76+L75</f>
        <v/>
      </c>
      <c r="M76" s="110">
        <f>L76+M75</f>
        <v/>
      </c>
      <c r="N76" s="110">
        <f>M76+N75</f>
        <v/>
      </c>
      <c r="O76" s="110">
        <f>N76+O75</f>
        <v/>
      </c>
      <c r="P76" s="110">
        <f>O76+P75</f>
        <v/>
      </c>
      <c r="Q76" s="110">
        <f>P76+Q75</f>
        <v/>
      </c>
      <c r="R76" s="110">
        <f>Q76+R75</f>
        <v/>
      </c>
      <c r="S76" s="110">
        <f>R76+S75</f>
        <v/>
      </c>
      <c r="T76" s="110">
        <f>S76+T75</f>
        <v/>
      </c>
      <c r="U76" s="110">
        <f>T76+U75</f>
        <v/>
      </c>
      <c r="V76" s="110">
        <f>U76+V75</f>
        <v/>
      </c>
      <c r="W76" s="110" t="n"/>
    </row>
    <row r="77">
      <c r="A77" s="110" t="inlineStr">
        <is>
          <t>[calc] Tour GP (× base) 0.8 dist</t>
        </is>
      </c>
      <c r="B77" s="110" t="n"/>
      <c r="C77" s="114">
        <f>-Control!$B$15</f>
        <v/>
      </c>
      <c r="D77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24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77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24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77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24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77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24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77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24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77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24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77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24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77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24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77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24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77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24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77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24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77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24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77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24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77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24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77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24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77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24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77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24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77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24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77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24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77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24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78">
      <c r="A78" s="110" t="inlineStr">
        <is>
          <t>[calc] Tour GP (× base) 0.8 cum</t>
        </is>
      </c>
      <c r="B78" s="110" t="n"/>
      <c r="C78" s="110" t="n"/>
      <c r="D78" s="110">
        <f>D77</f>
        <v/>
      </c>
      <c r="E78" s="110">
        <f>D78+E77</f>
        <v/>
      </c>
      <c r="F78" s="110">
        <f>E78+F77</f>
        <v/>
      </c>
      <c r="G78" s="110">
        <f>F78+G77</f>
        <v/>
      </c>
      <c r="H78" s="110">
        <f>G78+H77</f>
        <v/>
      </c>
      <c r="I78" s="110">
        <f>H78+I77</f>
        <v/>
      </c>
      <c r="J78" s="110">
        <f>I78+J77</f>
        <v/>
      </c>
      <c r="K78" s="110">
        <f>J78+K77</f>
        <v/>
      </c>
      <c r="L78" s="110">
        <f>K78+L77</f>
        <v/>
      </c>
      <c r="M78" s="110">
        <f>L78+M77</f>
        <v/>
      </c>
      <c r="N78" s="110">
        <f>M78+N77</f>
        <v/>
      </c>
      <c r="O78" s="110">
        <f>N78+O77</f>
        <v/>
      </c>
      <c r="P78" s="110">
        <f>O78+P77</f>
        <v/>
      </c>
      <c r="Q78" s="110">
        <f>P78+Q77</f>
        <v/>
      </c>
      <c r="R78" s="110">
        <f>Q78+R77</f>
        <v/>
      </c>
      <c r="S78" s="110">
        <f>R78+S77</f>
        <v/>
      </c>
      <c r="T78" s="110">
        <f>S78+T77</f>
        <v/>
      </c>
      <c r="U78" s="110">
        <f>T78+U77</f>
        <v/>
      </c>
      <c r="V78" s="110">
        <f>U78+V77</f>
        <v/>
      </c>
      <c r="W78" s="110" t="n"/>
    </row>
    <row r="79">
      <c r="A79" s="110" t="inlineStr">
        <is>
          <t>[calc] Tour GP (× base) 1.0 dist</t>
        </is>
      </c>
      <c r="B79" s="110" t="n"/>
      <c r="C79" s="114">
        <f>-Control!$B$15</f>
        <v/>
      </c>
      <c r="D79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25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79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25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79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25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79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25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79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25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79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25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79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25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79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25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79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25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79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25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79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25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79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25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79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25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79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25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79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25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79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25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79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25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79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25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79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25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79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25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80">
      <c r="A80" s="110" t="inlineStr">
        <is>
          <t>[calc] Tour GP (× base) 1.0 cum</t>
        </is>
      </c>
      <c r="B80" s="110" t="n"/>
      <c r="C80" s="110" t="n"/>
      <c r="D80" s="110">
        <f>D79</f>
        <v/>
      </c>
      <c r="E80" s="110">
        <f>D80+E79</f>
        <v/>
      </c>
      <c r="F80" s="110">
        <f>E80+F79</f>
        <v/>
      </c>
      <c r="G80" s="110">
        <f>F80+G79</f>
        <v/>
      </c>
      <c r="H80" s="110">
        <f>G80+H79</f>
        <v/>
      </c>
      <c r="I80" s="110">
        <f>H80+I79</f>
        <v/>
      </c>
      <c r="J80" s="110">
        <f>I80+J79</f>
        <v/>
      </c>
      <c r="K80" s="110">
        <f>J80+K79</f>
        <v/>
      </c>
      <c r="L80" s="110">
        <f>K80+L79</f>
        <v/>
      </c>
      <c r="M80" s="110">
        <f>L80+M79</f>
        <v/>
      </c>
      <c r="N80" s="110">
        <f>M80+N79</f>
        <v/>
      </c>
      <c r="O80" s="110">
        <f>N80+O79</f>
        <v/>
      </c>
      <c r="P80" s="110">
        <f>O80+P79</f>
        <v/>
      </c>
      <c r="Q80" s="110">
        <f>P80+Q79</f>
        <v/>
      </c>
      <c r="R80" s="110">
        <f>Q80+R79</f>
        <v/>
      </c>
      <c r="S80" s="110">
        <f>R80+S79</f>
        <v/>
      </c>
      <c r="T80" s="110">
        <f>S80+T79</f>
        <v/>
      </c>
      <c r="U80" s="110">
        <f>T80+U79</f>
        <v/>
      </c>
      <c r="V80" s="110">
        <f>U80+V79</f>
        <v/>
      </c>
      <c r="W80" s="110" t="n"/>
    </row>
    <row r="81">
      <c r="A81" s="110" t="inlineStr">
        <is>
          <t>[calc] Tour GP (× base) 1.2 dist</t>
        </is>
      </c>
      <c r="B81" s="110" t="n"/>
      <c r="C81" s="114">
        <f>-Control!$B$15</f>
        <v/>
      </c>
      <c r="D81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26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81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26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81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26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81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26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81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26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81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26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81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26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81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26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81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26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81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26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81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26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81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26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81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26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81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26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81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26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81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26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81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26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81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26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81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26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81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26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82">
      <c r="A82" s="110" t="inlineStr">
        <is>
          <t>[calc] Tour GP (× base) 1.2 cum</t>
        </is>
      </c>
      <c r="B82" s="110" t="n"/>
      <c r="C82" s="110" t="n"/>
      <c r="D82" s="110">
        <f>D81</f>
        <v/>
      </c>
      <c r="E82" s="110">
        <f>D82+E81</f>
        <v/>
      </c>
      <c r="F82" s="110">
        <f>E82+F81</f>
        <v/>
      </c>
      <c r="G82" s="110">
        <f>F82+G81</f>
        <v/>
      </c>
      <c r="H82" s="110">
        <f>G82+H81</f>
        <v/>
      </c>
      <c r="I82" s="110">
        <f>H82+I81</f>
        <v/>
      </c>
      <c r="J82" s="110">
        <f>I82+J81</f>
        <v/>
      </c>
      <c r="K82" s="110">
        <f>J82+K81</f>
        <v/>
      </c>
      <c r="L82" s="110">
        <f>K82+L81</f>
        <v/>
      </c>
      <c r="M82" s="110">
        <f>L82+M81</f>
        <v/>
      </c>
      <c r="N82" s="110">
        <f>M82+N81</f>
        <v/>
      </c>
      <c r="O82" s="110">
        <f>N82+O81</f>
        <v/>
      </c>
      <c r="P82" s="110">
        <f>O82+P81</f>
        <v/>
      </c>
      <c r="Q82" s="110">
        <f>P82+Q81</f>
        <v/>
      </c>
      <c r="R82" s="110">
        <f>Q82+R81</f>
        <v/>
      </c>
      <c r="S82" s="110">
        <f>R82+S81</f>
        <v/>
      </c>
      <c r="T82" s="110">
        <f>S82+T81</f>
        <v/>
      </c>
      <c r="U82" s="110">
        <f>T82+U81</f>
        <v/>
      </c>
      <c r="V82" s="110">
        <f>U82+V81</f>
        <v/>
      </c>
      <c r="W82" s="110" t="n"/>
    </row>
    <row r="83">
      <c r="A83" s="110" t="inlineStr">
        <is>
          <t>[calc] Tour GP (× base) 1.4 dist</t>
        </is>
      </c>
      <c r="B83" s="110" t="n"/>
      <c r="C83" s="114">
        <f>-Control!$B$15</f>
        <v/>
      </c>
      <c r="D83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27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83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27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83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27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83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27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83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27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83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27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83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27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83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27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83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27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83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27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83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27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83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27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83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27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83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27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83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27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83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27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83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27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83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27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83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27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83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27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Control!$B$74,20)*(1-Control!$B$75)</f>
        <v/>
      </c>
    </row>
    <row r="84">
      <c r="A84" s="110" t="inlineStr">
        <is>
          <t>[calc] Tour GP (× base) 1.4 cum</t>
        </is>
      </c>
      <c r="B84" s="110" t="n"/>
      <c r="C84" s="110" t="n"/>
      <c r="D84" s="110">
        <f>D83</f>
        <v/>
      </c>
      <c r="E84" s="110">
        <f>D84+E83</f>
        <v/>
      </c>
      <c r="F84" s="110">
        <f>E84+F83</f>
        <v/>
      </c>
      <c r="G84" s="110">
        <f>F84+G83</f>
        <v/>
      </c>
      <c r="H84" s="110">
        <f>G84+H83</f>
        <v/>
      </c>
      <c r="I84" s="110">
        <f>H84+I83</f>
        <v/>
      </c>
      <c r="J84" s="110">
        <f>I84+J83</f>
        <v/>
      </c>
      <c r="K84" s="110">
        <f>J84+K83</f>
        <v/>
      </c>
      <c r="L84" s="110">
        <f>K84+L83</f>
        <v/>
      </c>
      <c r="M84" s="110">
        <f>L84+M83</f>
        <v/>
      </c>
      <c r="N84" s="110">
        <f>M84+N83</f>
        <v/>
      </c>
      <c r="O84" s="110">
        <f>N84+O83</f>
        <v/>
      </c>
      <c r="P84" s="110">
        <f>O84+P83</f>
        <v/>
      </c>
      <c r="Q84" s="110">
        <f>P84+Q83</f>
        <v/>
      </c>
      <c r="R84" s="110">
        <f>Q84+R83</f>
        <v/>
      </c>
      <c r="S84" s="110">
        <f>R84+S83</f>
        <v/>
      </c>
      <c r="T84" s="110">
        <f>S84+T83</f>
        <v/>
      </c>
      <c r="U84" s="110">
        <f>T84+U83</f>
        <v/>
      </c>
      <c r="V84" s="110">
        <f>U84+V83</f>
        <v/>
      </c>
      <c r="W84" s="110" t="n"/>
    </row>
    <row r="8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0" t="n"/>
      <c r="Q85" s="110" t="n"/>
      <c r="R85" s="110" t="n"/>
      <c r="S85" s="110" t="n"/>
      <c r="T85" s="110" t="n"/>
      <c r="U85" s="110" t="n"/>
      <c r="V85" s="110" t="n"/>
      <c r="W85" s="110" t="n"/>
    </row>
    <row r="86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O86" s="110" t="n"/>
      <c r="P86" s="110" t="n"/>
      <c r="Q86" s="110" t="n"/>
      <c r="R86" s="110" t="n"/>
      <c r="S86" s="110" t="n"/>
      <c r="T86" s="110" t="n"/>
      <c r="U86" s="110" t="n"/>
      <c r="V86" s="110" t="n"/>
      <c r="W86" s="110" t="n"/>
    </row>
    <row r="87">
      <c r="A87" s="110" t="inlineStr">
        <is>
          <t>[calc] Exit growth 0.0 dist</t>
        </is>
      </c>
      <c r="B87" s="110" t="n"/>
      <c r="C87" s="114">
        <f>-Control!$B$15</f>
        <v/>
      </c>
      <c r="D87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87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87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87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87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87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87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87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87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87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87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87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87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87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87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87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87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87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87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87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$A$31,20)*(1-Control!$B$75)</f>
        <v/>
      </c>
    </row>
    <row r="88">
      <c r="A88" s="110" t="inlineStr">
        <is>
          <t>[calc] Exit growth 0.0 cum</t>
        </is>
      </c>
      <c r="B88" s="110" t="n"/>
      <c r="C88" s="110" t="n"/>
      <c r="D88" s="110">
        <f>D87</f>
        <v/>
      </c>
      <c r="E88" s="110">
        <f>D88+E87</f>
        <v/>
      </c>
      <c r="F88" s="110">
        <f>E88+F87</f>
        <v/>
      </c>
      <c r="G88" s="110">
        <f>F88+G87</f>
        <v/>
      </c>
      <c r="H88" s="110">
        <f>G88+H87</f>
        <v/>
      </c>
      <c r="I88" s="110">
        <f>H88+I87</f>
        <v/>
      </c>
      <c r="J88" s="110">
        <f>I88+J87</f>
        <v/>
      </c>
      <c r="K88" s="110">
        <f>J88+K87</f>
        <v/>
      </c>
      <c r="L88" s="110">
        <f>K88+L87</f>
        <v/>
      </c>
      <c r="M88" s="110">
        <f>L88+M87</f>
        <v/>
      </c>
      <c r="N88" s="110">
        <f>M88+N87</f>
        <v/>
      </c>
      <c r="O88" s="110">
        <f>N88+O87</f>
        <v/>
      </c>
      <c r="P88" s="110">
        <f>O88+P87</f>
        <v/>
      </c>
      <c r="Q88" s="110">
        <f>P88+Q87</f>
        <v/>
      </c>
      <c r="R88" s="110">
        <f>Q88+R87</f>
        <v/>
      </c>
      <c r="S88" s="110">
        <f>R88+S87</f>
        <v/>
      </c>
      <c r="T88" s="110">
        <f>S88+T87</f>
        <v/>
      </c>
      <c r="U88" s="110">
        <f>T88+U87</f>
        <v/>
      </c>
      <c r="V88" s="110">
        <f>U88+V87</f>
        <v/>
      </c>
      <c r="W88" s="110" t="n"/>
    </row>
    <row r="89">
      <c r="A89" s="110" t="inlineStr">
        <is>
          <t>[calc] Exit growth 0.03 dist</t>
        </is>
      </c>
      <c r="B89" s="110" t="n"/>
      <c r="C89" s="114">
        <f>-Control!$B$15</f>
        <v/>
      </c>
      <c r="D89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89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89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89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89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89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89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89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89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89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89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89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89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89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89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89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89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89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89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89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$A$32,20)*(1-Control!$B$75)</f>
        <v/>
      </c>
    </row>
    <row r="90">
      <c r="A90" s="110" t="inlineStr">
        <is>
          <t>[calc] Exit growth 0.03 cum</t>
        </is>
      </c>
      <c r="B90" s="110" t="n"/>
      <c r="C90" s="110" t="n"/>
      <c r="D90" s="110">
        <f>D89</f>
        <v/>
      </c>
      <c r="E90" s="110">
        <f>D90+E89</f>
        <v/>
      </c>
      <c r="F90" s="110">
        <f>E90+F89</f>
        <v/>
      </c>
      <c r="G90" s="110">
        <f>F90+G89</f>
        <v/>
      </c>
      <c r="H90" s="110">
        <f>G90+H89</f>
        <v/>
      </c>
      <c r="I90" s="110">
        <f>H90+I89</f>
        <v/>
      </c>
      <c r="J90" s="110">
        <f>I90+J89</f>
        <v/>
      </c>
      <c r="K90" s="110">
        <f>J90+K89</f>
        <v/>
      </c>
      <c r="L90" s="110">
        <f>K90+L89</f>
        <v/>
      </c>
      <c r="M90" s="110">
        <f>L90+M89</f>
        <v/>
      </c>
      <c r="N90" s="110">
        <f>M90+N89</f>
        <v/>
      </c>
      <c r="O90" s="110">
        <f>N90+O89</f>
        <v/>
      </c>
      <c r="P90" s="110">
        <f>O90+P89</f>
        <v/>
      </c>
      <c r="Q90" s="110">
        <f>P90+Q89</f>
        <v/>
      </c>
      <c r="R90" s="110">
        <f>Q90+R89</f>
        <v/>
      </c>
      <c r="S90" s="110">
        <f>R90+S89</f>
        <v/>
      </c>
      <c r="T90" s="110">
        <f>S90+T89</f>
        <v/>
      </c>
      <c r="U90" s="110">
        <f>T90+U89</f>
        <v/>
      </c>
      <c r="V90" s="110">
        <f>U90+V89</f>
        <v/>
      </c>
      <c r="W90" s="110" t="n"/>
    </row>
    <row r="91">
      <c r="A91" s="110" t="inlineStr">
        <is>
          <t>[calc] Exit growth 0.05 dist</t>
        </is>
      </c>
      <c r="B91" s="110" t="n"/>
      <c r="C91" s="114">
        <f>-Control!$B$15</f>
        <v/>
      </c>
      <c r="D91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91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91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91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91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91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91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91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91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91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91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91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91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91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91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91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91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91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91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91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$A$33,20)*(1-Control!$B$75)</f>
        <v/>
      </c>
    </row>
    <row r="92">
      <c r="A92" s="110" t="inlineStr">
        <is>
          <t>[calc] Exit growth 0.05 cum</t>
        </is>
      </c>
      <c r="B92" s="110" t="n"/>
      <c r="C92" s="110" t="n"/>
      <c r="D92" s="110">
        <f>D91</f>
        <v/>
      </c>
      <c r="E92" s="110">
        <f>D92+E91</f>
        <v/>
      </c>
      <c r="F92" s="110">
        <f>E92+F91</f>
        <v/>
      </c>
      <c r="G92" s="110">
        <f>F92+G91</f>
        <v/>
      </c>
      <c r="H92" s="110">
        <f>G92+H91</f>
        <v/>
      </c>
      <c r="I92" s="110">
        <f>H92+I91</f>
        <v/>
      </c>
      <c r="J92" s="110">
        <f>I92+J91</f>
        <v/>
      </c>
      <c r="K92" s="110">
        <f>J92+K91</f>
        <v/>
      </c>
      <c r="L92" s="110">
        <f>K92+L91</f>
        <v/>
      </c>
      <c r="M92" s="110">
        <f>L92+M91</f>
        <v/>
      </c>
      <c r="N92" s="110">
        <f>M92+N91</f>
        <v/>
      </c>
      <c r="O92" s="110">
        <f>N92+O91</f>
        <v/>
      </c>
      <c r="P92" s="110">
        <f>O92+P91</f>
        <v/>
      </c>
      <c r="Q92" s="110">
        <f>P92+Q91</f>
        <v/>
      </c>
      <c r="R92" s="110">
        <f>Q92+R91</f>
        <v/>
      </c>
      <c r="S92" s="110">
        <f>R92+S91</f>
        <v/>
      </c>
      <c r="T92" s="110">
        <f>S92+T91</f>
        <v/>
      </c>
      <c r="U92" s="110">
        <f>T92+U91</f>
        <v/>
      </c>
      <c r="V92" s="110">
        <f>U92+V91</f>
        <v/>
      </c>
      <c r="W92" s="110" t="n"/>
    </row>
    <row r="93">
      <c r="A93" s="110" t="inlineStr">
        <is>
          <t>[calc] Exit growth 0.07 dist</t>
        </is>
      </c>
      <c r="B93" s="110" t="n"/>
      <c r="C93" s="114">
        <f>-Control!$B$15</f>
        <v/>
      </c>
      <c r="D93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93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93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93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93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93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93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93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93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93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93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93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93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93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93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93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93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93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93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93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$A$34,20)*(1-Control!$B$75)</f>
        <v/>
      </c>
    </row>
    <row r="94">
      <c r="A94" s="110" t="inlineStr">
        <is>
          <t>[calc] Exit growth 0.07 cum</t>
        </is>
      </c>
      <c r="B94" s="110" t="n"/>
      <c r="C94" s="110" t="n"/>
      <c r="D94" s="110">
        <f>D93</f>
        <v/>
      </c>
      <c r="E94" s="110">
        <f>D94+E93</f>
        <v/>
      </c>
      <c r="F94" s="110">
        <f>E94+F93</f>
        <v/>
      </c>
      <c r="G94" s="110">
        <f>F94+G93</f>
        <v/>
      </c>
      <c r="H94" s="110">
        <f>G94+H93</f>
        <v/>
      </c>
      <c r="I94" s="110">
        <f>H94+I93</f>
        <v/>
      </c>
      <c r="J94" s="110">
        <f>I94+J93</f>
        <v/>
      </c>
      <c r="K94" s="110">
        <f>J94+K93</f>
        <v/>
      </c>
      <c r="L94" s="110">
        <f>K94+L93</f>
        <v/>
      </c>
      <c r="M94" s="110">
        <f>L94+M93</f>
        <v/>
      </c>
      <c r="N94" s="110">
        <f>M94+N93</f>
        <v/>
      </c>
      <c r="O94" s="110">
        <f>N94+O93</f>
        <v/>
      </c>
      <c r="P94" s="110">
        <f>O94+P93</f>
        <v/>
      </c>
      <c r="Q94" s="110">
        <f>P94+Q93</f>
        <v/>
      </c>
      <c r="R94" s="110">
        <f>Q94+R93</f>
        <v/>
      </c>
      <c r="S94" s="110">
        <f>R94+S93</f>
        <v/>
      </c>
      <c r="T94" s="110">
        <f>S94+T93</f>
        <v/>
      </c>
      <c r="U94" s="110">
        <f>T94+U93</f>
        <v/>
      </c>
      <c r="V94" s="110">
        <f>U94+V93</f>
        <v/>
      </c>
      <c r="W94" s="110" t="n"/>
    </row>
    <row r="95">
      <c r="A95" s="110" t="inlineStr">
        <is>
          <t>[calc] Exit growth 0.09 dist</t>
        </is>
      </c>
      <c r="B95" s="110" t="n"/>
      <c r="C95" s="114">
        <f>-Control!$B$15</f>
        <v/>
      </c>
      <c r="D95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$56*Control!$B$57*Control!$B$58*Control!$B$59)*POWER(1+Control!$B$17,0))-((Control!$B$56*Control!$B$57*Control!$B$58*Control!$B$59*POWER(1+Control!$B$17,0))*Control!$B$60+(Control!$B$61+Control!$B$62+Control!$B$63)*12*POWER(1+Control!$B$18,0)+((Control!$B$54*Control!$B$55+Control!$B$56*Control!$B$57*Control!$B$58*Control!$B$59)*POWER(1+Control!$B$17,0))*Control!$B$26))+((Control!$B$65*12*POWER(1+Control!$B$17,0))-((Control!$B$66+Control!$B$67+Control!$B$68)*12*POWER(1+Control!$B$18,0)+(Control!$B$65*12*POWER(1+Control!$B$17,0))*Control!$B$26)))*(1-Control!$B$23))-IF(AND(Control!$B$5&gt;0,Control!$B$6="Y",1=Control!$B$39-1),Control!$B$40,0))</f>
        <v/>
      </c>
      <c r="E95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$56*Control!$B$57*Control!$B$58*Control!$B$59)*POWER(1+Control!$B$17,1))-((Control!$B$56*Control!$B$57*Control!$B$58*Control!$B$59*POWER(1+Control!$B$17,1))*Control!$B$60+(Control!$B$61+Control!$B$62+Control!$B$63)*12*POWER(1+Control!$B$18,1)+((Control!$B$54*Control!$B$55+Control!$B$56*Control!$B$57*Control!$B$58*Control!$B$59)*POWER(1+Control!$B$17,1))*Control!$B$26))+((Control!$B$65*12*POWER(1+Control!$B$17,1))-((Control!$B$66+Control!$B$67+Control!$B$68)*12*POWER(1+Control!$B$18,1)+(Control!$B$65*12*POWER(1+Control!$B$17,1))*Control!$B$26)))*(1-Control!$B$23))-IF(AND(Control!$B$5&gt;0,Control!$B$6="Y",2=Control!$B$39-1),Control!$B$40,0))</f>
        <v/>
      </c>
      <c r="F95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$56*Control!$B$57*Control!$B$58*Control!$B$59)*POWER(1+Control!$B$17,2))-((Control!$B$56*Control!$B$57*Control!$B$58*Control!$B$59*POWER(1+Control!$B$17,2))*Control!$B$60+(Control!$B$61+Control!$B$62+Control!$B$63)*12*POWER(1+Control!$B$18,2)+((Control!$B$54*Control!$B$55+Control!$B$56*Control!$B$57*Control!$B$58*Control!$B$59)*POWER(1+Control!$B$17,2))*Control!$B$26))+((Control!$B$65*12*POWER(1+Control!$B$17,2))-((Control!$B$66+Control!$B$67+Control!$B$68)*12*POWER(1+Control!$B$18,2)+(Control!$B$65*12*POWER(1+Control!$B$17,2))*Control!$B$26)))*(1-Control!$B$23))-IF(AND(Control!$B$5&gt;0,Control!$B$6="Y",3=Control!$B$39-1),Control!$B$40,0))</f>
        <v/>
      </c>
      <c r="G95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$56*Control!$B$57*Control!$B$58*Control!$B$59)*POWER(1+Control!$B$17,3))-((Control!$B$56*Control!$B$57*Control!$B$58*Control!$B$59*POWER(1+Control!$B$17,3))*Control!$B$60+(Control!$B$61+Control!$B$62+Control!$B$63)*12*POWER(1+Control!$B$18,3)+((Control!$B$54*Control!$B$55+Control!$B$56*Control!$B$57*Control!$B$58*Control!$B$59)*POWER(1+Control!$B$17,3))*Control!$B$26))+((Control!$B$65*12*POWER(1+Control!$B$17,3))-((Control!$B$66+Control!$B$67+Control!$B$68)*12*POWER(1+Control!$B$18,3)+(Control!$B$65*12*POWER(1+Control!$B$17,3))*Control!$B$26)))*(1-Control!$B$23))-IF(AND(Control!$B$5&gt;0,Control!$B$6="Y",4=Control!$B$39-1),Control!$B$40,0))</f>
        <v/>
      </c>
      <c r="H95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$56*Control!$B$57*Control!$B$58*Control!$B$59)*POWER(1+Control!$B$17,4))-((Control!$B$56*Control!$B$57*Control!$B$58*Control!$B$59*POWER(1+Control!$B$17,4))*Control!$B$60+(Control!$B$61+Control!$B$62+Control!$B$63)*12*POWER(1+Control!$B$18,4)+((Control!$B$54*Control!$B$55+Control!$B$56*Control!$B$57*Control!$B$58*Control!$B$59)*POWER(1+Control!$B$17,4))*Control!$B$26))+((Control!$B$65*12*POWER(1+Control!$B$17,4))-((Control!$B$66+Control!$B$67+Control!$B$68)*12*POWER(1+Control!$B$18,4)+(Control!$B$65*12*POWER(1+Control!$B$17,4))*Control!$B$26)))*(1-Control!$B$23))-IF(AND(Control!$B$5&gt;0,Control!$B$6="Y",5=Control!$B$39-1),Control!$B$40,0))</f>
        <v/>
      </c>
      <c r="I95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$56*Control!$B$57*Control!$B$58*Control!$B$59)*POWER(1+Control!$B$17,5))-((Control!$B$56*Control!$B$57*Control!$B$58*Control!$B$59*POWER(1+Control!$B$17,5))*Control!$B$60+(Control!$B$61+Control!$B$62+Control!$B$63)*12*POWER(1+Control!$B$18,5)+((Control!$B$54*Control!$B$55+Control!$B$56*Control!$B$57*Control!$B$58*Control!$B$59)*POWER(1+Control!$B$17,5))*Control!$B$26))+((Control!$B$65*12*POWER(1+Control!$B$17,5))-((Control!$B$66+Control!$B$67+Control!$B$68)*12*POWER(1+Control!$B$18,5)+(Control!$B$65*12*POWER(1+Control!$B$17,5))*Control!$B$26)))*(1-Control!$B$23))-IF(AND(Control!$B$5&gt;0,Control!$B$6="Y",6=Control!$B$39-1),Control!$B$40,0))</f>
        <v/>
      </c>
      <c r="J95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$56*Control!$B$57*Control!$B$58*Control!$B$59)*POWER(1+Control!$B$17,6))-((Control!$B$56*Control!$B$57*Control!$B$58*Control!$B$59*POWER(1+Control!$B$17,6))*Control!$B$60+(Control!$B$61+Control!$B$62+Control!$B$63)*12*POWER(1+Control!$B$18,6)+((Control!$B$54*Control!$B$55+Control!$B$56*Control!$B$57*Control!$B$58*Control!$B$59)*POWER(1+Control!$B$17,6))*Control!$B$26))+((Control!$B$65*12*POWER(1+Control!$B$17,6))-((Control!$B$66+Control!$B$67+Control!$B$68)*12*POWER(1+Control!$B$18,6)+(Control!$B$65*12*POWER(1+Control!$B$17,6))*Control!$B$26)))*(1-Control!$B$23))-IF(AND(Control!$B$5&gt;0,Control!$B$6="Y",7=Control!$B$39-1),Control!$B$40,0))</f>
        <v/>
      </c>
      <c r="K95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$56*Control!$B$57*Control!$B$58*Control!$B$59)*POWER(1+Control!$B$17,7))-((Control!$B$56*Control!$B$57*Control!$B$58*Control!$B$59*POWER(1+Control!$B$17,7))*Control!$B$60+(Control!$B$61+Control!$B$62+Control!$B$63)*12*POWER(1+Control!$B$18,7)+((Control!$B$54*Control!$B$55+Control!$B$56*Control!$B$57*Control!$B$58*Control!$B$59)*POWER(1+Control!$B$17,7))*Control!$B$26))+((Control!$B$65*12*POWER(1+Control!$B$17,7))-((Control!$B$66+Control!$B$67+Control!$B$68)*12*POWER(1+Control!$B$18,7)+(Control!$B$65*12*POWER(1+Control!$B$17,7))*Control!$B$26)))*(1-Control!$B$23))-IF(AND(Control!$B$5&gt;0,Control!$B$6="Y",8=Control!$B$39-1),Control!$B$40,0))</f>
        <v/>
      </c>
      <c r="L95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$56*Control!$B$57*Control!$B$58*Control!$B$59)*POWER(1+Control!$B$17,8))-((Control!$B$56*Control!$B$57*Control!$B$58*Control!$B$59*POWER(1+Control!$B$17,8))*Control!$B$60+(Control!$B$61+Control!$B$62+Control!$B$63)*12*POWER(1+Control!$B$18,8)+((Control!$B$54*Control!$B$55+Control!$B$56*Control!$B$57*Control!$B$58*Control!$B$59)*POWER(1+Control!$B$17,8))*Control!$B$26))+((Control!$B$65*12*POWER(1+Control!$B$17,8))-((Control!$B$66+Control!$B$67+Control!$B$68)*12*POWER(1+Control!$B$18,8)+(Control!$B$65*12*POWER(1+Control!$B$17,8))*Control!$B$26)))*(1-Control!$B$23))-IF(AND(Control!$B$5&gt;0,Control!$B$6="Y",9=Control!$B$39-1),Control!$B$40,0))</f>
        <v/>
      </c>
      <c r="M95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$56*Control!$B$57*Control!$B$58*Control!$B$59)*POWER(1+Control!$B$17,9))-((Control!$B$56*Control!$B$57*Control!$B$58*Control!$B$59*POWER(1+Control!$B$17,9))*Control!$B$60+(Control!$B$61+Control!$B$62+Control!$B$63)*12*POWER(1+Control!$B$18,9)+((Control!$B$54*Control!$B$55+Control!$B$56*Control!$B$57*Control!$B$58*Control!$B$59)*POWER(1+Control!$B$17,9))*Control!$B$26))+((Control!$B$65*12*POWER(1+Control!$B$17,9))-((Control!$B$66+Control!$B$67+Control!$B$68)*12*POWER(1+Control!$B$18,9)+(Control!$B$65*12*POWER(1+Control!$B$17,9))*Control!$B$26)))*(1-Control!$B$23))-IF(AND(Control!$B$5&gt;0,Control!$B$6="Y",10=Control!$B$39-1),Control!$B$40,0))</f>
        <v/>
      </c>
      <c r="N95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$56*Control!$B$57*Control!$B$58*Control!$B$59)*POWER(1+Control!$B$17,10))-((Control!$B$56*Control!$B$57*Control!$B$58*Control!$B$59*POWER(1+Control!$B$17,10))*Control!$B$60+(Control!$B$61+Control!$B$62+Control!$B$63)*12*POWER(1+Control!$B$18,10)+((Control!$B$54*Control!$B$55+Control!$B$56*Control!$B$57*Control!$B$58*Control!$B$59)*POWER(1+Control!$B$17,10))*Control!$B$26))+((Control!$B$65*12*POWER(1+Control!$B$17,10))-((Control!$B$66+Control!$B$67+Control!$B$68)*12*POWER(1+Control!$B$18,10)+(Control!$B$65*12*POWER(1+Control!$B$17,10))*Control!$B$26)))*(1-Control!$B$23))-IF(AND(Control!$B$5&gt;0,Control!$B$6="Y",11=Control!$B$39-1),Control!$B$40,0))</f>
        <v/>
      </c>
      <c r="O95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$56*Control!$B$57*Control!$B$58*Control!$B$59)*POWER(1+Control!$B$17,11))-((Control!$B$56*Control!$B$57*Control!$B$58*Control!$B$59*POWER(1+Control!$B$17,11))*Control!$B$60+(Control!$B$61+Control!$B$62+Control!$B$63)*12*POWER(1+Control!$B$18,11)+((Control!$B$54*Control!$B$55+Control!$B$56*Control!$B$57*Control!$B$58*Control!$B$59)*POWER(1+Control!$B$17,11))*Control!$B$26))+((Control!$B$65*12*POWER(1+Control!$B$17,11))-((Control!$B$66+Control!$B$67+Control!$B$68)*12*POWER(1+Control!$B$18,11)+(Control!$B$65*12*POWER(1+Control!$B$17,11))*Control!$B$26)))*(1-Control!$B$23))-IF(AND(Control!$B$5&gt;0,Control!$B$6="Y",12=Control!$B$39-1),Control!$B$40,0))</f>
        <v/>
      </c>
      <c r="P95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$56*Control!$B$57*Control!$B$58*Control!$B$59)*POWER(1+Control!$B$17,12))-((Control!$B$56*Control!$B$57*Control!$B$58*Control!$B$59*POWER(1+Control!$B$17,12))*Control!$B$60+(Control!$B$61+Control!$B$62+Control!$B$63)*12*POWER(1+Control!$B$18,12)+((Control!$B$54*Control!$B$55+Control!$B$56*Control!$B$57*Control!$B$58*Control!$B$59)*POWER(1+Control!$B$17,12))*Control!$B$26))+((Control!$B$65*12*POWER(1+Control!$B$17,12))-((Control!$B$66+Control!$B$67+Control!$B$68)*12*POWER(1+Control!$B$18,12)+(Control!$B$65*12*POWER(1+Control!$B$17,12))*Control!$B$26)))*(1-Control!$B$23))-IF(AND(Control!$B$5&gt;0,Control!$B$6="Y",13=Control!$B$39-1),Control!$B$40,0))</f>
        <v/>
      </c>
      <c r="Q95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$56*Control!$B$57*Control!$B$58*Control!$B$59)*POWER(1+Control!$B$17,13))-((Control!$B$56*Control!$B$57*Control!$B$58*Control!$B$59*POWER(1+Control!$B$17,13))*Control!$B$60+(Control!$B$61+Control!$B$62+Control!$B$63)*12*POWER(1+Control!$B$18,13)+((Control!$B$54*Control!$B$55+Control!$B$56*Control!$B$57*Control!$B$58*Control!$B$59)*POWER(1+Control!$B$17,13))*Control!$B$26))+((Control!$B$65*12*POWER(1+Control!$B$17,13))-((Control!$B$66+Control!$B$67+Control!$B$68)*12*POWER(1+Control!$B$18,13)+(Control!$B$65*12*POWER(1+Control!$B$17,13))*Control!$B$26)))*(1-Control!$B$23))-IF(AND(Control!$B$5&gt;0,Control!$B$6="Y",14=Control!$B$39-1),Control!$B$40,0))</f>
        <v/>
      </c>
      <c r="R95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$56*Control!$B$57*Control!$B$58*Control!$B$59)*POWER(1+Control!$B$17,14))-((Control!$B$56*Control!$B$57*Control!$B$58*Control!$B$59*POWER(1+Control!$B$17,14))*Control!$B$60+(Control!$B$61+Control!$B$62+Control!$B$63)*12*POWER(1+Control!$B$18,14)+((Control!$B$54*Control!$B$55+Control!$B$56*Control!$B$57*Control!$B$58*Control!$B$59)*POWER(1+Control!$B$17,14))*Control!$B$26))+((Control!$B$65*12*POWER(1+Control!$B$17,14))-((Control!$B$66+Control!$B$67+Control!$B$68)*12*POWER(1+Control!$B$18,14)+(Control!$B$65*12*POWER(1+Control!$B$17,14))*Control!$B$26)))*(1-Control!$B$23))-IF(AND(Control!$B$5&gt;0,Control!$B$6="Y",15=Control!$B$39-1),Control!$B$40,0))</f>
        <v/>
      </c>
      <c r="S95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$56*Control!$B$57*Control!$B$58*Control!$B$59)*POWER(1+Control!$B$17,15))-((Control!$B$56*Control!$B$57*Control!$B$58*Control!$B$59*POWER(1+Control!$B$17,15))*Control!$B$60+(Control!$B$61+Control!$B$62+Control!$B$63)*12*POWER(1+Control!$B$18,15)+((Control!$B$54*Control!$B$55+Control!$B$56*Control!$B$57*Control!$B$58*Control!$B$59)*POWER(1+Control!$B$17,15))*Control!$B$26))+((Control!$B$65*12*POWER(1+Control!$B$17,15))-((Control!$B$66+Control!$B$67+Control!$B$68)*12*POWER(1+Control!$B$18,15)+(Control!$B$65*12*POWER(1+Control!$B$17,15))*Control!$B$26)))*(1-Control!$B$23))-IF(AND(Control!$B$5&gt;0,Control!$B$6="Y",16=Control!$B$39-1),Control!$B$40,0))</f>
        <v/>
      </c>
      <c r="T95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$56*Control!$B$57*Control!$B$58*Control!$B$59)*POWER(1+Control!$B$17,16))-((Control!$B$56*Control!$B$57*Control!$B$58*Control!$B$59*POWER(1+Control!$B$17,16))*Control!$B$60+(Control!$B$61+Control!$B$62+Control!$B$63)*12*POWER(1+Control!$B$18,16)+((Control!$B$54*Control!$B$55+Control!$B$56*Control!$B$57*Control!$B$58*Control!$B$59)*POWER(1+Control!$B$17,16))*Control!$B$26))+((Control!$B$65*12*POWER(1+Control!$B$17,16))-((Control!$B$66+Control!$B$67+Control!$B$68)*12*POWER(1+Control!$B$18,16)+(Control!$B$65*12*POWER(1+Control!$B$17,16))*Control!$B$26)))*(1-Control!$B$23))-IF(AND(Control!$B$5&gt;0,Control!$B$6="Y",17=Control!$B$39-1),Control!$B$40,0))</f>
        <v/>
      </c>
      <c r="U95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$56*Control!$B$57*Control!$B$58*Control!$B$59)*POWER(1+Control!$B$17,17))-((Control!$B$56*Control!$B$57*Control!$B$58*Control!$B$59*POWER(1+Control!$B$17,17))*Control!$B$60+(Control!$B$61+Control!$B$62+Control!$B$63)*12*POWER(1+Control!$B$18,17)+((Control!$B$54*Control!$B$55+Control!$B$56*Control!$B$57*Control!$B$58*Control!$B$59)*POWER(1+Control!$B$17,17))*Control!$B$26))+((Control!$B$65*12*POWER(1+Control!$B$17,17))-((Control!$B$66+Control!$B$67+Control!$B$68)*12*POWER(1+Control!$B$18,17)+(Control!$B$65*12*POWER(1+Control!$B$17,17))*Control!$B$26)))*(1-Control!$B$23))-IF(AND(Control!$B$5&gt;0,Control!$B$6="Y",18=Control!$B$39-1),Control!$B$40,0))</f>
        <v/>
      </c>
      <c r="V95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$56*Control!$B$57*Control!$B$58*Control!$B$59)*POWER(1+Control!$B$17,18))-((Control!$B$56*Control!$B$57*Control!$B$58*Control!$B$59*POWER(1+Control!$B$17,18))*Control!$B$60+(Control!$B$61+Control!$B$62+Control!$B$63)*12*POWER(1+Control!$B$18,18)+((Control!$B$54*Control!$B$55+Control!$B$56*Control!$B$57*Control!$B$58*Control!$B$59)*POWER(1+Control!$B$17,18))*Control!$B$26))+((Control!$B$65*12*POWER(1+Control!$B$17,18))-((Control!$B$66+Control!$B$67+Control!$B$68)*12*POWER(1+Control!$B$18,18)+(Control!$B$65*12*POWER(1+Control!$B$17,18))*Control!$B$26)))*(1-Control!$B$23))-IF(AND(Control!$B$5&gt;0,Control!$B$6="Y",19=Control!$B$39-1),Control!$B$40,0))</f>
        <v/>
      </c>
      <c r="W95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$56*Control!$B$57*Control!$B$58*Control!$B$59)*POWER(1+Control!$B$17,19))-((Control!$B$56*Control!$B$57*Control!$B$58*Control!$B$59*POWER(1+Control!$B$17,19))*Control!$B$60+(Control!$B$61+Control!$B$62+Control!$B$63)*12*POWER(1+Control!$B$18,19)+((Control!$B$54*Control!$B$55+Control!$B$56*Control!$B$57*Control!$B$58*Control!$B$59)*POWER(1+Control!$B$17,19))*Control!$B$26))+((Control!$B$65*12*POWER(1+Control!$B$17,19))-((Control!$B$66+Control!$B$67+Control!$B$68)*12*POWER(1+Control!$B$18,19)+(Control!$B$65*12*POWER(1+Control!$B$17,19))*Control!$B$26)))*(1-Control!$B$23))-IF(AND(Control!$B$5&gt;0,Control!$B$6="Y",20=Control!$B$39-1),Control!$B$40,0))+Valuation!$F$10*POWER(1+$A$35,20)*(1-Control!$B$75)</f>
        <v/>
      </c>
    </row>
    <row r="96">
      <c r="A96" s="110" t="inlineStr">
        <is>
          <t>[calc] Exit growth 0.09 cum</t>
        </is>
      </c>
      <c r="B96" s="110" t="n"/>
      <c r="C96" s="110" t="n"/>
      <c r="D96" s="110">
        <f>D95</f>
        <v/>
      </c>
      <c r="E96" s="110">
        <f>D96+E95</f>
        <v/>
      </c>
      <c r="F96" s="110">
        <f>E96+F95</f>
        <v/>
      </c>
      <c r="G96" s="110">
        <f>F96+G95</f>
        <v/>
      </c>
      <c r="H96" s="110">
        <f>G96+H95</f>
        <v/>
      </c>
      <c r="I96" s="110">
        <f>H96+I95</f>
        <v/>
      </c>
      <c r="J96" s="110">
        <f>I96+J95</f>
        <v/>
      </c>
      <c r="K96" s="110">
        <f>J96+K95</f>
        <v/>
      </c>
      <c r="L96" s="110">
        <f>K96+L95</f>
        <v/>
      </c>
      <c r="M96" s="110">
        <f>L96+M95</f>
        <v/>
      </c>
      <c r="N96" s="110">
        <f>M96+N95</f>
        <v/>
      </c>
      <c r="O96" s="110">
        <f>N96+O95</f>
        <v/>
      </c>
      <c r="P96" s="110">
        <f>O96+P95</f>
        <v/>
      </c>
      <c r="Q96" s="110">
        <f>P96+Q95</f>
        <v/>
      </c>
      <c r="R96" s="110">
        <f>Q96+R95</f>
        <v/>
      </c>
      <c r="S96" s="110">
        <f>R96+S95</f>
        <v/>
      </c>
      <c r="T96" s="110">
        <f>S96+T95</f>
        <v/>
      </c>
      <c r="U96" s="110">
        <f>T96+U95</f>
        <v/>
      </c>
      <c r="V96" s="110">
        <f>U96+V95</f>
        <v/>
      </c>
      <c r="W96" s="110" t="n"/>
    </row>
  </sheetData>
  <mergeCells count="9">
    <mergeCell ref="B42:D42"/>
    <mergeCell ref="A4:E4"/>
    <mergeCell ref="B45:D45"/>
    <mergeCell ref="A2:E2"/>
    <mergeCell ref="B46:D46"/>
    <mergeCell ref="B41:D41"/>
    <mergeCell ref="B40:D40"/>
    <mergeCell ref="B44:D44"/>
    <mergeCell ref="B43:D4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1F4E79"/>
    <outlinePr summaryBelow="1" summaryRight="1"/>
    <pageSetUpPr/>
  </sheetPr>
  <dimension ref="A1:D23"/>
  <sheetViews>
    <sheetView workbookViewId="0">
      <selection activeCell="D4" sqref="D4"/>
    </sheetView>
  </sheetViews>
  <sheetFormatPr baseColWidth="8" defaultRowHeight="14.4"/>
  <cols>
    <col width="65.5546875" bestFit="1" customWidth="1" style="313" min="1" max="1"/>
    <col width="76.44140625" bestFit="1" customWidth="1" style="79" min="2" max="2"/>
    <col width="10.5546875" bestFit="1" customWidth="1" style="313" min="3" max="3"/>
    <col width="40.77734375" bestFit="1" customWidth="1" style="313" min="4" max="4"/>
  </cols>
  <sheetData>
    <row r="1">
      <c r="A1" s="133" t="inlineStr">
        <is>
          <t>INVESTOR CLOSE SUMMARY — property-specific partner %</t>
        </is>
      </c>
      <c r="B1" s="134" t="n"/>
      <c r="C1" s="110" t="n"/>
      <c r="D1" s="110" t="n"/>
    </row>
    <row r="2">
      <c r="A2" s="110" t="inlineStr">
        <is>
          <t>Live linked to the model. Update Control inputs and this summary recalculates.</t>
        </is>
      </c>
      <c r="B2" s="134" t="n"/>
      <c r="C2" s="110" t="n"/>
      <c r="D2" s="110" t="n"/>
    </row>
    <row r="3">
      <c r="A3" s="110" t="n"/>
      <c r="B3" s="134" t="n"/>
      <c r="C3" s="110" t="n"/>
      <c r="D3" s="110" t="n"/>
    </row>
    <row r="4">
      <c r="A4" s="135" t="inlineStr">
        <is>
          <t>Metric</t>
        </is>
      </c>
      <c r="B4" s="135" t="n"/>
      <c r="C4" s="136" t="inlineStr">
        <is>
          <t>Value</t>
        </is>
      </c>
      <c r="D4" s="135" t="inlineStr">
        <is>
          <t>Source / note</t>
        </is>
      </c>
    </row>
    <row r="5">
      <c r="A5" s="110" t="inlineStr">
        <is>
          <t>Partner buy-in</t>
        </is>
      </c>
      <c r="B5" s="134" t="n"/>
      <c r="C5" s="137">
        <f>Control!$B$15</f>
        <v/>
      </c>
      <c r="D5" s="110" t="inlineStr">
        <is>
          <t>Control!B15</t>
        </is>
      </c>
    </row>
    <row r="6">
      <c r="A6" s="110" t="inlineStr">
        <is>
          <t>Partner NAV today</t>
        </is>
      </c>
      <c r="B6" s="134" t="n"/>
      <c r="C6" s="137">
        <f>Valuation!$F$10</f>
        <v/>
      </c>
      <c r="D6" s="110" t="inlineStr">
        <is>
          <t>Valuation!F10</t>
        </is>
      </c>
    </row>
    <row r="7">
      <c r="A7" s="110" t="inlineStr">
        <is>
          <t>NAV uplift / discount to buy-in</t>
        </is>
      </c>
      <c r="B7" s="134" t="n"/>
      <c r="C7" s="138">
        <f>C6/C5-1</f>
        <v/>
      </c>
      <c r="D7" s="110" t="inlineStr">
        <is>
          <t>Partner NAV today ÷ buy-in - 1</t>
        </is>
      </c>
    </row>
    <row r="8">
      <c r="A8" s="110" t="inlineStr">
        <is>
          <t>Year 1 partner distribution</t>
        </is>
      </c>
      <c r="B8" s="134" t="n"/>
      <c r="C8" s="137">
        <f>'Portfolio NewCo'!B16</f>
        <v/>
      </c>
      <c r="D8" s="110" t="inlineStr">
        <is>
          <t>Portfolio NewCo!C16</t>
        </is>
      </c>
    </row>
    <row r="9">
      <c r="A9" s="110" t="inlineStr">
        <is>
          <t>Year 1 cash yield</t>
        </is>
      </c>
      <c r="B9" s="134" t="n"/>
      <c r="C9" s="138">
        <f>'INV - Investor KPIs'!C9</f>
        <v/>
      </c>
      <c r="D9" s="110" t="inlineStr">
        <is>
          <t>Investor KPIs!C9</t>
        </is>
      </c>
    </row>
    <row r="10">
      <c r="A10" s="110" t="inlineStr">
        <is>
          <t>Payback year from distributions</t>
        </is>
      </c>
      <c r="B10" s="134" t="n"/>
      <c r="C10" s="139">
        <f t="array" ref="C10">MATCH(TRUE,'INV - Investor KPIs'!$C$7:$V$7&gt;=Control!$B$15,0)</f>
        <v/>
      </c>
      <c r="D10" s="110" t="inlineStr">
        <is>
          <t>First year cumulative distributions exceed buy-in</t>
        </is>
      </c>
    </row>
    <row r="11">
      <c r="A11" s="110" t="inlineStr">
        <is>
          <t>5-year cash MOIC</t>
        </is>
      </c>
      <c r="B11" s="134" t="n"/>
      <c r="C11" s="140">
        <f>'INV - Investor KPIs'!C19</f>
        <v/>
      </c>
      <c r="D11" s="110" t="inlineStr">
        <is>
          <t>Investor KPIs!C19</t>
        </is>
      </c>
    </row>
    <row r="12">
      <c r="A12" s="110" t="inlineStr">
        <is>
          <t>5-year total IRR incl. NAV</t>
        </is>
      </c>
      <c r="B12" s="134" t="n"/>
      <c r="C12" s="138">
        <f>'INV - Investor KPIs'!C18</f>
        <v/>
      </c>
      <c r="D12" s="110" t="inlineStr">
        <is>
          <t>Investor KPIs!C18</t>
        </is>
      </c>
    </row>
    <row r="13">
      <c r="A13" s="110" t="inlineStr">
        <is>
          <t>10-year total MOIC incl. NAV</t>
        </is>
      </c>
      <c r="B13" s="134" t="n"/>
      <c r="C13" s="140">
        <f>'INV - Investor KPIs'!D20</f>
        <v/>
      </c>
      <c r="D13" s="110" t="inlineStr">
        <is>
          <t>Investor KPIs!D20</t>
        </is>
      </c>
    </row>
    <row r="14">
      <c r="A14" s="150" t="inlineStr">
        <is>
          <t>50% PARTNER HOLD-PERIOD ILLUSTRATION</t>
        </is>
      </c>
      <c r="B14" s="160" t="inlineStr">
        <is>
          <t>Total IRR incl. NAV</t>
        </is>
      </c>
      <c r="C14" s="161" t="inlineStr">
        <is>
          <t>Total MOIC</t>
        </is>
      </c>
      <c r="D14" s="160" t="inlineStr">
        <is>
          <t>Total value if exit</t>
        </is>
      </c>
    </row>
    <row r="15">
      <c r="A15" s="110" t="inlineStr">
        <is>
          <t>5-year</t>
        </is>
      </c>
      <c r="B15" s="162">
        <f>'INV - Investor KPIs'!C18</f>
        <v/>
      </c>
      <c r="C15" s="163">
        <f>'INV - Investor KPIs'!C20</f>
        <v/>
      </c>
      <c r="D15" s="164">
        <f>'INV - Investor KPIs'!G12</f>
        <v/>
      </c>
    </row>
    <row r="16">
      <c r="A16" s="110" t="inlineStr">
        <is>
          <t>10-year</t>
        </is>
      </c>
      <c r="B16" s="162">
        <f>'INV - Investor KPIs'!D18</f>
        <v/>
      </c>
      <c r="C16" s="163">
        <f>'INV - Investor KPIs'!D20</f>
        <v/>
      </c>
      <c r="D16" s="164">
        <f>'INV - Investor KPIs'!L12</f>
        <v/>
      </c>
    </row>
    <row r="17">
      <c r="A17" s="110" t="inlineStr">
        <is>
          <t>15-year</t>
        </is>
      </c>
      <c r="B17" s="162">
        <f>'INV - Investor KPIs'!E18</f>
        <v/>
      </c>
      <c r="C17" s="163">
        <f>'INV - Investor KPIs'!E20</f>
        <v/>
      </c>
      <c r="D17" s="164">
        <f>'INV - Investor KPIs'!Q12</f>
        <v/>
      </c>
    </row>
    <row r="18">
      <c r="A18" s="110" t="inlineStr">
        <is>
          <t>20-year</t>
        </is>
      </c>
      <c r="B18" s="162">
        <f>'INV - Investor KPIs'!F18</f>
        <v/>
      </c>
      <c r="C18" s="163">
        <f>'INV - Investor KPIs'!F20</f>
        <v/>
      </c>
      <c r="D18" s="164">
        <f>'INV - Investor KPIs'!V12</f>
        <v/>
      </c>
    </row>
    <row r="19">
      <c r="A19" s="133" t="inlineStr">
        <is>
          <t>Close narrative</t>
        </is>
      </c>
      <c r="B19" s="134" t="n"/>
      <c r="C19" s="110" t="n"/>
      <c r="D19" s="110" t="n"/>
    </row>
    <row r="20">
      <c r="A20" s="141" t="n">
        <v>1</v>
      </c>
      <c r="B20" s="134" t="inlineStr">
        <is>
          <t>Partner buys 50% of NewCo; buy-in is consideration to current owner, not working capital.</t>
        </is>
      </c>
      <c r="C20" s="110" t="n"/>
      <c r="D20" s="110" t="n"/>
    </row>
    <row r="21">
      <c r="A21" s="141" t="n">
        <v>2</v>
      </c>
      <c r="B21" s="134" t="inlineStr">
        <is>
          <t>Returns are driven by 50% share of distributable profit plus partner NAV at exit.</t>
        </is>
      </c>
      <c r="C21" s="110" t="n"/>
      <c r="D21" s="110" t="n"/>
    </row>
    <row r="22">
      <c r="A22" s="141" t="n">
        <v>3</v>
      </c>
      <c r="B22" s="134" t="inlineStr">
        <is>
          <t>Property exit NAV now links to the model property appreciation assumption.</t>
        </is>
      </c>
      <c r="C22" s="110" t="n"/>
      <c r="D22" s="110" t="n"/>
    </row>
    <row r="23">
      <c r="A23" s="141" t="n">
        <v>4</v>
      </c>
      <c r="B23" s="134" t="inlineStr">
        <is>
          <t>African Sky adopted value remains conservative versus operating-income-cap memo value.</t>
        </is>
      </c>
      <c r="C23" s="110" t="n"/>
      <c r="D23" s="110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C55A11"/>
    <outlinePr summaryBelow="1" summaryRight="1"/>
    <pageSetUpPr/>
  </sheetPr>
  <dimension ref="A1:W19"/>
  <sheetViews>
    <sheetView workbookViewId="0">
      <selection activeCell="B3" sqref="B3"/>
    </sheetView>
  </sheetViews>
  <sheetFormatPr baseColWidth="8" defaultRowHeight="14.4"/>
  <cols>
    <col width="71.77734375" bestFit="1" customWidth="1" style="313" min="1" max="1"/>
    <col width="4.88671875" bestFit="1" customWidth="1" style="313" min="2" max="2"/>
    <col width="9.88671875" bestFit="1" customWidth="1" style="313" min="3" max="15"/>
    <col width="10.88671875" bestFit="1" customWidth="1" style="313" min="16" max="23"/>
  </cols>
  <sheetData>
    <row r="1" ht="18" customHeight="1" s="313">
      <c r="A1" s="1" t="inlineStr">
        <is>
          <t>LEVERAGE &amp; GROWTH ENGINE — how fast the portfolio can scale</t>
        </is>
      </c>
    </row>
    <row r="2" ht="41.4" customHeight="1" s="313">
      <c r="A2" s="302" t="inlineStr">
        <is>
          <t>ILLUSTRATIVE. Refinances to the target LTV each year and redeploys released equity + reinvested free cashflow into new assets at the acquisition yield. Shows how disciplined gearing compounds portfolio value. Debt/returns are pre-personal-tax; NOT a financing commitment.</t>
        </is>
      </c>
    </row>
    <row r="3">
      <c r="A3" t="inlineStr">
        <is>
          <t>Stabilised portfolio income yield (assumption)</t>
        </is>
      </c>
      <c r="B3" s="17">
        <f>Control!$B$79</f>
        <v/>
      </c>
    </row>
    <row r="4">
      <c r="A4" s="2" t="inlineStr">
        <is>
          <t>Year</t>
        </is>
      </c>
      <c r="C4" s="6" t="n">
        <v>0</v>
      </c>
      <c r="D4" s="6" t="n">
        <v>1</v>
      </c>
      <c r="E4" s="6" t="n">
        <v>2</v>
      </c>
      <c r="F4" s="6" t="n">
        <v>3</v>
      </c>
      <c r="G4" s="6" t="n">
        <v>4</v>
      </c>
      <c r="H4" s="6" t="n">
        <v>5</v>
      </c>
      <c r="I4" s="6" t="n">
        <v>6</v>
      </c>
      <c r="J4" s="6" t="n">
        <v>7</v>
      </c>
      <c r="K4" s="6" t="n">
        <v>8</v>
      </c>
      <c r="L4" s="6" t="n">
        <v>9</v>
      </c>
      <c r="M4" s="6" t="n">
        <v>10</v>
      </c>
      <c r="N4" s="6" t="n">
        <v>11</v>
      </c>
      <c r="O4" s="6" t="n">
        <v>12</v>
      </c>
      <c r="P4" s="6" t="n">
        <v>13</v>
      </c>
      <c r="Q4" s="6" t="n">
        <v>14</v>
      </c>
      <c r="R4" s="6" t="n">
        <v>15</v>
      </c>
      <c r="S4" s="6" t="n">
        <v>16</v>
      </c>
      <c r="T4" s="6" t="n">
        <v>17</v>
      </c>
      <c r="U4" s="6" t="n">
        <v>18</v>
      </c>
      <c r="V4" s="6" t="n">
        <v>19</v>
      </c>
      <c r="W4" s="6" t="n">
        <v>20</v>
      </c>
    </row>
    <row r="5"/>
    <row r="6">
      <c r="A6" t="inlineStr">
        <is>
          <t>Opening portfolio value</t>
        </is>
      </c>
      <c r="C6" s="8">
        <f>Valuation!$F$9</f>
        <v/>
      </c>
      <c r="D6" s="8">
        <f>C16</f>
        <v/>
      </c>
      <c r="E6" s="8">
        <f>D16</f>
        <v/>
      </c>
      <c r="F6" s="8">
        <f>E16</f>
        <v/>
      </c>
      <c r="G6" s="8">
        <f>F16</f>
        <v/>
      </c>
      <c r="H6" s="8">
        <f>G16</f>
        <v/>
      </c>
      <c r="I6" s="8">
        <f>H16</f>
        <v/>
      </c>
      <c r="J6" s="8">
        <f>I16</f>
        <v/>
      </c>
      <c r="K6" s="8">
        <f>J16</f>
        <v/>
      </c>
      <c r="L6" s="8">
        <f>K16</f>
        <v/>
      </c>
      <c r="M6" s="8">
        <f>L16</f>
        <v/>
      </c>
      <c r="N6" s="8">
        <f>M16</f>
        <v/>
      </c>
      <c r="O6" s="8">
        <f>N16</f>
        <v/>
      </c>
      <c r="P6" s="8">
        <f>O16</f>
        <v/>
      </c>
      <c r="Q6" s="8">
        <f>P16</f>
        <v/>
      </c>
      <c r="R6" s="8">
        <f>Q16</f>
        <v/>
      </c>
      <c r="S6" s="8">
        <f>R16</f>
        <v/>
      </c>
      <c r="T6" s="8">
        <f>S16</f>
        <v/>
      </c>
      <c r="U6" s="8">
        <f>T16</f>
        <v/>
      </c>
      <c r="V6" s="8">
        <f>U16</f>
        <v/>
      </c>
      <c r="W6" s="8">
        <f>V16</f>
        <v/>
      </c>
    </row>
    <row r="7">
      <c r="A7" t="inlineStr">
        <is>
          <t>Debt @ target LTV</t>
        </is>
      </c>
      <c r="C7" s="8">
        <f>C6*Control!$B$77</f>
        <v/>
      </c>
      <c r="D7" s="8">
        <f>D6*Control!$B$77</f>
        <v/>
      </c>
      <c r="E7" s="8">
        <f>E6*Control!$B$77</f>
        <v/>
      </c>
      <c r="F7" s="8">
        <f>F6*Control!$B$77</f>
        <v/>
      </c>
      <c r="G7" s="8">
        <f>G6*Control!$B$77</f>
        <v/>
      </c>
      <c r="H7" s="8">
        <f>H6*Control!$B$77</f>
        <v/>
      </c>
      <c r="I7" s="8">
        <f>I6*Control!$B$77</f>
        <v/>
      </c>
      <c r="J7" s="8">
        <f>J6*Control!$B$77</f>
        <v/>
      </c>
      <c r="K7" s="8">
        <f>K6*Control!$B$77</f>
        <v/>
      </c>
      <c r="L7" s="8">
        <f>L6*Control!$B$77</f>
        <v/>
      </c>
      <c r="M7" s="8">
        <f>M6*Control!$B$77</f>
        <v/>
      </c>
      <c r="N7" s="8">
        <f>N6*Control!$B$77</f>
        <v/>
      </c>
      <c r="O7" s="8">
        <f>O6*Control!$B$77</f>
        <v/>
      </c>
      <c r="P7" s="8">
        <f>P6*Control!$B$77</f>
        <v/>
      </c>
      <c r="Q7" s="8">
        <f>Q6*Control!$B$77</f>
        <v/>
      </c>
      <c r="R7" s="8">
        <f>R6*Control!$B$77</f>
        <v/>
      </c>
      <c r="S7" s="8">
        <f>S6*Control!$B$77</f>
        <v/>
      </c>
      <c r="T7" s="8">
        <f>T6*Control!$B$77</f>
        <v/>
      </c>
      <c r="U7" s="8">
        <f>U6*Control!$B$77</f>
        <v/>
      </c>
      <c r="V7" s="8">
        <f>V6*Control!$B$77</f>
        <v/>
      </c>
      <c r="W7" s="8">
        <f>W6*Control!$B$77</f>
        <v/>
      </c>
    </row>
    <row r="8">
      <c r="A8" t="inlineStr">
        <is>
          <t>Equity</t>
        </is>
      </c>
      <c r="C8" s="8">
        <f>C6-C7</f>
        <v/>
      </c>
      <c r="D8" s="8">
        <f>D6-D7</f>
        <v/>
      </c>
      <c r="E8" s="8">
        <f>E6-E7</f>
        <v/>
      </c>
      <c r="F8" s="8">
        <f>F6-F7</f>
        <v/>
      </c>
      <c r="G8" s="8">
        <f>G6-G7</f>
        <v/>
      </c>
      <c r="H8" s="8">
        <f>H6-H7</f>
        <v/>
      </c>
      <c r="I8" s="8">
        <f>I6-I7</f>
        <v/>
      </c>
      <c r="J8" s="8">
        <f>J6-J7</f>
        <v/>
      </c>
      <c r="K8" s="8">
        <f>K6-K7</f>
        <v/>
      </c>
      <c r="L8" s="8">
        <f>L6-L7</f>
        <v/>
      </c>
      <c r="M8" s="8">
        <f>M6-M7</f>
        <v/>
      </c>
      <c r="N8" s="8">
        <f>N6-N7</f>
        <v/>
      </c>
      <c r="O8" s="8">
        <f>O6-O7</f>
        <v/>
      </c>
      <c r="P8" s="8">
        <f>P6-P7</f>
        <v/>
      </c>
      <c r="Q8" s="8">
        <f>Q6-Q7</f>
        <v/>
      </c>
      <c r="R8" s="8">
        <f>R6-R7</f>
        <v/>
      </c>
      <c r="S8" s="8">
        <f>S6-S7</f>
        <v/>
      </c>
      <c r="T8" s="8">
        <f>T6-T7</f>
        <v/>
      </c>
      <c r="U8" s="8">
        <f>U6-U7</f>
        <v/>
      </c>
      <c r="V8" s="8">
        <f>V6-V7</f>
        <v/>
      </c>
      <c r="W8" s="8">
        <f>W6-W7</f>
        <v/>
      </c>
    </row>
    <row r="9">
      <c r="A9" t="inlineStr">
        <is>
          <t>After-tax NOI generated</t>
        </is>
      </c>
      <c r="C9" s="8">
        <f>0</f>
        <v/>
      </c>
      <c r="D9" s="8">
        <f>D6*'Leverage &amp; Growth'!$B$3</f>
        <v/>
      </c>
      <c r="E9" s="8">
        <f>E6*'Leverage &amp; Growth'!$B$3</f>
        <v/>
      </c>
      <c r="F9" s="8">
        <f>F6*'Leverage &amp; Growth'!$B$3</f>
        <v/>
      </c>
      <c r="G9" s="8">
        <f>G6*'Leverage &amp; Growth'!$B$3</f>
        <v/>
      </c>
      <c r="H9" s="8">
        <f>H6*'Leverage &amp; Growth'!$B$3</f>
        <v/>
      </c>
      <c r="I9" s="8">
        <f>I6*'Leverage &amp; Growth'!$B$3</f>
        <v/>
      </c>
      <c r="J9" s="8">
        <f>J6*'Leverage &amp; Growth'!$B$3</f>
        <v/>
      </c>
      <c r="K9" s="8">
        <f>K6*'Leverage &amp; Growth'!$B$3</f>
        <v/>
      </c>
      <c r="L9" s="8">
        <f>L6*'Leverage &amp; Growth'!$B$3</f>
        <v/>
      </c>
      <c r="M9" s="8">
        <f>M6*'Leverage &amp; Growth'!$B$3</f>
        <v/>
      </c>
      <c r="N9" s="8">
        <f>N6*'Leverage &amp; Growth'!$B$3</f>
        <v/>
      </c>
      <c r="O9" s="8">
        <f>O6*'Leverage &amp; Growth'!$B$3</f>
        <v/>
      </c>
      <c r="P9" s="8">
        <f>P6*'Leverage &amp; Growth'!$B$3</f>
        <v/>
      </c>
      <c r="Q9" s="8">
        <f>Q6*'Leverage &amp; Growth'!$B$3</f>
        <v/>
      </c>
      <c r="R9" s="8">
        <f>R6*'Leverage &amp; Growth'!$B$3</f>
        <v/>
      </c>
      <c r="S9" s="8">
        <f>S6*'Leverage &amp; Growth'!$B$3</f>
        <v/>
      </c>
      <c r="T9" s="8">
        <f>T6*'Leverage &amp; Growth'!$B$3</f>
        <v/>
      </c>
      <c r="U9" s="8">
        <f>U6*'Leverage &amp; Growth'!$B$3</f>
        <v/>
      </c>
      <c r="V9" s="8">
        <f>V6*'Leverage &amp; Growth'!$B$3</f>
        <v/>
      </c>
      <c r="W9" s="8">
        <f>W6*'Leverage &amp; Growth'!$B$3</f>
        <v/>
      </c>
    </row>
    <row r="10">
      <c r="A10" t="inlineStr">
        <is>
          <t>Interest cost</t>
        </is>
      </c>
      <c r="C10" s="8">
        <f>0</f>
        <v/>
      </c>
      <c r="D10" s="8">
        <f>D7*Control!$B$78</f>
        <v/>
      </c>
      <c r="E10" s="8">
        <f>E7*Control!$B$78</f>
        <v/>
      </c>
      <c r="F10" s="8">
        <f>F7*Control!$B$78</f>
        <v/>
      </c>
      <c r="G10" s="8">
        <f>G7*Control!$B$78</f>
        <v/>
      </c>
      <c r="H10" s="8">
        <f>H7*Control!$B$78</f>
        <v/>
      </c>
      <c r="I10" s="8">
        <f>I7*Control!$B$78</f>
        <v/>
      </c>
      <c r="J10" s="8">
        <f>J7*Control!$B$78</f>
        <v/>
      </c>
      <c r="K10" s="8">
        <f>K7*Control!$B$78</f>
        <v/>
      </c>
      <c r="L10" s="8">
        <f>L7*Control!$B$78</f>
        <v/>
      </c>
      <c r="M10" s="8">
        <f>M7*Control!$B$78</f>
        <v/>
      </c>
      <c r="N10" s="8">
        <f>N7*Control!$B$78</f>
        <v/>
      </c>
      <c r="O10" s="8">
        <f>O7*Control!$B$78</f>
        <v/>
      </c>
      <c r="P10" s="8">
        <f>P7*Control!$B$78</f>
        <v/>
      </c>
      <c r="Q10" s="8">
        <f>Q7*Control!$B$78</f>
        <v/>
      </c>
      <c r="R10" s="8">
        <f>R7*Control!$B$78</f>
        <v/>
      </c>
      <c r="S10" s="8">
        <f>S7*Control!$B$78</f>
        <v/>
      </c>
      <c r="T10" s="8">
        <f>T7*Control!$B$78</f>
        <v/>
      </c>
      <c r="U10" s="8">
        <f>U7*Control!$B$78</f>
        <v/>
      </c>
      <c r="V10" s="8">
        <f>V7*Control!$B$78</f>
        <v/>
      </c>
      <c r="W10" s="8">
        <f>W7*Control!$B$78</f>
        <v/>
      </c>
    </row>
    <row r="11">
      <c r="A11" t="inlineStr">
        <is>
          <t>Free cashflow (NOI − interest)</t>
        </is>
      </c>
      <c r="C11" s="8">
        <f>C9-C10</f>
        <v/>
      </c>
      <c r="D11" s="8">
        <f>D9-D10</f>
        <v/>
      </c>
      <c r="E11" s="8">
        <f>E9-E10</f>
        <v/>
      </c>
      <c r="F11" s="8">
        <f>F9-F10</f>
        <v/>
      </c>
      <c r="G11" s="8">
        <f>G9-G10</f>
        <v/>
      </c>
      <c r="H11" s="8">
        <f>H9-H10</f>
        <v/>
      </c>
      <c r="I11" s="8">
        <f>I9-I10</f>
        <v/>
      </c>
      <c r="J11" s="8">
        <f>J9-J10</f>
        <v/>
      </c>
      <c r="K11" s="8">
        <f>K9-K10</f>
        <v/>
      </c>
      <c r="L11" s="8">
        <f>L9-L10</f>
        <v/>
      </c>
      <c r="M11" s="8">
        <f>M9-M10</f>
        <v/>
      </c>
      <c r="N11" s="8">
        <f>N9-N10</f>
        <v/>
      </c>
      <c r="O11" s="8">
        <f>O9-O10</f>
        <v/>
      </c>
      <c r="P11" s="8">
        <f>P9-P10</f>
        <v/>
      </c>
      <c r="Q11" s="8">
        <f>Q9-Q10</f>
        <v/>
      </c>
      <c r="R11" s="8">
        <f>R9-R10</f>
        <v/>
      </c>
      <c r="S11" s="8">
        <f>S9-S10</f>
        <v/>
      </c>
      <c r="T11" s="8">
        <f>T9-T10</f>
        <v/>
      </c>
      <c r="U11" s="8">
        <f>U9-U10</f>
        <v/>
      </c>
      <c r="V11" s="8">
        <f>V9-V10</f>
        <v/>
      </c>
      <c r="W11" s="8">
        <f>W9-W10</f>
        <v/>
      </c>
    </row>
    <row r="12">
      <c r="A12" t="inlineStr">
        <is>
          <t>Property appreciation</t>
        </is>
      </c>
      <c r="C12" s="8">
        <f>0</f>
        <v/>
      </c>
      <c r="D12" s="8">
        <f>D6*Control!$B$80</f>
        <v/>
      </c>
      <c r="E12" s="8">
        <f>E6*Control!$B$80</f>
        <v/>
      </c>
      <c r="F12" s="8">
        <f>F6*Control!$B$80</f>
        <v/>
      </c>
      <c r="G12" s="8">
        <f>G6*Control!$B$80</f>
        <v/>
      </c>
      <c r="H12" s="8">
        <f>H6*Control!$B$80</f>
        <v/>
      </c>
      <c r="I12" s="8">
        <f>I6*Control!$B$80</f>
        <v/>
      </c>
      <c r="J12" s="8">
        <f>J6*Control!$B$80</f>
        <v/>
      </c>
      <c r="K12" s="8">
        <f>K6*Control!$B$80</f>
        <v/>
      </c>
      <c r="L12" s="8">
        <f>L6*Control!$B$80</f>
        <v/>
      </c>
      <c r="M12" s="8">
        <f>M6*Control!$B$80</f>
        <v/>
      </c>
      <c r="N12" s="8">
        <f>N6*Control!$B$80</f>
        <v/>
      </c>
      <c r="O12" s="8">
        <f>O6*Control!$B$80</f>
        <v/>
      </c>
      <c r="P12" s="8">
        <f>P6*Control!$B$80</f>
        <v/>
      </c>
      <c r="Q12" s="8">
        <f>Q6*Control!$B$80</f>
        <v/>
      </c>
      <c r="R12" s="8">
        <f>R6*Control!$B$80</f>
        <v/>
      </c>
      <c r="S12" s="8">
        <f>S6*Control!$B$80</f>
        <v/>
      </c>
      <c r="T12" s="8">
        <f>T6*Control!$B$80</f>
        <v/>
      </c>
      <c r="U12" s="8">
        <f>U6*Control!$B$80</f>
        <v/>
      </c>
      <c r="V12" s="8">
        <f>V6*Control!$B$80</f>
        <v/>
      </c>
      <c r="W12" s="8">
        <f>W6*Control!$B$80</f>
        <v/>
      </c>
    </row>
    <row r="13">
      <c r="A13" t="inlineStr">
        <is>
          <t>Debt capacity released (LTV × appreciation)</t>
        </is>
      </c>
      <c r="C13" s="8">
        <f>C12*Control!$B$77</f>
        <v/>
      </c>
      <c r="D13" s="8">
        <f>D12*Control!$B$77</f>
        <v/>
      </c>
      <c r="E13" s="8">
        <f>E12*Control!$B$77</f>
        <v/>
      </c>
      <c r="F13" s="8">
        <f>F12*Control!$B$77</f>
        <v/>
      </c>
      <c r="G13" s="8">
        <f>G12*Control!$B$77</f>
        <v/>
      </c>
      <c r="H13" s="8">
        <f>H12*Control!$B$77</f>
        <v/>
      </c>
      <c r="I13" s="8">
        <f>I12*Control!$B$77</f>
        <v/>
      </c>
      <c r="J13" s="8">
        <f>J12*Control!$B$77</f>
        <v/>
      </c>
      <c r="K13" s="8">
        <f>K12*Control!$B$77</f>
        <v/>
      </c>
      <c r="L13" s="8">
        <f>L12*Control!$B$77</f>
        <v/>
      </c>
      <c r="M13" s="8">
        <f>M12*Control!$B$77</f>
        <v/>
      </c>
      <c r="N13" s="8">
        <f>N12*Control!$B$77</f>
        <v/>
      </c>
      <c r="O13" s="8">
        <f>O12*Control!$B$77</f>
        <v/>
      </c>
      <c r="P13" s="8">
        <f>P12*Control!$B$77</f>
        <v/>
      </c>
      <c r="Q13" s="8">
        <f>Q12*Control!$B$77</f>
        <v/>
      </c>
      <c r="R13" s="8">
        <f>R12*Control!$B$77</f>
        <v/>
      </c>
      <c r="S13" s="8">
        <f>S12*Control!$B$77</f>
        <v/>
      </c>
      <c r="T13" s="8">
        <f>T12*Control!$B$77</f>
        <v/>
      </c>
      <c r="U13" s="8">
        <f>U12*Control!$B$77</f>
        <v/>
      </c>
      <c r="V13" s="8">
        <f>V12*Control!$B$77</f>
        <v/>
      </c>
      <c r="W13" s="8">
        <f>W12*Control!$B$77</f>
        <v/>
      </c>
    </row>
    <row r="14">
      <c r="A14" t="inlineStr">
        <is>
          <t>Acquisition equity (reinvested FCF + released)</t>
        </is>
      </c>
      <c r="C14" s="8">
        <f>0</f>
        <v/>
      </c>
      <c r="D14" s="8">
        <f>MAX(D11,0)*Control!$B$81+D13</f>
        <v/>
      </c>
      <c r="E14" s="8">
        <f>MAX(E11,0)*Control!$B$81+E13</f>
        <v/>
      </c>
      <c r="F14" s="8">
        <f>MAX(F11,0)*Control!$B$81+F13</f>
        <v/>
      </c>
      <c r="G14" s="8">
        <f>MAX(G11,0)*Control!$B$81+G13</f>
        <v/>
      </c>
      <c r="H14" s="8">
        <f>MAX(H11,0)*Control!$B$81+H13</f>
        <v/>
      </c>
      <c r="I14" s="8">
        <f>MAX(I11,0)*Control!$B$81+I13</f>
        <v/>
      </c>
      <c r="J14" s="8">
        <f>MAX(J11,0)*Control!$B$81+J13</f>
        <v/>
      </c>
      <c r="K14" s="8">
        <f>MAX(K11,0)*Control!$B$81+K13</f>
        <v/>
      </c>
      <c r="L14" s="8">
        <f>MAX(L11,0)*Control!$B$81+L13</f>
        <v/>
      </c>
      <c r="M14" s="8">
        <f>MAX(M11,0)*Control!$B$81+M13</f>
        <v/>
      </c>
      <c r="N14" s="8">
        <f>MAX(N11,0)*Control!$B$81+N13</f>
        <v/>
      </c>
      <c r="O14" s="8">
        <f>MAX(O11,0)*Control!$B$81+O13</f>
        <v/>
      </c>
      <c r="P14" s="8">
        <f>MAX(P11,0)*Control!$B$81+P13</f>
        <v/>
      </c>
      <c r="Q14" s="8">
        <f>MAX(Q11,0)*Control!$B$81+Q13</f>
        <v/>
      </c>
      <c r="R14" s="8">
        <f>MAX(R11,0)*Control!$B$81+R13</f>
        <v/>
      </c>
      <c r="S14" s="8">
        <f>MAX(S11,0)*Control!$B$81+S13</f>
        <v/>
      </c>
      <c r="T14" s="8">
        <f>MAX(T11,0)*Control!$B$81+T13</f>
        <v/>
      </c>
      <c r="U14" s="8">
        <f>MAX(U11,0)*Control!$B$81+U13</f>
        <v/>
      </c>
      <c r="V14" s="8">
        <f>MAX(V11,0)*Control!$B$81+V13</f>
        <v/>
      </c>
      <c r="W14" s="8">
        <f>MAX(W11,0)*Control!$B$81+W13</f>
        <v/>
      </c>
    </row>
    <row r="15">
      <c r="A15" t="inlineStr">
        <is>
          <t>Acquisitions added (geared, ÷(1−LTV))</t>
        </is>
      </c>
      <c r="C15" s="8">
        <f>0</f>
        <v/>
      </c>
      <c r="D15" s="8">
        <f>D14/(1-Control!$B$77)</f>
        <v/>
      </c>
      <c r="E15" s="8">
        <f>E14/(1-Control!$B$77)</f>
        <v/>
      </c>
      <c r="F15" s="8">
        <f>F14/(1-Control!$B$77)</f>
        <v/>
      </c>
      <c r="G15" s="8">
        <f>G14/(1-Control!$B$77)</f>
        <v/>
      </c>
      <c r="H15" s="8">
        <f>H14/(1-Control!$B$77)</f>
        <v/>
      </c>
      <c r="I15" s="8">
        <f>I14/(1-Control!$B$77)</f>
        <v/>
      </c>
      <c r="J15" s="8">
        <f>J14/(1-Control!$B$77)</f>
        <v/>
      </c>
      <c r="K15" s="8">
        <f>K14/(1-Control!$B$77)</f>
        <v/>
      </c>
      <c r="L15" s="8">
        <f>L14/(1-Control!$B$77)</f>
        <v/>
      </c>
      <c r="M15" s="8">
        <f>M14/(1-Control!$B$77)</f>
        <v/>
      </c>
      <c r="N15" s="8">
        <f>N14/(1-Control!$B$77)</f>
        <v/>
      </c>
      <c r="O15" s="8">
        <f>O14/(1-Control!$B$77)</f>
        <v/>
      </c>
      <c r="P15" s="8">
        <f>P14/(1-Control!$B$77)</f>
        <v/>
      </c>
      <c r="Q15" s="8">
        <f>Q14/(1-Control!$B$77)</f>
        <v/>
      </c>
      <c r="R15" s="8">
        <f>R14/(1-Control!$B$77)</f>
        <v/>
      </c>
      <c r="S15" s="8">
        <f>S14/(1-Control!$B$77)</f>
        <v/>
      </c>
      <c r="T15" s="8">
        <f>T14/(1-Control!$B$77)</f>
        <v/>
      </c>
      <c r="U15" s="8">
        <f>U14/(1-Control!$B$77)</f>
        <v/>
      </c>
      <c r="V15" s="8">
        <f>V14/(1-Control!$B$77)</f>
        <v/>
      </c>
      <c r="W15" s="8">
        <f>W14/(1-Control!$B$77)</f>
        <v/>
      </c>
    </row>
    <row r="16">
      <c r="A16" s="11" t="inlineStr">
        <is>
          <t>CLOSING portfolio value</t>
        </is>
      </c>
      <c r="C16" s="12">
        <f>Valuation!$F$9</f>
        <v/>
      </c>
      <c r="D16" s="12">
        <f>D6+D12+D15</f>
        <v/>
      </c>
      <c r="E16" s="12">
        <f>E6+E12+E15</f>
        <v/>
      </c>
      <c r="F16" s="12">
        <f>F6+F12+F15</f>
        <v/>
      </c>
      <c r="G16" s="12">
        <f>G6+G12+G15</f>
        <v/>
      </c>
      <c r="H16" s="12">
        <f>H6+H12+H15</f>
        <v/>
      </c>
      <c r="I16" s="12">
        <f>I6+I12+I15</f>
        <v/>
      </c>
      <c r="J16" s="12">
        <f>J6+J12+J15</f>
        <v/>
      </c>
      <c r="K16" s="12">
        <f>K6+K12+K15</f>
        <v/>
      </c>
      <c r="L16" s="12">
        <f>L6+L12+L15</f>
        <v/>
      </c>
      <c r="M16" s="12">
        <f>M6+M12+M15</f>
        <v/>
      </c>
      <c r="N16" s="12">
        <f>N6+N12+N15</f>
        <v/>
      </c>
      <c r="O16" s="12">
        <f>O6+O12+O15</f>
        <v/>
      </c>
      <c r="P16" s="12">
        <f>P6+P12+P15</f>
        <v/>
      </c>
      <c r="Q16" s="12">
        <f>Q6+Q12+Q15</f>
        <v/>
      </c>
      <c r="R16" s="12">
        <f>R6+R12+R15</f>
        <v/>
      </c>
      <c r="S16" s="12">
        <f>S6+S12+S15</f>
        <v/>
      </c>
      <c r="T16" s="12">
        <f>T6+T12+T15</f>
        <v/>
      </c>
      <c r="U16" s="12">
        <f>U6+U12+U15</f>
        <v/>
      </c>
      <c r="V16" s="12">
        <f>V6+V12+V15</f>
        <v/>
      </c>
      <c r="W16" s="12">
        <f>W6+W12+W15</f>
        <v/>
      </c>
    </row>
    <row r="17">
      <c r="A17" s="2" t="inlineStr">
        <is>
          <t>Equity value (closing)</t>
        </is>
      </c>
      <c r="C17" s="5">
        <f>C16*(1-Control!$B$77)</f>
        <v/>
      </c>
      <c r="D17" s="5">
        <f>D16*(1-Control!$B$77)</f>
        <v/>
      </c>
      <c r="E17" s="5">
        <f>E16*(1-Control!$B$77)</f>
        <v/>
      </c>
      <c r="F17" s="5">
        <f>F16*(1-Control!$B$77)</f>
        <v/>
      </c>
      <c r="G17" s="5">
        <f>G16*(1-Control!$B$77)</f>
        <v/>
      </c>
      <c r="H17" s="5">
        <f>H16*(1-Control!$B$77)</f>
        <v/>
      </c>
      <c r="I17" s="5">
        <f>I16*(1-Control!$B$77)</f>
        <v/>
      </c>
      <c r="J17" s="5">
        <f>J16*(1-Control!$B$77)</f>
        <v/>
      </c>
      <c r="K17" s="5">
        <f>K16*(1-Control!$B$77)</f>
        <v/>
      </c>
      <c r="L17" s="5">
        <f>L16*(1-Control!$B$77)</f>
        <v/>
      </c>
      <c r="M17" s="5">
        <f>M16*(1-Control!$B$77)</f>
        <v/>
      </c>
      <c r="N17" s="5">
        <f>N16*(1-Control!$B$77)</f>
        <v/>
      </c>
      <c r="O17" s="5">
        <f>O16*(1-Control!$B$77)</f>
        <v/>
      </c>
      <c r="P17" s="5">
        <f>P16*(1-Control!$B$77)</f>
        <v/>
      </c>
      <c r="Q17" s="5">
        <f>Q16*(1-Control!$B$77)</f>
        <v/>
      </c>
      <c r="R17" s="5">
        <f>R16*(1-Control!$B$77)</f>
        <v/>
      </c>
      <c r="S17" s="5">
        <f>S16*(1-Control!$B$77)</f>
        <v/>
      </c>
      <c r="T17" s="5">
        <f>T16*(1-Control!$B$77)</f>
        <v/>
      </c>
      <c r="U17" s="5">
        <f>U16*(1-Control!$B$77)</f>
        <v/>
      </c>
      <c r="V17" s="5">
        <f>V16*(1-Control!$B$77)</f>
        <v/>
      </c>
      <c r="W17" s="5">
        <f>W16*(1-Control!$B$77)</f>
        <v/>
      </c>
    </row>
    <row r="18">
      <c r="A18" t="inlineStr">
        <is>
          <t>DSCR (NOI ÷ interest)</t>
        </is>
      </c>
      <c r="C18" s="15">
        <f>""</f>
        <v/>
      </c>
      <c r="D18" s="15">
        <f>D9/D10</f>
        <v/>
      </c>
      <c r="E18" s="15">
        <f>E9/E10</f>
        <v/>
      </c>
      <c r="F18" s="15">
        <f>F9/F10</f>
        <v/>
      </c>
      <c r="G18" s="15">
        <f>G9/G10</f>
        <v/>
      </c>
      <c r="H18" s="15">
        <f>H9/H10</f>
        <v/>
      </c>
      <c r="I18" s="15">
        <f>I9/I10</f>
        <v/>
      </c>
      <c r="J18" s="15">
        <f>J9/J10</f>
        <v/>
      </c>
      <c r="K18" s="15">
        <f>K9/K10</f>
        <v/>
      </c>
      <c r="L18" s="15">
        <f>L9/L10</f>
        <v/>
      </c>
      <c r="M18" s="15">
        <f>M9/M10</f>
        <v/>
      </c>
      <c r="N18" s="15">
        <f>N9/N10</f>
        <v/>
      </c>
      <c r="O18" s="15">
        <f>O9/O10</f>
        <v/>
      </c>
      <c r="P18" s="15">
        <f>P9/P10</f>
        <v/>
      </c>
      <c r="Q18" s="15">
        <f>Q9/Q10</f>
        <v/>
      </c>
      <c r="R18" s="15">
        <f>R9/R10</f>
        <v/>
      </c>
      <c r="S18" s="15">
        <f>S9/S10</f>
        <v/>
      </c>
      <c r="T18" s="15">
        <f>T9/T10</f>
        <v/>
      </c>
      <c r="U18" s="15">
        <f>U9/U10</f>
        <v/>
      </c>
      <c r="V18" s="15">
        <f>V9/V10</f>
        <v/>
      </c>
      <c r="W18" s="15">
        <f>W9/W10</f>
        <v/>
      </c>
    </row>
    <row r="19">
      <c r="A19" s="2" t="inlineStr">
        <is>
          <t>Portfolio value growth (× vs today)</t>
        </is>
      </c>
      <c r="C19" s="16">
        <f>C16/Valuation!$F$9</f>
        <v/>
      </c>
      <c r="D19" s="16">
        <f>D16/Valuation!$F$9</f>
        <v/>
      </c>
      <c r="E19" s="16">
        <f>E16/Valuation!$F$9</f>
        <v/>
      </c>
      <c r="F19" s="16">
        <f>F16/Valuation!$F$9</f>
        <v/>
      </c>
      <c r="G19" s="16">
        <f>G16/Valuation!$F$9</f>
        <v/>
      </c>
      <c r="H19" s="16">
        <f>H16/Valuation!$F$9</f>
        <v/>
      </c>
      <c r="I19" s="16">
        <f>I16/Valuation!$F$9</f>
        <v/>
      </c>
      <c r="J19" s="16">
        <f>J16/Valuation!$F$9</f>
        <v/>
      </c>
      <c r="K19" s="16">
        <f>K16/Valuation!$F$9</f>
        <v/>
      </c>
      <c r="L19" s="16">
        <f>L16/Valuation!$F$9</f>
        <v/>
      </c>
      <c r="M19" s="16">
        <f>M16/Valuation!$F$9</f>
        <v/>
      </c>
      <c r="N19" s="16">
        <f>N16/Valuation!$F$9</f>
        <v/>
      </c>
      <c r="O19" s="16">
        <f>O16/Valuation!$F$9</f>
        <v/>
      </c>
      <c r="P19" s="16">
        <f>P16/Valuation!$F$9</f>
        <v/>
      </c>
      <c r="Q19" s="16">
        <f>Q16/Valuation!$F$9</f>
        <v/>
      </c>
      <c r="R19" s="16">
        <f>R16/Valuation!$F$9</f>
        <v/>
      </c>
      <c r="S19" s="16">
        <f>S16/Valuation!$F$9</f>
        <v/>
      </c>
      <c r="T19" s="16">
        <f>T16/Valuation!$F$9</f>
        <v/>
      </c>
      <c r="U19" s="16">
        <f>U16/Valuation!$F$9</f>
        <v/>
      </c>
      <c r="V19" s="16">
        <f>V16/Valuation!$F$9</f>
        <v/>
      </c>
      <c r="W19" s="16">
        <f>W16/Valuation!$F$9</f>
        <v/>
      </c>
    </row>
  </sheetData>
  <mergeCells count="1"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89"/>
  <sheetViews>
    <sheetView showGridLines="0" zoomScale="70" zoomScaleNormal="70" workbookViewId="0">
      <pane ySplit="2" topLeftCell="A454" activePane="bottomLeft" state="frozen"/>
      <selection pane="bottomLeft" activeCell="A450" sqref="A450:G450"/>
    </sheetView>
  </sheetViews>
  <sheetFormatPr baseColWidth="8" defaultRowHeight="14.4"/>
  <cols>
    <col width="27.77734375" customWidth="1" style="313" min="1" max="1"/>
    <col width="33.33203125" customWidth="1" style="313" min="2" max="2"/>
    <col width="20.33203125" customWidth="1" style="313" min="3" max="5"/>
    <col width="46.33203125" customWidth="1" style="313" min="6" max="6"/>
    <col width="14" customWidth="1" style="313" min="7" max="7"/>
    <col width="13" customWidth="1" style="313" min="8" max="8"/>
    <col width="14" customWidth="1" style="313" min="9" max="9"/>
  </cols>
  <sheetData>
    <row r="1" ht="25.95" customHeight="1" s="313">
      <c r="A1" s="330" t="inlineStr">
        <is>
          <t>Raw bookings (364) — the source data</t>
        </is>
      </c>
    </row>
    <row r="2">
      <c r="A2" s="331" t="inlineStr">
        <is>
          <t>Arrival</t>
        </is>
      </c>
      <c r="B2" s="331" t="inlineStr">
        <is>
          <t>Last night</t>
        </is>
      </c>
      <c r="C2" s="331" t="inlineStr">
        <is>
          <t>Villa</t>
        </is>
      </c>
      <c r="D2" s="331" t="inlineStr">
        <is>
          <t>Guest</t>
        </is>
      </c>
      <c r="E2" s="331" t="inlineStr">
        <is>
          <t>Nights</t>
        </is>
      </c>
      <c r="F2" s="331" t="inlineStr">
        <is>
          <t>Guests</t>
        </is>
      </c>
      <c r="G2" s="331" t="inlineStr">
        <is>
          <t>Meal plan</t>
        </is>
      </c>
      <c r="H2" s="331" t="inlineStr">
        <is>
          <t>Source</t>
        </is>
      </c>
      <c r="I2" s="331" t="inlineStr">
        <is>
          <t>Revenue (gross)</t>
        </is>
      </c>
    </row>
    <row r="3">
      <c r="A3" s="332" t="n">
        <v>45656</v>
      </c>
      <c r="B3" s="332" t="n">
        <v>45659</v>
      </c>
      <c r="C3" s="333" t="inlineStr">
        <is>
          <t>Remington Villa</t>
        </is>
      </c>
      <c r="D3" s="334" t="inlineStr">
        <is>
          <t>Juliana Borelli</t>
        </is>
      </c>
      <c r="E3" s="334" t="n">
        <v>2</v>
      </c>
      <c r="F3" s="334" t="n">
        <v>2</v>
      </c>
      <c r="G3" s="334" t="inlineStr">
        <is>
          <t>B&amp;B</t>
        </is>
      </c>
      <c r="H3" s="334" t="inlineStr">
        <is>
          <t>Booking.com</t>
        </is>
      </c>
      <c r="I3" s="335" t="n">
        <v>5967</v>
      </c>
    </row>
    <row r="4">
      <c r="A4" s="332" t="n">
        <v>45657</v>
      </c>
      <c r="B4" s="332" t="n">
        <v>45663</v>
      </c>
      <c r="C4" s="336" t="inlineStr">
        <is>
          <t>Sky Villa</t>
        </is>
      </c>
      <c r="D4" s="334" t="inlineStr">
        <is>
          <t>Karen Dreyer</t>
        </is>
      </c>
      <c r="E4" s="334" t="n">
        <v>6</v>
      </c>
      <c r="F4" s="334" t="n">
        <v>1</v>
      </c>
      <c r="G4" s="334" t="inlineStr">
        <is>
          <t>Self-catering</t>
        </is>
      </c>
      <c r="H4" s="334" t="inlineStr">
        <is>
          <t>Airbnb</t>
        </is>
      </c>
      <c r="I4" s="335" t="n">
        <v>13800</v>
      </c>
    </row>
    <row r="5">
      <c r="A5" s="332" t="n">
        <v>45660</v>
      </c>
      <c r="B5" s="332" t="n">
        <v>45660</v>
      </c>
      <c r="C5" s="333" t="inlineStr">
        <is>
          <t>Remington Villa</t>
        </is>
      </c>
      <c r="D5" s="334" t="inlineStr">
        <is>
          <t>Ronelle Bester</t>
        </is>
      </c>
      <c r="E5" s="334" t="n">
        <v>1</v>
      </c>
      <c r="F5" s="334" t="n">
        <v>4</v>
      </c>
      <c r="G5" s="334" t="inlineStr">
        <is>
          <t>Self-catering</t>
        </is>
      </c>
      <c r="H5" s="334" t="inlineStr">
        <is>
          <t>Airbnb</t>
        </is>
      </c>
      <c r="I5" s="335" t="n">
        <v>1400</v>
      </c>
    </row>
    <row r="6">
      <c r="A6" s="332" t="n">
        <v>45662</v>
      </c>
      <c r="B6" s="332" t="n">
        <v>45665</v>
      </c>
      <c r="C6" s="333" t="inlineStr">
        <is>
          <t>Remington Villa</t>
        </is>
      </c>
      <c r="D6" s="334" t="inlineStr">
        <is>
          <t>TIMOTHY ARMSTRONG</t>
        </is>
      </c>
      <c r="E6" s="334" t="n">
        <v>4</v>
      </c>
      <c r="F6" s="334" t="n">
        <v>2</v>
      </c>
      <c r="G6" s="334" t="inlineStr">
        <is>
          <t>B&amp;B</t>
        </is>
      </c>
      <c r="H6" s="334" t="inlineStr">
        <is>
          <t>Booking.com</t>
        </is>
      </c>
      <c r="I6" s="335" t="n">
        <v>11808</v>
      </c>
    </row>
    <row r="7">
      <c r="A7" s="332" t="n">
        <v>45664</v>
      </c>
      <c r="B7" s="332" t="n">
        <v>45668</v>
      </c>
      <c r="C7" s="336" t="inlineStr">
        <is>
          <t>Sky Villa</t>
        </is>
      </c>
      <c r="D7" s="334" t="inlineStr">
        <is>
          <t>matthew Brusik</t>
        </is>
      </c>
      <c r="E7" s="334" t="n">
        <v>5</v>
      </c>
      <c r="F7" s="334" t="n">
        <v>4</v>
      </c>
      <c r="G7" s="334" t="inlineStr">
        <is>
          <t>Dinner B&amp;B</t>
        </is>
      </c>
      <c r="H7" s="334" t="inlineStr">
        <is>
          <t>Booking.com</t>
        </is>
      </c>
      <c r="I7" s="335" t="n">
        <v>22338</v>
      </c>
    </row>
    <row r="8">
      <c r="A8" s="332" t="n">
        <v>45666</v>
      </c>
      <c r="B8" s="332" t="n">
        <v>45668</v>
      </c>
      <c r="C8" s="333" t="inlineStr">
        <is>
          <t>Remington Villa</t>
        </is>
      </c>
      <c r="D8" s="334" t="inlineStr">
        <is>
          <t>Moshe Kao</t>
        </is>
      </c>
      <c r="E8" s="334" t="n">
        <v>3</v>
      </c>
      <c r="F8" s="334" t="n">
        <v>4</v>
      </c>
      <c r="G8" s="334" t="inlineStr">
        <is>
          <t>Dinner B&amp;B</t>
        </is>
      </c>
      <c r="H8" s="334" t="inlineStr">
        <is>
          <t>Booking.com</t>
        </is>
      </c>
      <c r="I8" s="335" t="n">
        <v>12751</v>
      </c>
    </row>
    <row r="9">
      <c r="A9" s="332" t="n">
        <v>45669</v>
      </c>
      <c r="B9" s="332" t="n">
        <v>45670</v>
      </c>
      <c r="C9" s="336" t="inlineStr">
        <is>
          <t>Sky Villa</t>
        </is>
      </c>
      <c r="D9" s="334" t="inlineStr">
        <is>
          <t>Andreas Scheller</t>
        </is>
      </c>
      <c r="E9" s="334" t="n">
        <v>2</v>
      </c>
      <c r="F9" s="334" t="n">
        <v>2</v>
      </c>
      <c r="G9" s="334" t="inlineStr">
        <is>
          <t>Dinner B&amp;B</t>
        </is>
      </c>
      <c r="H9" s="334" t="inlineStr">
        <is>
          <t>Booking.com</t>
        </is>
      </c>
      <c r="I9" s="335" t="n">
        <v>5688</v>
      </c>
    </row>
    <row r="10">
      <c r="A10" s="332" t="n">
        <v>45672</v>
      </c>
      <c r="B10" s="332" t="n">
        <v>45673</v>
      </c>
      <c r="C10" s="333" t="inlineStr">
        <is>
          <t>Remington Villa</t>
        </is>
      </c>
      <c r="D10" s="334" t="inlineStr">
        <is>
          <t>Sandra de Kloe</t>
        </is>
      </c>
      <c r="E10" s="334" t="n">
        <v>2</v>
      </c>
      <c r="F10" s="334" t="n">
        <v>2</v>
      </c>
      <c r="G10" s="334" t="inlineStr">
        <is>
          <t>B&amp;B</t>
        </is>
      </c>
      <c r="H10" s="334" t="inlineStr">
        <is>
          <t>Booking.com</t>
        </is>
      </c>
      <c r="I10" s="335" t="n">
        <v>3565</v>
      </c>
    </row>
    <row r="11">
      <c r="A11" s="332" t="n">
        <v>45672</v>
      </c>
      <c r="B11" s="332" t="n">
        <v>45675</v>
      </c>
      <c r="C11" s="336" t="inlineStr">
        <is>
          <t>Sky Villa</t>
        </is>
      </c>
      <c r="D11" s="334" t="inlineStr">
        <is>
          <t>Martina Dudink - van Bakel</t>
        </is>
      </c>
      <c r="E11" s="334" t="n">
        <v>4</v>
      </c>
      <c r="F11" s="334" t="n">
        <v>2</v>
      </c>
      <c r="G11" s="334" t="inlineStr">
        <is>
          <t>Dinner B&amp;B</t>
        </is>
      </c>
      <c r="H11" s="334" t="inlineStr">
        <is>
          <t>Booking.com</t>
        </is>
      </c>
      <c r="I11" s="335" t="n">
        <v>14212</v>
      </c>
    </row>
    <row r="12">
      <c r="A12" s="332" t="n">
        <v>45674</v>
      </c>
      <c r="B12" s="332" t="n">
        <v>45674</v>
      </c>
      <c r="C12" s="333" t="inlineStr">
        <is>
          <t>Remington Villa</t>
        </is>
      </c>
      <c r="D12" s="334" t="inlineStr">
        <is>
          <t>Andreas Manuel Sattler</t>
        </is>
      </c>
      <c r="E12" s="334" t="n">
        <v>1</v>
      </c>
      <c r="F12" s="334" t="n">
        <v>2</v>
      </c>
      <c r="G12" s="334" t="inlineStr">
        <is>
          <t>B&amp;B</t>
        </is>
      </c>
      <c r="H12" s="334" t="inlineStr">
        <is>
          <t>Booking.com</t>
        </is>
      </c>
      <c r="I12" s="335" t="n">
        <v>1732</v>
      </c>
    </row>
    <row r="13">
      <c r="A13" s="332" t="n">
        <v>45675</v>
      </c>
      <c r="B13" s="332" t="n">
        <v>45676</v>
      </c>
      <c r="C13" s="333" t="inlineStr">
        <is>
          <t>Remington Villa</t>
        </is>
      </c>
      <c r="D13" s="334" t="inlineStr">
        <is>
          <t>Magdalena Sobolewska</t>
        </is>
      </c>
      <c r="E13" s="334" t="n">
        <v>2</v>
      </c>
      <c r="F13" s="334" t="n">
        <v>2</v>
      </c>
      <c r="G13" s="334" t="inlineStr">
        <is>
          <t>Dinner B&amp;B</t>
        </is>
      </c>
      <c r="H13" s="334" t="inlineStr">
        <is>
          <t>Booking.com</t>
        </is>
      </c>
      <c r="I13" s="335" t="n">
        <v>5069</v>
      </c>
    </row>
    <row r="14">
      <c r="A14" s="332" t="n">
        <v>45677</v>
      </c>
      <c r="B14" s="332" t="n">
        <v>45677</v>
      </c>
      <c r="C14" s="336" t="inlineStr">
        <is>
          <t>Sky Villa</t>
        </is>
      </c>
      <c r="D14" s="334" t="inlineStr">
        <is>
          <t>Magdalena Sobolewska</t>
        </is>
      </c>
      <c r="E14" s="334" t="n">
        <v>1</v>
      </c>
      <c r="F14" s="334" t="n">
        <v>2</v>
      </c>
      <c r="G14" s="334" t="inlineStr">
        <is>
          <t>B&amp;B</t>
        </is>
      </c>
      <c r="H14" s="334" t="inlineStr">
        <is>
          <t>Booking.com</t>
        </is>
      </c>
      <c r="I14" s="335" t="n">
        <v>2262</v>
      </c>
    </row>
    <row r="15">
      <c r="A15" s="332" t="n">
        <v>45677</v>
      </c>
      <c r="B15" s="332" t="n">
        <v>45677</v>
      </c>
      <c r="C15" s="333" t="inlineStr">
        <is>
          <t>Remington Villa</t>
        </is>
      </c>
      <c r="D15" s="334" t="inlineStr">
        <is>
          <t>Stuart Foster</t>
        </is>
      </c>
      <c r="E15" s="334" t="n">
        <v>1</v>
      </c>
      <c r="F15" s="334" t="n">
        <v>2</v>
      </c>
      <c r="G15" s="334" t="inlineStr">
        <is>
          <t>Self-catering</t>
        </is>
      </c>
      <c r="H15" s="334" t="inlineStr">
        <is>
          <t>Airbnb</t>
        </is>
      </c>
      <c r="I15" s="335" t="n">
        <v>2800</v>
      </c>
    </row>
    <row r="16">
      <c r="A16" s="332" t="n">
        <v>45680</v>
      </c>
      <c r="B16" s="332" t="n">
        <v>45680</v>
      </c>
      <c r="C16" s="336" t="inlineStr">
        <is>
          <t>Sky Villa</t>
        </is>
      </c>
      <c r="D16" s="334" t="inlineStr">
        <is>
          <t>Christian Schiffbenker</t>
        </is>
      </c>
      <c r="E16" s="334" t="n">
        <v>1</v>
      </c>
      <c r="F16" s="334" t="n">
        <v>2</v>
      </c>
      <c r="G16" s="334" t="inlineStr">
        <is>
          <t>Dinner B&amp;B</t>
        </is>
      </c>
      <c r="H16" s="334" t="inlineStr">
        <is>
          <t>Booking.com</t>
        </is>
      </c>
      <c r="I16" s="335" t="n">
        <v>2071</v>
      </c>
    </row>
    <row r="17">
      <c r="A17" s="332" t="n">
        <v>45683</v>
      </c>
      <c r="B17" s="332" t="n">
        <v>45683</v>
      </c>
      <c r="C17" s="336" t="inlineStr">
        <is>
          <t>Sky Villa</t>
        </is>
      </c>
      <c r="D17" s="334" t="inlineStr">
        <is>
          <t>Michael Bartman</t>
        </is>
      </c>
      <c r="E17" s="334" t="n">
        <v>1</v>
      </c>
      <c r="F17" s="334" t="n">
        <v>4</v>
      </c>
      <c r="G17" s="334" t="inlineStr">
        <is>
          <t>Dinner B&amp;B</t>
        </is>
      </c>
      <c r="H17" s="334" t="inlineStr">
        <is>
          <t>Booking.com</t>
        </is>
      </c>
      <c r="I17" s="335" t="n">
        <v>2851</v>
      </c>
    </row>
    <row r="18">
      <c r="A18" s="332" t="n">
        <v>45683</v>
      </c>
      <c r="B18" s="332" t="n">
        <v>45683</v>
      </c>
      <c r="C18" s="333" t="inlineStr">
        <is>
          <t>Remington Villa</t>
        </is>
      </c>
      <c r="D18" s="334" t="inlineStr">
        <is>
          <t>Elke Traumuller-Olckers</t>
        </is>
      </c>
      <c r="E18" s="334" t="n">
        <v>1</v>
      </c>
      <c r="F18" s="334" t="n">
        <v>2</v>
      </c>
      <c r="G18" s="334" t="inlineStr">
        <is>
          <t>B&amp;B</t>
        </is>
      </c>
      <c r="H18" s="334" t="inlineStr">
        <is>
          <t>Booking.com</t>
        </is>
      </c>
      <c r="I18" s="335" t="n">
        <v>1969</v>
      </c>
    </row>
    <row r="19">
      <c r="A19" s="332" t="n">
        <v>45685</v>
      </c>
      <c r="B19" s="332" t="n">
        <v>45691</v>
      </c>
      <c r="C19" s="333" t="inlineStr">
        <is>
          <t>Remington Villa</t>
        </is>
      </c>
      <c r="D19" s="334" t="inlineStr">
        <is>
          <t>Tomiczek Stephan</t>
        </is>
      </c>
      <c r="E19" s="334" t="n">
        <v>7</v>
      </c>
      <c r="F19" s="334" t="n">
        <v>2</v>
      </c>
      <c r="G19" s="334" t="inlineStr">
        <is>
          <t>Dinner B&amp;B</t>
        </is>
      </c>
      <c r="H19" s="334" t="inlineStr">
        <is>
          <t>Booking.com</t>
        </is>
      </c>
      <c r="I19" s="335" t="n">
        <v>25017</v>
      </c>
    </row>
    <row r="20">
      <c r="A20" s="332" t="n">
        <v>45686</v>
      </c>
      <c r="B20" s="332" t="n">
        <v>45687</v>
      </c>
      <c r="C20" s="336" t="inlineStr">
        <is>
          <t>Sky Villa</t>
        </is>
      </c>
      <c r="D20" s="334" t="inlineStr">
        <is>
          <t>Michael Sommerhuber</t>
        </is>
      </c>
      <c r="E20" s="334" t="n">
        <v>2</v>
      </c>
      <c r="F20" s="334" t="n">
        <v>3</v>
      </c>
      <c r="G20" s="334" t="inlineStr">
        <is>
          <t>B&amp;B</t>
        </is>
      </c>
      <c r="H20" s="334" t="inlineStr">
        <is>
          <t>Booking.com</t>
        </is>
      </c>
      <c r="I20" s="335" t="n">
        <v>4896</v>
      </c>
    </row>
    <row r="21">
      <c r="A21" s="332" t="n">
        <v>45688</v>
      </c>
      <c r="B21" s="332" t="n">
        <v>45689</v>
      </c>
      <c r="C21" s="336" t="inlineStr">
        <is>
          <t>Sky Villa</t>
        </is>
      </c>
      <c r="D21" s="334" t="inlineStr">
        <is>
          <t>Rafael Stahl</t>
        </is>
      </c>
      <c r="E21" s="334" t="n">
        <v>2</v>
      </c>
      <c r="F21" s="334" t="n">
        <v>2</v>
      </c>
      <c r="G21" s="334" t="inlineStr">
        <is>
          <t>Dinner B&amp;B</t>
        </is>
      </c>
      <c r="H21" s="334" t="inlineStr">
        <is>
          <t>Booking.com</t>
        </is>
      </c>
      <c r="I21" s="335" t="n">
        <v>5998</v>
      </c>
    </row>
    <row r="22">
      <c r="A22" s="332" t="n">
        <v>45690</v>
      </c>
      <c r="B22" s="332" t="n">
        <v>45691</v>
      </c>
      <c r="C22" s="336" t="inlineStr">
        <is>
          <t>Sky Villa</t>
        </is>
      </c>
      <c r="D22" s="334" t="inlineStr">
        <is>
          <t>Inez und Nicole Kruger</t>
        </is>
      </c>
      <c r="E22" s="334" t="n">
        <v>2</v>
      </c>
      <c r="F22" s="334" t="n">
        <v>2</v>
      </c>
      <c r="G22" s="334" t="inlineStr">
        <is>
          <t>Dinner B&amp;B</t>
        </is>
      </c>
      <c r="H22" s="334" t="inlineStr">
        <is>
          <t>Booking.com</t>
        </is>
      </c>
      <c r="I22" s="335" t="n">
        <v>6354</v>
      </c>
    </row>
    <row r="23">
      <c r="A23" s="332" t="n">
        <v>45693</v>
      </c>
      <c r="B23" s="332" t="n">
        <v>45696</v>
      </c>
      <c r="C23" s="336" t="inlineStr">
        <is>
          <t>Sky Villa</t>
        </is>
      </c>
      <c r="D23" s="334" t="inlineStr">
        <is>
          <t>Kelly Thys</t>
        </is>
      </c>
      <c r="E23" s="334" t="n">
        <v>4</v>
      </c>
      <c r="F23" s="334" t="n">
        <v>2</v>
      </c>
      <c r="G23" s="334" t="inlineStr">
        <is>
          <t>Dinner B&amp;B</t>
        </is>
      </c>
      <c r="H23" s="334" t="inlineStr">
        <is>
          <t>Booking.com</t>
        </is>
      </c>
      <c r="I23" s="335" t="n">
        <v>14915</v>
      </c>
    </row>
    <row r="24">
      <c r="A24" s="332" t="n">
        <v>45694</v>
      </c>
      <c r="B24" s="332" t="n">
        <v>45695</v>
      </c>
      <c r="C24" s="333" t="inlineStr">
        <is>
          <t>Remington Villa</t>
        </is>
      </c>
      <c r="D24" s="334" t="inlineStr">
        <is>
          <t>Simone Teodori</t>
        </is>
      </c>
      <c r="E24" s="334" t="n">
        <v>2</v>
      </c>
      <c r="F24" s="334" t="n">
        <v>3</v>
      </c>
      <c r="G24" s="334" t="inlineStr">
        <is>
          <t>B&amp;B</t>
        </is>
      </c>
      <c r="H24" s="334" t="inlineStr">
        <is>
          <t>Own web site</t>
        </is>
      </c>
      <c r="I24" s="335" t="n">
        <v>4400</v>
      </c>
    </row>
    <row r="25">
      <c r="A25" s="332" t="n">
        <v>45697</v>
      </c>
      <c r="B25" s="332" t="n">
        <v>45699</v>
      </c>
      <c r="C25" s="333" t="inlineStr">
        <is>
          <t>Remington Villa</t>
        </is>
      </c>
      <c r="D25" s="334" t="inlineStr">
        <is>
          <t>Elizabeth Puckering</t>
        </is>
      </c>
      <c r="E25" s="334" t="n">
        <v>3</v>
      </c>
      <c r="F25" s="334" t="n">
        <v>2</v>
      </c>
      <c r="G25" s="334" t="inlineStr">
        <is>
          <t>B&amp;B</t>
        </is>
      </c>
      <c r="H25" s="334" t="inlineStr">
        <is>
          <t>Booking.com</t>
        </is>
      </c>
      <c r="I25" s="335" t="n">
        <v>5270</v>
      </c>
    </row>
    <row r="26">
      <c r="A26" s="332" t="n">
        <v>45698</v>
      </c>
      <c r="B26" s="332" t="n">
        <v>45700</v>
      </c>
      <c r="C26" s="336" t="inlineStr">
        <is>
          <t>Sky Villa</t>
        </is>
      </c>
      <c r="D26" s="334" t="inlineStr">
        <is>
          <t>Craig Sinclair</t>
        </is>
      </c>
      <c r="E26" s="334" t="n">
        <v>3</v>
      </c>
      <c r="F26" s="334" t="n">
        <v>2</v>
      </c>
      <c r="G26" s="334" t="inlineStr">
        <is>
          <t>Dinner B&amp;B</t>
        </is>
      </c>
      <c r="H26" s="334" t="inlineStr">
        <is>
          <t>Booking.com</t>
        </is>
      </c>
      <c r="I26" s="335" t="n">
        <v>7603</v>
      </c>
    </row>
    <row r="27">
      <c r="A27" s="332" t="n">
        <v>45700</v>
      </c>
      <c r="B27" s="332" t="n">
        <v>45702</v>
      </c>
      <c r="C27" s="333" t="inlineStr">
        <is>
          <t>Remington Villa</t>
        </is>
      </c>
      <c r="D27" s="334" t="inlineStr">
        <is>
          <t>Kartika Sidabutar</t>
        </is>
      </c>
      <c r="E27" s="334" t="n">
        <v>3</v>
      </c>
      <c r="F27" s="334" t="n">
        <v>4</v>
      </c>
      <c r="G27" s="334" t="inlineStr">
        <is>
          <t>Dinner B&amp;B</t>
        </is>
      </c>
      <c r="H27" s="334" t="inlineStr">
        <is>
          <t>Own web site</t>
        </is>
      </c>
      <c r="I27" s="335" t="n">
        <v>9600</v>
      </c>
    </row>
    <row r="28">
      <c r="A28" s="332" t="n">
        <v>45701</v>
      </c>
      <c r="B28" s="332" t="n">
        <v>45702</v>
      </c>
      <c r="C28" s="336" t="inlineStr">
        <is>
          <t>Sky Villa</t>
        </is>
      </c>
      <c r="D28" s="334" t="inlineStr">
        <is>
          <t>Jonas Bouwer</t>
        </is>
      </c>
      <c r="E28" s="334" t="n">
        <v>2</v>
      </c>
      <c r="F28" s="334" t="n">
        <v>2</v>
      </c>
      <c r="G28" s="334" t="inlineStr">
        <is>
          <t>B&amp;B</t>
        </is>
      </c>
      <c r="H28" s="334" t="inlineStr">
        <is>
          <t>Booking.com</t>
        </is>
      </c>
      <c r="I28" s="335" t="n">
        <v>3763</v>
      </c>
    </row>
    <row r="29">
      <c r="A29" s="332" t="n">
        <v>45703</v>
      </c>
      <c r="B29" s="332" t="n">
        <v>45703</v>
      </c>
      <c r="C29" s="336" t="inlineStr">
        <is>
          <t>Sky Villa</t>
        </is>
      </c>
      <c r="D29" s="334" t="inlineStr">
        <is>
          <t>Kartika Sidabutar</t>
        </is>
      </c>
      <c r="E29" s="334" t="n">
        <v>1</v>
      </c>
      <c r="F29" s="334" t="n">
        <v>4</v>
      </c>
      <c r="G29" s="334" t="inlineStr">
        <is>
          <t>Dinner B&amp;B</t>
        </is>
      </c>
      <c r="H29" s="334" t="inlineStr">
        <is>
          <t>Own web site</t>
        </is>
      </c>
      <c r="I29" s="335" t="n">
        <v>3200</v>
      </c>
    </row>
    <row r="30">
      <c r="A30" s="332" t="n">
        <v>45703</v>
      </c>
      <c r="B30" s="332" t="n">
        <v>45707</v>
      </c>
      <c r="C30" s="333" t="inlineStr">
        <is>
          <t>Remington Villa</t>
        </is>
      </c>
      <c r="D30" s="334" t="inlineStr">
        <is>
          <t>Annika Schwehn</t>
        </is>
      </c>
      <c r="E30" s="334" t="n">
        <v>5</v>
      </c>
      <c r="F30" s="334" t="n">
        <v>2</v>
      </c>
      <c r="G30" s="334" t="inlineStr">
        <is>
          <t>B&amp;B</t>
        </is>
      </c>
      <c r="H30" s="334" t="inlineStr">
        <is>
          <t>Booking.com</t>
        </is>
      </c>
      <c r="I30" s="335" t="n">
        <v>12480</v>
      </c>
    </row>
    <row r="31">
      <c r="A31" s="332" t="n">
        <v>45704</v>
      </c>
      <c r="B31" s="332" t="n">
        <v>45704</v>
      </c>
      <c r="C31" s="336" t="inlineStr">
        <is>
          <t>Sky Villa</t>
        </is>
      </c>
      <c r="D31" s="334" t="inlineStr">
        <is>
          <t>Camille FILLIA</t>
        </is>
      </c>
      <c r="E31" s="334" t="n">
        <v>1</v>
      </c>
      <c r="F31" s="334" t="n">
        <v>2</v>
      </c>
      <c r="G31" s="334" t="inlineStr">
        <is>
          <t>Dinner B&amp;B</t>
        </is>
      </c>
      <c r="H31" s="334" t="inlineStr">
        <is>
          <t>Booking.com</t>
        </is>
      </c>
      <c r="I31" s="335" t="n">
        <v>2071</v>
      </c>
    </row>
    <row r="32">
      <c r="A32" s="332" t="n">
        <v>45707</v>
      </c>
      <c r="B32" s="332" t="n">
        <v>45707</v>
      </c>
      <c r="C32" s="336" t="inlineStr">
        <is>
          <t>Sky Villa</t>
        </is>
      </c>
      <c r="D32" s="334" t="inlineStr">
        <is>
          <t>van Lankeren Nancy</t>
        </is>
      </c>
      <c r="E32" s="334" t="n">
        <v>1</v>
      </c>
      <c r="F32" s="334" t="n">
        <v>4</v>
      </c>
      <c r="G32" s="334" t="inlineStr">
        <is>
          <t>Dinner B&amp;B</t>
        </is>
      </c>
      <c r="H32" s="334" t="inlineStr">
        <is>
          <t>Booking.com</t>
        </is>
      </c>
      <c r="I32" s="335" t="n">
        <v>3283</v>
      </c>
    </row>
    <row r="33">
      <c r="A33" s="332" t="n">
        <v>45708</v>
      </c>
      <c r="B33" s="332" t="n">
        <v>45709</v>
      </c>
      <c r="C33" s="336" t="inlineStr">
        <is>
          <t>Sky Villa</t>
        </is>
      </c>
      <c r="D33" s="334" t="inlineStr">
        <is>
          <t>Julia Welz</t>
        </is>
      </c>
      <c r="E33" s="334" t="n">
        <v>2</v>
      </c>
      <c r="F33" s="334" t="n">
        <v>3</v>
      </c>
      <c r="G33" s="334" t="inlineStr">
        <is>
          <t>B&amp;B</t>
        </is>
      </c>
      <c r="H33" s="334" t="inlineStr">
        <is>
          <t>Booking.com</t>
        </is>
      </c>
      <c r="I33" s="335" t="n">
        <v>6696</v>
      </c>
    </row>
    <row r="34">
      <c r="A34" s="332" t="n">
        <v>45709</v>
      </c>
      <c r="B34" s="332" t="n">
        <v>45710</v>
      </c>
      <c r="C34" s="333" t="inlineStr">
        <is>
          <t>Remington Villa</t>
        </is>
      </c>
      <c r="D34" s="334" t="inlineStr">
        <is>
          <t>Elena Haid</t>
        </is>
      </c>
      <c r="E34" s="334" t="n">
        <v>2</v>
      </c>
      <c r="F34" s="334" t="n">
        <v>2</v>
      </c>
      <c r="G34" s="334" t="inlineStr">
        <is>
          <t>B&amp;B</t>
        </is>
      </c>
      <c r="H34" s="334" t="inlineStr">
        <is>
          <t>Booking.com</t>
        </is>
      </c>
      <c r="I34" s="335" t="n">
        <v>4767</v>
      </c>
    </row>
    <row r="35">
      <c r="A35" s="332" t="n">
        <v>45711</v>
      </c>
      <c r="B35" s="332" t="n">
        <v>45714</v>
      </c>
      <c r="C35" s="336" t="inlineStr">
        <is>
          <t>Sky Villa</t>
        </is>
      </c>
      <c r="D35" s="334" t="inlineStr">
        <is>
          <t>Frank Peters</t>
        </is>
      </c>
      <c r="E35" s="334" t="n">
        <v>4</v>
      </c>
      <c r="F35" s="334" t="n">
        <v>2</v>
      </c>
      <c r="G35" s="334" t="inlineStr">
        <is>
          <t>B&amp;B</t>
        </is>
      </c>
      <c r="H35" s="334" t="inlineStr">
        <is>
          <t>Booking.com</t>
        </is>
      </c>
      <c r="I35" s="335" t="n">
        <v>8633</v>
      </c>
    </row>
    <row r="36">
      <c r="A36" s="332" t="n">
        <v>45711</v>
      </c>
      <c r="B36" s="332" t="n">
        <v>45715</v>
      </c>
      <c r="C36" s="333" t="inlineStr">
        <is>
          <t>Remington Villa</t>
        </is>
      </c>
      <c r="D36" s="334" t="inlineStr">
        <is>
          <t>Maudi Ramaboea</t>
        </is>
      </c>
      <c r="E36" s="334" t="n">
        <v>5</v>
      </c>
      <c r="F36" s="334" t="n">
        <v>2</v>
      </c>
      <c r="G36" s="334" t="inlineStr">
        <is>
          <t>B&amp;B</t>
        </is>
      </c>
      <c r="H36" s="334" t="inlineStr">
        <is>
          <t>Booking.com</t>
        </is>
      </c>
      <c r="I36" s="335" t="n">
        <v>8784</v>
      </c>
    </row>
    <row r="37">
      <c r="A37" s="332" t="n">
        <v>45715</v>
      </c>
      <c r="B37" s="332" t="n">
        <v>45717</v>
      </c>
      <c r="C37" s="336" t="inlineStr">
        <is>
          <t>Sky Villa</t>
        </is>
      </c>
      <c r="D37" s="334" t="inlineStr">
        <is>
          <t>Birgit Reinhardt</t>
        </is>
      </c>
      <c r="E37" s="334" t="n">
        <v>3</v>
      </c>
      <c r="F37" s="334" t="n">
        <v>2</v>
      </c>
      <c r="G37" s="334" t="inlineStr">
        <is>
          <t>Dinner B&amp;B</t>
        </is>
      </c>
      <c r="H37" s="334" t="inlineStr">
        <is>
          <t>Booking.com</t>
        </is>
      </c>
      <c r="I37" s="335" t="n">
        <v>7114</v>
      </c>
    </row>
    <row r="38">
      <c r="A38" s="332" t="n">
        <v>45716</v>
      </c>
      <c r="B38" s="332" t="n">
        <v>45716</v>
      </c>
      <c r="C38" s="333" t="inlineStr">
        <is>
          <t>Remington Villa</t>
        </is>
      </c>
      <c r="D38" s="334" t="inlineStr">
        <is>
          <t>Andreas Furtmeier</t>
        </is>
      </c>
      <c r="E38" s="334" t="n">
        <v>1</v>
      </c>
      <c r="F38" s="334" t="n">
        <v>2</v>
      </c>
      <c r="G38" s="334" t="inlineStr">
        <is>
          <t>B&amp;B</t>
        </is>
      </c>
      <c r="H38" s="334" t="inlineStr">
        <is>
          <t>Booking.com</t>
        </is>
      </c>
      <c r="I38" s="335" t="n">
        <v>2219</v>
      </c>
    </row>
    <row r="39">
      <c r="A39" s="332" t="n">
        <v>45719</v>
      </c>
      <c r="B39" s="332" t="n">
        <v>45721</v>
      </c>
      <c r="C39" s="336" t="inlineStr">
        <is>
          <t>Sky Villa</t>
        </is>
      </c>
      <c r="D39" s="334" t="inlineStr">
        <is>
          <t>Lois Massiel</t>
        </is>
      </c>
      <c r="E39" s="334" t="n">
        <v>3</v>
      </c>
      <c r="F39" s="334" t="n">
        <v>4</v>
      </c>
      <c r="G39" s="334" t="inlineStr">
        <is>
          <t>Dinner B&amp;B</t>
        </is>
      </c>
      <c r="H39" s="334" t="inlineStr">
        <is>
          <t>Booking.com</t>
        </is>
      </c>
      <c r="I39" s="335" t="n">
        <v>13954</v>
      </c>
    </row>
    <row r="40">
      <c r="A40" s="332" t="n">
        <v>45721</v>
      </c>
      <c r="B40" s="332" t="n">
        <v>45723</v>
      </c>
      <c r="C40" s="333" t="inlineStr">
        <is>
          <t>Remington Villa</t>
        </is>
      </c>
      <c r="D40" s="334" t="inlineStr">
        <is>
          <t>Karina Fridas</t>
        </is>
      </c>
      <c r="E40" s="334" t="n">
        <v>3</v>
      </c>
      <c r="F40" s="334" t="n">
        <v>4</v>
      </c>
      <c r="G40" s="334" t="inlineStr">
        <is>
          <t>Dinner B&amp;B</t>
        </is>
      </c>
      <c r="H40" s="334" t="inlineStr">
        <is>
          <t>Booking.com</t>
        </is>
      </c>
      <c r="I40" s="335" t="n">
        <v>13577</v>
      </c>
    </row>
    <row r="41">
      <c r="A41" s="332" t="n">
        <v>45722</v>
      </c>
      <c r="B41" s="332" t="n">
        <v>45724</v>
      </c>
      <c r="C41" s="336" t="inlineStr">
        <is>
          <t>Sky Villa</t>
        </is>
      </c>
      <c r="D41" s="334" t="inlineStr">
        <is>
          <t>Martin Klarner</t>
        </is>
      </c>
      <c r="E41" s="334" t="n">
        <v>3</v>
      </c>
      <c r="F41" s="334" t="n">
        <v>2</v>
      </c>
      <c r="G41" s="334" t="inlineStr">
        <is>
          <t>B&amp;B</t>
        </is>
      </c>
      <c r="H41" s="334" t="inlineStr">
        <is>
          <t>Booking.com</t>
        </is>
      </c>
      <c r="I41" s="335" t="n">
        <v>5731</v>
      </c>
    </row>
    <row r="42">
      <c r="A42" s="332" t="n">
        <v>45725</v>
      </c>
      <c r="B42" s="332" t="n">
        <v>45727</v>
      </c>
      <c r="C42" s="333" t="inlineStr">
        <is>
          <t>Remington Villa</t>
        </is>
      </c>
      <c r="D42" s="334" t="inlineStr">
        <is>
          <t>robbie linschoten</t>
        </is>
      </c>
      <c r="E42" s="334" t="n">
        <v>3</v>
      </c>
      <c r="F42" s="334" t="n">
        <v>2</v>
      </c>
      <c r="G42" s="334" t="inlineStr">
        <is>
          <t>B&amp;B</t>
        </is>
      </c>
      <c r="H42" s="334" t="inlineStr">
        <is>
          <t>Booking.com</t>
        </is>
      </c>
      <c r="I42" s="335" t="n">
        <v>5270</v>
      </c>
    </row>
    <row r="43">
      <c r="A43" s="332" t="n">
        <v>45726</v>
      </c>
      <c r="B43" s="332" t="n">
        <v>45726</v>
      </c>
      <c r="C43" s="336" t="inlineStr">
        <is>
          <t>Sky Villa</t>
        </is>
      </c>
      <c r="D43" s="334" t="inlineStr">
        <is>
          <t>Rutger Dijkstra</t>
        </is>
      </c>
      <c r="E43" s="334" t="n">
        <v>1</v>
      </c>
      <c r="F43" s="334" t="n">
        <v>2</v>
      </c>
      <c r="G43" s="334" t="inlineStr">
        <is>
          <t>B&amp;B</t>
        </is>
      </c>
      <c r="H43" s="334" t="inlineStr">
        <is>
          <t>Booking.com</t>
        </is>
      </c>
      <c r="I43" s="335" t="n">
        <v>2494</v>
      </c>
    </row>
    <row r="44">
      <c r="A44" s="332" t="n">
        <v>45727</v>
      </c>
      <c r="B44" s="332" t="n">
        <v>45730</v>
      </c>
      <c r="C44" s="336" t="inlineStr">
        <is>
          <t>Sky Villa</t>
        </is>
      </c>
      <c r="D44" s="334" t="inlineStr">
        <is>
          <t>GEOFF HEALD</t>
        </is>
      </c>
      <c r="E44" s="334" t="n">
        <v>4</v>
      </c>
      <c r="F44" s="334" t="n">
        <v>2</v>
      </c>
      <c r="G44" s="334" t="inlineStr">
        <is>
          <t>B&amp;B</t>
        </is>
      </c>
      <c r="H44" s="334" t="inlineStr">
        <is>
          <t>Booking.com</t>
        </is>
      </c>
      <c r="I44" s="335" t="n">
        <v>8944</v>
      </c>
    </row>
    <row r="45">
      <c r="A45" s="332" t="n">
        <v>45729</v>
      </c>
      <c r="B45" s="332" t="n">
        <v>45732</v>
      </c>
      <c r="C45" s="333" t="inlineStr">
        <is>
          <t>Remington Villa</t>
        </is>
      </c>
      <c r="D45" s="334" t="inlineStr">
        <is>
          <t>Jean-Paul Mouton</t>
        </is>
      </c>
      <c r="E45" s="334" t="n">
        <v>4</v>
      </c>
      <c r="F45" s="334" t="n">
        <v>2</v>
      </c>
      <c r="G45" s="334" t="inlineStr">
        <is>
          <t>Dinner B&amp;B</t>
        </is>
      </c>
      <c r="H45" s="334" t="inlineStr">
        <is>
          <t>Booking.com</t>
        </is>
      </c>
      <c r="I45" s="335" t="n">
        <v>11405</v>
      </c>
    </row>
    <row r="46">
      <c r="A46" s="332" t="n">
        <v>45731</v>
      </c>
      <c r="B46" s="332" t="n">
        <v>45737</v>
      </c>
      <c r="C46" s="336" t="inlineStr">
        <is>
          <t>Sky Villa</t>
        </is>
      </c>
      <c r="D46" s="334" t="inlineStr">
        <is>
          <t>Trace MacArthur</t>
        </is>
      </c>
      <c r="E46" s="334" t="n">
        <v>7</v>
      </c>
      <c r="F46" s="334" t="n">
        <v>2</v>
      </c>
      <c r="G46" s="334" t="inlineStr">
        <is>
          <t>B&amp;B</t>
        </is>
      </c>
      <c r="H46" s="334" t="inlineStr">
        <is>
          <t>Booking.com</t>
        </is>
      </c>
      <c r="I46" s="335" t="n">
        <v>15208</v>
      </c>
    </row>
    <row r="47">
      <c r="A47" s="332" t="n">
        <v>45733</v>
      </c>
      <c r="B47" s="332" t="n">
        <v>45734</v>
      </c>
      <c r="C47" s="333" t="inlineStr">
        <is>
          <t>Remington Villa</t>
        </is>
      </c>
      <c r="D47" s="334" t="inlineStr">
        <is>
          <t>ARIK KRAUSE</t>
        </is>
      </c>
      <c r="E47" s="334" t="n">
        <v>2</v>
      </c>
      <c r="F47" s="334" t="n">
        <v>2</v>
      </c>
      <c r="G47" s="334" t="inlineStr">
        <is>
          <t>B&amp;B</t>
        </is>
      </c>
      <c r="H47" s="334" t="inlineStr">
        <is>
          <t>Booking.com</t>
        </is>
      </c>
      <c r="I47" s="335" t="n">
        <v>3998</v>
      </c>
    </row>
    <row r="48">
      <c r="A48" s="332" t="n">
        <v>45735</v>
      </c>
      <c r="B48" s="332" t="n">
        <v>45738</v>
      </c>
      <c r="C48" s="333" t="inlineStr">
        <is>
          <t>Remington Villa</t>
        </is>
      </c>
      <c r="D48" s="334" t="inlineStr">
        <is>
          <t>Shonisani Tshigomana</t>
        </is>
      </c>
      <c r="E48" s="334" t="n">
        <v>4</v>
      </c>
      <c r="F48" s="334" t="n">
        <v>2</v>
      </c>
      <c r="G48" s="334" t="inlineStr">
        <is>
          <t>B&amp;B</t>
        </is>
      </c>
      <c r="H48" s="334" t="inlineStr">
        <is>
          <t>Booking.com</t>
        </is>
      </c>
      <c r="I48" s="335" t="n">
        <v>8871</v>
      </c>
    </row>
    <row r="49">
      <c r="A49" s="332" t="n">
        <v>45738</v>
      </c>
      <c r="B49" s="332" t="n">
        <v>45740</v>
      </c>
      <c r="C49" s="336" t="inlineStr">
        <is>
          <t>Sky Villa</t>
        </is>
      </c>
      <c r="D49" s="334" t="inlineStr">
        <is>
          <t>Alexander Grosser</t>
        </is>
      </c>
      <c r="E49" s="334" t="n">
        <v>3</v>
      </c>
      <c r="F49" s="334" t="n">
        <v>2</v>
      </c>
      <c r="G49" s="334" t="inlineStr">
        <is>
          <t>Dinner B&amp;B</t>
        </is>
      </c>
      <c r="H49" s="334" t="inlineStr">
        <is>
          <t>Booking.com</t>
        </is>
      </c>
      <c r="I49" s="335" t="n">
        <v>10032</v>
      </c>
    </row>
    <row r="50">
      <c r="A50" s="332" t="n">
        <v>45739</v>
      </c>
      <c r="B50" s="332" t="n">
        <v>45740</v>
      </c>
      <c r="C50" s="333" t="inlineStr">
        <is>
          <t>Remington Villa</t>
        </is>
      </c>
      <c r="D50" s="334" t="inlineStr">
        <is>
          <t>Daniela Figueiredo</t>
        </is>
      </c>
      <c r="E50" s="334" t="n">
        <v>2</v>
      </c>
      <c r="F50" s="334" t="n">
        <v>2</v>
      </c>
      <c r="G50" s="334" t="inlineStr">
        <is>
          <t>B&amp;B</t>
        </is>
      </c>
      <c r="H50" s="334" t="inlineStr">
        <is>
          <t>Booking.com</t>
        </is>
      </c>
      <c r="I50" s="335" t="n">
        <v>3998</v>
      </c>
    </row>
    <row r="51">
      <c r="A51" s="332" t="n">
        <v>45741</v>
      </c>
      <c r="B51" s="332" t="n">
        <v>45743</v>
      </c>
      <c r="C51" s="333" t="inlineStr">
        <is>
          <t>Remington Villa</t>
        </is>
      </c>
      <c r="D51" s="334" t="inlineStr">
        <is>
          <t>Svetlana Utkina</t>
        </is>
      </c>
      <c r="E51" s="334" t="n">
        <v>3</v>
      </c>
      <c r="F51" s="334" t="n">
        <v>3</v>
      </c>
      <c r="G51" s="334" t="inlineStr">
        <is>
          <t>B&amp;B</t>
        </is>
      </c>
      <c r="H51" s="334" t="inlineStr">
        <is>
          <t>Booking.com</t>
        </is>
      </c>
      <c r="I51" s="335" t="n">
        <v>8300</v>
      </c>
    </row>
    <row r="52">
      <c r="A52" s="332" t="n">
        <v>45741</v>
      </c>
      <c r="B52" s="332" t="n">
        <v>45744</v>
      </c>
      <c r="C52" s="336" t="inlineStr">
        <is>
          <t>Sky Villa</t>
        </is>
      </c>
      <c r="D52" s="334" t="inlineStr">
        <is>
          <t>Corinda Rozeboom e.v. Hofm</t>
        </is>
      </c>
      <c r="E52" s="334" t="n">
        <v>4</v>
      </c>
      <c r="F52" s="334" t="n">
        <v>2</v>
      </c>
      <c r="G52" s="334" t="inlineStr">
        <is>
          <t>B&amp;B</t>
        </is>
      </c>
      <c r="H52" s="334" t="inlineStr">
        <is>
          <t>Booking.com</t>
        </is>
      </c>
      <c r="I52" s="335" t="n">
        <v>11934</v>
      </c>
    </row>
    <row r="53">
      <c r="A53" s="332" t="n">
        <v>45745</v>
      </c>
      <c r="B53" s="332" t="n">
        <v>45747</v>
      </c>
      <c r="C53" s="333" t="inlineStr">
        <is>
          <t>Remington Villa</t>
        </is>
      </c>
      <c r="D53" s="334" t="inlineStr">
        <is>
          <t>Bernhard Bolinius</t>
        </is>
      </c>
      <c r="E53" s="334" t="n">
        <v>3</v>
      </c>
      <c r="F53" s="334" t="n">
        <v>4</v>
      </c>
      <c r="G53" s="334" t="inlineStr">
        <is>
          <t>Dinner B&amp;B</t>
        </is>
      </c>
      <c r="H53" s="334" t="inlineStr">
        <is>
          <t>Booking.com</t>
        </is>
      </c>
      <c r="I53" s="335" t="n">
        <v>15276</v>
      </c>
    </row>
    <row r="54">
      <c r="A54" s="332" t="n">
        <v>45745</v>
      </c>
      <c r="B54" s="332" t="n">
        <v>45747</v>
      </c>
      <c r="C54" s="336" t="inlineStr">
        <is>
          <t>Sky Villa</t>
        </is>
      </c>
      <c r="D54" s="334" t="inlineStr">
        <is>
          <t>Eva Seko</t>
        </is>
      </c>
      <c r="E54" s="334" t="n">
        <v>3</v>
      </c>
      <c r="F54" s="334" t="n">
        <v>3</v>
      </c>
      <c r="G54" s="334" t="inlineStr">
        <is>
          <t>Dinner B&amp;B</t>
        </is>
      </c>
      <c r="H54" s="334" t="inlineStr">
        <is>
          <t>Booking.com</t>
        </is>
      </c>
      <c r="I54" s="335" t="n">
        <v>11831</v>
      </c>
    </row>
    <row r="55">
      <c r="A55" s="332" t="n">
        <v>45749</v>
      </c>
      <c r="B55" s="332" t="n">
        <v>45750</v>
      </c>
      <c r="C55" s="333" t="inlineStr">
        <is>
          <t>Remington Villa</t>
        </is>
      </c>
      <c r="D55" s="334" t="inlineStr">
        <is>
          <t>Anna Auberger</t>
        </is>
      </c>
      <c r="E55" s="334" t="n">
        <v>2</v>
      </c>
      <c r="F55" s="334" t="n">
        <v>3</v>
      </c>
      <c r="G55" s="334" t="inlineStr">
        <is>
          <t>B&amp;B</t>
        </is>
      </c>
      <c r="H55" s="334" t="inlineStr">
        <is>
          <t>Booking.com</t>
        </is>
      </c>
      <c r="I55" s="335" t="n">
        <v>4910</v>
      </c>
    </row>
    <row r="56">
      <c r="A56" s="332" t="n">
        <v>45749</v>
      </c>
      <c r="B56" s="332" t="n">
        <v>45751</v>
      </c>
      <c r="C56" s="336" t="inlineStr">
        <is>
          <t>Sky Villa</t>
        </is>
      </c>
      <c r="D56" s="334" t="inlineStr">
        <is>
          <t>Katharina Schwegmann</t>
        </is>
      </c>
      <c r="E56" s="334" t="n">
        <v>3</v>
      </c>
      <c r="F56" s="334" t="n">
        <v>2</v>
      </c>
      <c r="G56" s="334" t="inlineStr">
        <is>
          <t>B&amp;B</t>
        </is>
      </c>
      <c r="H56" s="334" t="inlineStr">
        <is>
          <t>Booking.com</t>
        </is>
      </c>
      <c r="I56" s="335" t="n">
        <v>6260</v>
      </c>
    </row>
    <row r="57">
      <c r="A57" s="332" t="n">
        <v>45751</v>
      </c>
      <c r="B57" s="332" t="n">
        <v>45752</v>
      </c>
      <c r="C57" s="333" t="inlineStr">
        <is>
          <t>Remington Villa</t>
        </is>
      </c>
      <c r="D57" s="334" t="inlineStr">
        <is>
          <t>makhosazana Dludlu</t>
        </is>
      </c>
      <c r="E57" s="334" t="n">
        <v>2</v>
      </c>
      <c r="F57" s="334" t="n">
        <v>2</v>
      </c>
      <c r="G57" s="334" t="inlineStr">
        <is>
          <t>B&amp;B</t>
        </is>
      </c>
      <c r="H57" s="334" t="inlineStr">
        <is>
          <t>Own web site</t>
        </is>
      </c>
      <c r="I57" s="335" t="n">
        <v>4000</v>
      </c>
    </row>
    <row r="58">
      <c r="A58" s="332" t="n">
        <v>45753</v>
      </c>
      <c r="B58" s="332" t="n">
        <v>45756</v>
      </c>
      <c r="C58" s="333" t="inlineStr">
        <is>
          <t>Remington Villa</t>
        </is>
      </c>
      <c r="D58" s="334" t="inlineStr">
        <is>
          <t>Scott Towler</t>
        </is>
      </c>
      <c r="E58" s="334" t="n">
        <v>4</v>
      </c>
      <c r="F58" s="334" t="n">
        <v>2</v>
      </c>
      <c r="G58" s="334" t="inlineStr">
        <is>
          <t>B&amp;B</t>
        </is>
      </c>
      <c r="H58" s="334" t="inlineStr">
        <is>
          <t>Booking.com</t>
        </is>
      </c>
      <c r="I58" s="335" t="n">
        <v>11856</v>
      </c>
    </row>
    <row r="59">
      <c r="A59" s="332" t="n">
        <v>45754</v>
      </c>
      <c r="B59" s="332" t="n">
        <v>45758</v>
      </c>
      <c r="C59" s="336" t="inlineStr">
        <is>
          <t>Sky Villa</t>
        </is>
      </c>
      <c r="D59" s="334" t="inlineStr">
        <is>
          <t>Sam de Spiegelaere</t>
        </is>
      </c>
      <c r="E59" s="334" t="n">
        <v>5</v>
      </c>
      <c r="F59" s="334" t="n">
        <v>4</v>
      </c>
      <c r="G59" s="334" t="inlineStr">
        <is>
          <t>Dinner B&amp;B</t>
        </is>
      </c>
      <c r="H59" s="334" t="inlineStr">
        <is>
          <t>Own web site</t>
        </is>
      </c>
      <c r="I59" s="335" t="n">
        <v>22000</v>
      </c>
    </row>
    <row r="60">
      <c r="A60" s="332" t="n">
        <v>45759</v>
      </c>
      <c r="B60" s="332" t="n">
        <v>45759</v>
      </c>
      <c r="C60" s="333" t="inlineStr">
        <is>
          <t>Remington Villa</t>
        </is>
      </c>
      <c r="D60" s="334" t="inlineStr">
        <is>
          <t>Adriaan Botha</t>
        </is>
      </c>
      <c r="E60" s="334" t="n">
        <v>1</v>
      </c>
      <c r="F60" s="334" t="n">
        <v>3</v>
      </c>
      <c r="G60" s="334" t="inlineStr">
        <is>
          <t>Dinner B&amp;B</t>
        </is>
      </c>
      <c r="H60" s="334" t="inlineStr">
        <is>
          <t>Booking.com</t>
        </is>
      </c>
      <c r="I60" s="335" t="n">
        <v>4693</v>
      </c>
    </row>
    <row r="61">
      <c r="A61" s="332" t="n">
        <v>45760</v>
      </c>
      <c r="B61" s="332" t="n">
        <v>45761</v>
      </c>
      <c r="C61" s="333" t="inlineStr">
        <is>
          <t>Remington Villa</t>
        </is>
      </c>
      <c r="D61" s="334" t="inlineStr">
        <is>
          <t>Florent Palin</t>
        </is>
      </c>
      <c r="E61" s="334" t="n">
        <v>2</v>
      </c>
      <c r="F61" s="334" t="n">
        <v>3</v>
      </c>
      <c r="G61" s="334" t="inlineStr">
        <is>
          <t>B&amp;B</t>
        </is>
      </c>
      <c r="H61" s="334" t="inlineStr">
        <is>
          <t>Booking.com</t>
        </is>
      </c>
      <c r="I61" s="335" t="n">
        <v>5264</v>
      </c>
    </row>
    <row r="62">
      <c r="A62" s="332" t="n">
        <v>45762</v>
      </c>
      <c r="B62" s="332" t="n">
        <v>45763</v>
      </c>
      <c r="C62" s="336" t="inlineStr">
        <is>
          <t>Sky Villa</t>
        </is>
      </c>
      <c r="D62" s="334" t="inlineStr">
        <is>
          <t>Florence Desvernois</t>
        </is>
      </c>
      <c r="E62" s="334" t="n">
        <v>2</v>
      </c>
      <c r="F62" s="334" t="n">
        <v>2</v>
      </c>
      <c r="G62" s="334" t="inlineStr">
        <is>
          <t>B&amp;B</t>
        </is>
      </c>
      <c r="H62" s="334" t="inlineStr">
        <is>
          <t>Booking.com</t>
        </is>
      </c>
      <c r="I62" s="335" t="n">
        <v>4439</v>
      </c>
    </row>
    <row r="63">
      <c r="A63" s="332" t="n">
        <v>45764</v>
      </c>
      <c r="B63" s="332" t="n">
        <v>45765</v>
      </c>
      <c r="C63" s="333" t="inlineStr">
        <is>
          <t>Remington Villa</t>
        </is>
      </c>
      <c r="D63" s="334" t="inlineStr">
        <is>
          <t>Philippe</t>
        </is>
      </c>
      <c r="E63" s="334" t="n">
        <v>2</v>
      </c>
      <c r="F63" s="334" t="n">
        <v>4</v>
      </c>
      <c r="G63" s="334" t="inlineStr">
        <is>
          <t>Dinner B&amp;B</t>
        </is>
      </c>
      <c r="H63" s="334" t="inlineStr">
        <is>
          <t>Own web site</t>
        </is>
      </c>
      <c r="I63" s="335" t="n">
        <v>7360</v>
      </c>
    </row>
    <row r="64">
      <c r="A64" s="332" t="n">
        <v>45764</v>
      </c>
      <c r="B64" s="332" t="n">
        <v>45766</v>
      </c>
      <c r="C64" s="336" t="inlineStr">
        <is>
          <t>Sky Villa</t>
        </is>
      </c>
      <c r="D64" s="334" t="inlineStr">
        <is>
          <t>Brendan Fletcher</t>
        </is>
      </c>
      <c r="E64" s="334" t="n">
        <v>3</v>
      </c>
      <c r="F64" s="334" t="n">
        <v>4</v>
      </c>
      <c r="G64" s="334" t="inlineStr">
        <is>
          <t>B&amp;B</t>
        </is>
      </c>
      <c r="H64" s="334" t="inlineStr">
        <is>
          <t>Booking.com</t>
        </is>
      </c>
      <c r="I64" s="335" t="n">
        <v>8618</v>
      </c>
    </row>
    <row r="65">
      <c r="A65" s="332" t="n">
        <v>45766</v>
      </c>
      <c r="B65" s="332" t="n">
        <v>45766</v>
      </c>
      <c r="C65" s="333" t="inlineStr">
        <is>
          <t>Remington Villa</t>
        </is>
      </c>
      <c r="D65" s="334" t="inlineStr">
        <is>
          <t>Jort Lola</t>
        </is>
      </c>
      <c r="E65" s="334" t="n">
        <v>1</v>
      </c>
      <c r="F65" s="334" t="n">
        <v>4</v>
      </c>
      <c r="G65" s="334" t="inlineStr">
        <is>
          <t>Dinner B&amp;B</t>
        </is>
      </c>
      <c r="H65" s="334" t="inlineStr">
        <is>
          <t>Booking.com</t>
        </is>
      </c>
      <c r="I65" s="335" t="n">
        <v>6030</v>
      </c>
    </row>
    <row r="66">
      <c r="A66" s="332" t="n">
        <v>45767</v>
      </c>
      <c r="B66" s="332" t="n">
        <v>45767</v>
      </c>
      <c r="C66" s="336" t="inlineStr">
        <is>
          <t>Sky Villa</t>
        </is>
      </c>
      <c r="D66" s="334" t="inlineStr">
        <is>
          <t>Nikola Loerzer</t>
        </is>
      </c>
      <c r="E66" s="334" t="n">
        <v>1</v>
      </c>
      <c r="F66" s="334" t="n">
        <v>4</v>
      </c>
      <c r="G66" s="334" t="inlineStr">
        <is>
          <t>B&amp;B</t>
        </is>
      </c>
      <c r="H66" s="334" t="inlineStr">
        <is>
          <t>Booking.com</t>
        </is>
      </c>
      <c r="I66" s="335" t="n">
        <v>3162</v>
      </c>
    </row>
    <row r="67">
      <c r="A67" s="332" t="n">
        <v>45767</v>
      </c>
      <c r="B67" s="332" t="n">
        <v>45767</v>
      </c>
      <c r="C67" s="333" t="inlineStr">
        <is>
          <t>Remington Villa</t>
        </is>
      </c>
      <c r="D67" s="334" t="inlineStr">
        <is>
          <t>Nikola Loerzer</t>
        </is>
      </c>
      <c r="E67" s="334" t="n">
        <v>1</v>
      </c>
      <c r="F67" s="334" t="n">
        <v>4</v>
      </c>
      <c r="G67" s="334" t="inlineStr">
        <is>
          <t>B&amp;B</t>
        </is>
      </c>
      <c r="H67" s="334" t="inlineStr">
        <is>
          <t>Booking.com</t>
        </is>
      </c>
      <c r="I67" s="335" t="n">
        <v>3162</v>
      </c>
    </row>
    <row r="68">
      <c r="A68" s="332" t="n">
        <v>45768</v>
      </c>
      <c r="B68" s="332" t="n">
        <v>45769</v>
      </c>
      <c r="C68" s="336" t="inlineStr">
        <is>
          <t>Sky Villa</t>
        </is>
      </c>
      <c r="D68" s="334" t="inlineStr">
        <is>
          <t>Andreas Aichinger</t>
        </is>
      </c>
      <c r="E68" s="334" t="n">
        <v>2</v>
      </c>
      <c r="F68" s="334" t="n">
        <v>2</v>
      </c>
      <c r="G68" s="334" t="inlineStr">
        <is>
          <t>B&amp;B</t>
        </is>
      </c>
      <c r="H68" s="334" t="inlineStr">
        <is>
          <t>Booking.com</t>
        </is>
      </c>
      <c r="I68" s="335" t="n">
        <v>4507</v>
      </c>
    </row>
    <row r="69">
      <c r="A69" s="332" t="n">
        <v>45768</v>
      </c>
      <c r="B69" s="332" t="n">
        <v>45771</v>
      </c>
      <c r="C69" s="333" t="inlineStr">
        <is>
          <t>Remington Villa</t>
        </is>
      </c>
      <c r="D69" s="334" t="inlineStr">
        <is>
          <t>Ulf Merschmann</t>
        </is>
      </c>
      <c r="E69" s="334" t="n">
        <v>4</v>
      </c>
      <c r="F69" s="334" t="n">
        <v>4</v>
      </c>
      <c r="G69" s="334" t="inlineStr">
        <is>
          <t>Dinner B&amp;B</t>
        </is>
      </c>
      <c r="H69" s="334" t="inlineStr">
        <is>
          <t>Booking.com</t>
        </is>
      </c>
      <c r="I69" s="335" t="n">
        <v>18054</v>
      </c>
    </row>
    <row r="70">
      <c r="A70" s="332" t="n">
        <v>45770</v>
      </c>
      <c r="B70" s="332" t="n">
        <v>45770</v>
      </c>
      <c r="C70" s="336" t="inlineStr">
        <is>
          <t>Sky Villa</t>
        </is>
      </c>
      <c r="D70" s="334" t="inlineStr">
        <is>
          <t>Anna Seliger</t>
        </is>
      </c>
      <c r="E70" s="334" t="n">
        <v>1</v>
      </c>
      <c r="F70" s="334" t="n">
        <v>3</v>
      </c>
      <c r="G70" s="334" t="inlineStr">
        <is>
          <t>Dinner B&amp;B</t>
        </is>
      </c>
      <c r="H70" s="334" t="inlineStr">
        <is>
          <t>Booking.com</t>
        </is>
      </c>
      <c r="I70" s="335" t="n">
        <v>3768</v>
      </c>
    </row>
    <row r="71">
      <c r="A71" s="332" t="n">
        <v>45772</v>
      </c>
      <c r="B71" s="332" t="n">
        <v>45773</v>
      </c>
      <c r="C71" s="333" t="inlineStr">
        <is>
          <t>Remington Villa</t>
        </is>
      </c>
      <c r="D71" s="334" t="inlineStr">
        <is>
          <t>Doris Makgale</t>
        </is>
      </c>
      <c r="E71" s="334" t="n">
        <v>2</v>
      </c>
      <c r="F71" s="334" t="n">
        <v>2</v>
      </c>
      <c r="G71" s="334" t="inlineStr">
        <is>
          <t>B&amp;B</t>
        </is>
      </c>
      <c r="H71" s="334" t="inlineStr">
        <is>
          <t>Booking.com</t>
        </is>
      </c>
      <c r="I71" s="335" t="n">
        <v>5054</v>
      </c>
    </row>
    <row r="72">
      <c r="A72" s="332" t="n">
        <v>45772</v>
      </c>
      <c r="B72" s="332" t="n">
        <v>45776</v>
      </c>
      <c r="C72" s="336" t="inlineStr">
        <is>
          <t>Sky Villa</t>
        </is>
      </c>
      <c r="D72" s="334" t="inlineStr">
        <is>
          <t>Nicki Wimmer</t>
        </is>
      </c>
      <c r="E72" s="334" t="n">
        <v>5</v>
      </c>
      <c r="F72" s="334" t="n">
        <v>2</v>
      </c>
      <c r="G72" s="334" t="inlineStr">
        <is>
          <t>Dinner B&amp;B</t>
        </is>
      </c>
      <c r="H72" s="334" t="inlineStr">
        <is>
          <t>Booking.com</t>
        </is>
      </c>
      <c r="I72" s="335" t="n">
        <v>16830</v>
      </c>
    </row>
    <row r="73">
      <c r="A73" s="332" t="n">
        <v>45774</v>
      </c>
      <c r="B73" s="332" t="n">
        <v>45776</v>
      </c>
      <c r="C73" s="333" t="inlineStr">
        <is>
          <t>Remington Villa</t>
        </is>
      </c>
      <c r="D73" s="334" t="inlineStr">
        <is>
          <t>Preshlan Chetty</t>
        </is>
      </c>
      <c r="E73" s="334" t="n">
        <v>3</v>
      </c>
      <c r="F73" s="334" t="n">
        <v>2</v>
      </c>
      <c r="G73" s="334" t="inlineStr">
        <is>
          <t>Dinner B&amp;B</t>
        </is>
      </c>
      <c r="H73" s="334" t="inlineStr">
        <is>
          <t>Booking.com</t>
        </is>
      </c>
      <c r="I73" s="335" t="n">
        <v>8837</v>
      </c>
    </row>
    <row r="74">
      <c r="A74" s="332" t="n">
        <v>45777</v>
      </c>
      <c r="B74" s="332" t="n">
        <v>45777</v>
      </c>
      <c r="C74" s="336" t="inlineStr">
        <is>
          <t>Sky Villa</t>
        </is>
      </c>
      <c r="D74" s="334" t="inlineStr">
        <is>
          <t>Aleksandra Bunya</t>
        </is>
      </c>
      <c r="E74" s="334" t="n">
        <v>1</v>
      </c>
      <c r="F74" s="334" t="n">
        <v>4</v>
      </c>
      <c r="G74" s="334" t="inlineStr">
        <is>
          <t>Dinner B&amp;B</t>
        </is>
      </c>
      <c r="H74" s="334" t="inlineStr">
        <is>
          <t>Booking.com</t>
        </is>
      </c>
      <c r="I74" s="335" t="n">
        <v>3953</v>
      </c>
    </row>
    <row r="75">
      <c r="A75" s="332" t="n">
        <v>45777</v>
      </c>
      <c r="B75" s="332" t="n">
        <v>45778</v>
      </c>
      <c r="C75" s="333" t="inlineStr">
        <is>
          <t>Remington Villa</t>
        </is>
      </c>
      <c r="D75" s="334" t="inlineStr">
        <is>
          <t>Dennis Thomas Koschmieder</t>
        </is>
      </c>
      <c r="E75" s="334" t="n">
        <v>2</v>
      </c>
      <c r="F75" s="334" t="n">
        <v>2</v>
      </c>
      <c r="G75" s="334" t="inlineStr">
        <is>
          <t>B&amp;B</t>
        </is>
      </c>
      <c r="H75" s="334" t="inlineStr">
        <is>
          <t>Booking.com</t>
        </is>
      </c>
      <c r="I75" s="335" t="n">
        <v>4142</v>
      </c>
    </row>
    <row r="76">
      <c r="A76" s="332" t="n">
        <v>45778</v>
      </c>
      <c r="B76" s="332" t="n">
        <v>45778</v>
      </c>
      <c r="C76" s="336" t="inlineStr">
        <is>
          <t>Sky Villa</t>
        </is>
      </c>
      <c r="D76" s="334" t="inlineStr">
        <is>
          <t>Tanya Burrows</t>
        </is>
      </c>
      <c r="E76" s="334" t="n">
        <v>1</v>
      </c>
      <c r="F76" s="334" t="n">
        <v>4</v>
      </c>
      <c r="G76" s="334" t="inlineStr">
        <is>
          <t>Dinner B&amp;B</t>
        </is>
      </c>
      <c r="H76" s="334" t="inlineStr">
        <is>
          <t>Booking.com</t>
        </is>
      </c>
      <c r="I76" s="335" t="n">
        <v>4824</v>
      </c>
    </row>
    <row r="77">
      <c r="A77" s="332" t="n">
        <v>45779</v>
      </c>
      <c r="B77" s="332" t="n">
        <v>45779</v>
      </c>
      <c r="C77" s="336" t="inlineStr">
        <is>
          <t>Sky Villa</t>
        </is>
      </c>
      <c r="D77" s="334" t="inlineStr">
        <is>
          <t>Richard Tucker</t>
        </is>
      </c>
      <c r="E77" s="334" t="n">
        <v>1</v>
      </c>
      <c r="F77" s="334" t="n">
        <v>4</v>
      </c>
      <c r="G77" s="334" t="inlineStr">
        <is>
          <t>B&amp;B</t>
        </is>
      </c>
      <c r="H77" s="334" t="inlineStr">
        <is>
          <t>Own web site</t>
        </is>
      </c>
      <c r="I77" s="335" t="n">
        <v>3000</v>
      </c>
    </row>
    <row r="78">
      <c r="A78" s="332" t="n">
        <v>45783</v>
      </c>
      <c r="B78" s="332" t="n">
        <v>45784</v>
      </c>
      <c r="C78" s="336" t="inlineStr">
        <is>
          <t>Sky Villa</t>
        </is>
      </c>
      <c r="D78" s="334" t="inlineStr">
        <is>
          <t>Bernd Bok</t>
        </is>
      </c>
      <c r="E78" s="334" t="n">
        <v>2</v>
      </c>
      <c r="F78" s="334" t="n">
        <v>4</v>
      </c>
      <c r="G78" s="334" t="inlineStr">
        <is>
          <t>B&amp;B</t>
        </is>
      </c>
      <c r="H78" s="334" t="inlineStr">
        <is>
          <t>Booking.com</t>
        </is>
      </c>
      <c r="I78" s="335" t="n">
        <v>5702</v>
      </c>
    </row>
    <row r="79">
      <c r="A79" s="332" t="n">
        <v>45783</v>
      </c>
      <c r="B79" s="332" t="n">
        <v>45784</v>
      </c>
      <c r="C79" s="333" t="inlineStr">
        <is>
          <t>Remington Villa</t>
        </is>
      </c>
      <c r="D79" s="334" t="inlineStr">
        <is>
          <t>Bernd Bok</t>
        </is>
      </c>
      <c r="E79" s="334" t="n">
        <v>2</v>
      </c>
      <c r="F79" s="334" t="n">
        <v>4</v>
      </c>
      <c r="G79" s="334" t="inlineStr">
        <is>
          <t>B&amp;B</t>
        </is>
      </c>
      <c r="H79" s="334" t="inlineStr">
        <is>
          <t>Booking.com</t>
        </is>
      </c>
      <c r="I79" s="335" t="n">
        <v>5702</v>
      </c>
    </row>
    <row r="80">
      <c r="A80" s="332" t="n">
        <v>45786</v>
      </c>
      <c r="B80" s="332" t="n">
        <v>45786</v>
      </c>
      <c r="C80" s="336" t="inlineStr">
        <is>
          <t>Sky Villa</t>
        </is>
      </c>
      <c r="D80" s="334" t="inlineStr">
        <is>
          <t>Prawpun Euekittiroj</t>
        </is>
      </c>
      <c r="E80" s="334" t="n">
        <v>1</v>
      </c>
      <c r="F80" s="334" t="n">
        <v>2</v>
      </c>
      <c r="G80" s="334" t="inlineStr">
        <is>
          <t>Dinner B&amp;B</t>
        </is>
      </c>
      <c r="H80" s="334" t="inlineStr">
        <is>
          <t>Booking.com</t>
        </is>
      </c>
      <c r="I80" s="335" t="n">
        <v>2856</v>
      </c>
    </row>
    <row r="81">
      <c r="A81" s="332" t="n">
        <v>45786</v>
      </c>
      <c r="B81" s="332" t="n">
        <v>45788</v>
      </c>
      <c r="C81" s="333" t="inlineStr">
        <is>
          <t>Remington Villa</t>
        </is>
      </c>
      <c r="D81" s="334" t="inlineStr">
        <is>
          <t>Jaden Griggs</t>
        </is>
      </c>
      <c r="E81" s="334" t="n">
        <v>3</v>
      </c>
      <c r="F81" s="334" t="n">
        <v>4</v>
      </c>
      <c r="G81" s="334" t="inlineStr">
        <is>
          <t>B&amp;B</t>
        </is>
      </c>
      <c r="H81" s="334" t="inlineStr">
        <is>
          <t>Booking.com</t>
        </is>
      </c>
      <c r="I81" s="335" t="n">
        <v>9169</v>
      </c>
    </row>
    <row r="82">
      <c r="A82" s="332" t="n">
        <v>45787</v>
      </c>
      <c r="B82" s="332" t="n">
        <v>45788</v>
      </c>
      <c r="C82" s="336" t="inlineStr">
        <is>
          <t>Sky Villa</t>
        </is>
      </c>
      <c r="D82" s="334" t="inlineStr">
        <is>
          <t>franck brugiere</t>
        </is>
      </c>
      <c r="E82" s="334" t="n">
        <v>2</v>
      </c>
      <c r="F82" s="334" t="n">
        <v>4</v>
      </c>
      <c r="G82" s="334" t="inlineStr">
        <is>
          <t>B&amp;B</t>
        </is>
      </c>
      <c r="H82" s="334" t="inlineStr">
        <is>
          <t>Booking.com</t>
        </is>
      </c>
      <c r="I82" s="335" t="n">
        <v>5702</v>
      </c>
    </row>
    <row r="83">
      <c r="A83" s="332" t="n">
        <v>45790</v>
      </c>
      <c r="B83" s="332" t="n">
        <v>45791</v>
      </c>
      <c r="C83" s="336" t="inlineStr">
        <is>
          <t>Sky Villa</t>
        </is>
      </c>
      <c r="D83" s="334" t="inlineStr">
        <is>
          <t>Barthel Westendorp</t>
        </is>
      </c>
      <c r="E83" s="334" t="n">
        <v>2</v>
      </c>
      <c r="F83" s="334" t="n">
        <v>2</v>
      </c>
      <c r="G83" s="334" t="inlineStr">
        <is>
          <t>B&amp;B</t>
        </is>
      </c>
      <c r="H83" s="334" t="inlineStr">
        <is>
          <t>Booking.com</t>
        </is>
      </c>
      <c r="I83" s="335" t="n">
        <v>3643</v>
      </c>
    </row>
    <row r="84">
      <c r="A84" s="332" t="n">
        <v>45792</v>
      </c>
      <c r="B84" s="332" t="n">
        <v>45793</v>
      </c>
      <c r="C84" s="333" t="inlineStr">
        <is>
          <t>Remington Villa</t>
        </is>
      </c>
      <c r="D84" s="334" t="inlineStr">
        <is>
          <t>Charlie Guilloux</t>
        </is>
      </c>
      <c r="E84" s="334" t="n">
        <v>2</v>
      </c>
      <c r="F84" s="334" t="n">
        <v>2</v>
      </c>
      <c r="G84" s="334" t="inlineStr">
        <is>
          <t>B&amp;B</t>
        </is>
      </c>
      <c r="H84" s="334" t="inlineStr">
        <is>
          <t>Booking.com</t>
        </is>
      </c>
      <c r="I84" s="335" t="n">
        <v>4562</v>
      </c>
    </row>
    <row r="85">
      <c r="A85" s="332" t="n">
        <v>45792</v>
      </c>
      <c r="B85" s="332" t="n">
        <v>45794</v>
      </c>
      <c r="C85" s="336" t="inlineStr">
        <is>
          <t>Sky Villa</t>
        </is>
      </c>
      <c r="D85" s="334" t="inlineStr">
        <is>
          <t>ankie bakker</t>
        </is>
      </c>
      <c r="E85" s="334" t="n">
        <v>3</v>
      </c>
      <c r="F85" s="334" t="n">
        <v>2</v>
      </c>
      <c r="G85" s="334" t="inlineStr">
        <is>
          <t>B&amp;B</t>
        </is>
      </c>
      <c r="H85" s="334" t="inlineStr">
        <is>
          <t>Booking.com</t>
        </is>
      </c>
      <c r="I85" s="335" t="n">
        <v>7366</v>
      </c>
    </row>
    <row r="86">
      <c r="A86" s="332" t="n">
        <v>45794</v>
      </c>
      <c r="B86" s="332" t="n">
        <v>45803</v>
      </c>
      <c r="C86" s="333" t="inlineStr">
        <is>
          <t>Remington Villa</t>
        </is>
      </c>
      <c r="D86" s="334" t="inlineStr">
        <is>
          <t>leon</t>
        </is>
      </c>
      <c r="E86" s="334" t="n">
        <v>10</v>
      </c>
      <c r="F86" s="334" t="n">
        <v>2</v>
      </c>
      <c r="G86" s="334" t="inlineStr">
        <is>
          <t>Self-catering</t>
        </is>
      </c>
      <c r="H86" s="334" t="inlineStr">
        <is>
          <t>Other</t>
        </is>
      </c>
      <c r="I86" s="335" t="n">
        <v>0</v>
      </c>
    </row>
    <row r="87">
      <c r="A87" s="332" t="n">
        <v>45796</v>
      </c>
      <c r="B87" s="332" t="n">
        <v>45796</v>
      </c>
      <c r="C87" s="336" t="inlineStr">
        <is>
          <t>Sky Villa</t>
        </is>
      </c>
      <c r="D87" s="334" t="inlineStr">
        <is>
          <t>Loris Schenberg</t>
        </is>
      </c>
      <c r="E87" s="334" t="n">
        <v>1</v>
      </c>
      <c r="F87" s="334" t="n">
        <v>2</v>
      </c>
      <c r="G87" s="334" t="inlineStr">
        <is>
          <t>B&amp;B</t>
        </is>
      </c>
      <c r="H87" s="334" t="inlineStr">
        <is>
          <t>Booking.com</t>
        </is>
      </c>
      <c r="I87" s="335" t="n">
        <v>2071</v>
      </c>
    </row>
    <row r="88">
      <c r="A88" s="332" t="n">
        <v>45797</v>
      </c>
      <c r="B88" s="332" t="n">
        <v>45797</v>
      </c>
      <c r="C88" s="336" t="inlineStr">
        <is>
          <t>Sky Villa</t>
        </is>
      </c>
      <c r="D88" s="334" t="inlineStr">
        <is>
          <t>Beatriz Lopes</t>
        </is>
      </c>
      <c r="E88" s="334" t="n">
        <v>1</v>
      </c>
      <c r="F88" s="334" t="n">
        <v>2</v>
      </c>
      <c r="G88" s="334" t="inlineStr">
        <is>
          <t>B&amp;B</t>
        </is>
      </c>
      <c r="H88" s="334" t="inlineStr">
        <is>
          <t>Booking.com</t>
        </is>
      </c>
      <c r="I88" s="335" t="n">
        <v>2219</v>
      </c>
    </row>
    <row r="89">
      <c r="A89" s="332" t="n">
        <v>45799</v>
      </c>
      <c r="B89" s="332" t="n">
        <v>45801</v>
      </c>
      <c r="C89" s="336" t="inlineStr">
        <is>
          <t>Sky Villa</t>
        </is>
      </c>
      <c r="D89" s="334" t="inlineStr">
        <is>
          <t>Robson Marques dos Santos</t>
        </is>
      </c>
      <c r="E89" s="334" t="n">
        <v>3</v>
      </c>
      <c r="F89" s="334" t="n">
        <v>2</v>
      </c>
      <c r="G89" s="334" t="inlineStr">
        <is>
          <t>B&amp;B</t>
        </is>
      </c>
      <c r="H89" s="334" t="inlineStr">
        <is>
          <t>Booking.com</t>
        </is>
      </c>
      <c r="I89" s="335" t="n">
        <v>6237</v>
      </c>
    </row>
    <row r="90">
      <c r="A90" s="332" t="n">
        <v>45803</v>
      </c>
      <c r="B90" s="332" t="n">
        <v>45806</v>
      </c>
      <c r="C90" s="336" t="inlineStr">
        <is>
          <t>Sky Villa</t>
        </is>
      </c>
      <c r="D90" s="334" t="inlineStr">
        <is>
          <t>Lillie Echevarria</t>
        </is>
      </c>
      <c r="E90" s="334" t="n">
        <v>4</v>
      </c>
      <c r="F90" s="334" t="n">
        <v>1</v>
      </c>
      <c r="G90" s="334" t="inlineStr">
        <is>
          <t>Dinner B&amp;B</t>
        </is>
      </c>
      <c r="H90" s="334" t="inlineStr">
        <is>
          <t>Own web site</t>
        </is>
      </c>
      <c r="I90" s="335" t="n">
        <v>9150</v>
      </c>
    </row>
    <row r="91">
      <c r="A91" s="332" t="n">
        <v>45804</v>
      </c>
      <c r="B91" s="332" t="n">
        <v>45814</v>
      </c>
      <c r="C91" s="333" t="inlineStr">
        <is>
          <t>Remington Villa</t>
        </is>
      </c>
      <c r="D91" s="334" t="inlineStr">
        <is>
          <t>dreyer hoffman</t>
        </is>
      </c>
      <c r="E91" s="334" t="n">
        <v>11</v>
      </c>
      <c r="F91" s="334" t="n">
        <v>2</v>
      </c>
      <c r="G91" s="334" t="inlineStr">
        <is>
          <t>Self-catering</t>
        </is>
      </c>
      <c r="H91" s="334" t="inlineStr">
        <is>
          <t>Other</t>
        </is>
      </c>
      <c r="I91" s="335" t="n">
        <v>0</v>
      </c>
    </row>
    <row r="92">
      <c r="A92" s="332" t="n">
        <v>45807</v>
      </c>
      <c r="B92" s="332" t="n">
        <v>45810</v>
      </c>
      <c r="C92" s="336" t="inlineStr">
        <is>
          <t>Sky Villa</t>
        </is>
      </c>
      <c r="D92" s="334" t="inlineStr">
        <is>
          <t>Haris Custovic</t>
        </is>
      </c>
      <c r="E92" s="334" t="n">
        <v>4</v>
      </c>
      <c r="F92" s="334" t="n">
        <v>4</v>
      </c>
      <c r="G92" s="334" t="inlineStr">
        <is>
          <t>Dinner B&amp;B</t>
        </is>
      </c>
      <c r="H92" s="334" t="inlineStr">
        <is>
          <t>Booking.com</t>
        </is>
      </c>
      <c r="I92" s="335" t="n">
        <v>18714</v>
      </c>
    </row>
    <row r="93">
      <c r="A93" s="332" t="n">
        <v>45814</v>
      </c>
      <c r="B93" s="332" t="n">
        <v>45815</v>
      </c>
      <c r="C93" s="336" t="inlineStr">
        <is>
          <t>Sky Villa</t>
        </is>
      </c>
      <c r="D93" s="334" t="inlineStr">
        <is>
          <t>dreyer hoffman</t>
        </is>
      </c>
      <c r="E93" s="334" t="n">
        <v>2</v>
      </c>
      <c r="F93" s="334" t="n">
        <v>4</v>
      </c>
      <c r="G93" s="334" t="inlineStr">
        <is>
          <t>Self-catering</t>
        </is>
      </c>
      <c r="H93" s="334" t="inlineStr">
        <is>
          <t>Other</t>
        </is>
      </c>
      <c r="I93" s="335" t="n">
        <v>11400</v>
      </c>
    </row>
    <row r="94">
      <c r="A94" s="332" t="n">
        <v>45815</v>
      </c>
      <c r="B94" s="332" t="n">
        <v>45816</v>
      </c>
      <c r="C94" s="333" t="inlineStr">
        <is>
          <t>Remington Villa</t>
        </is>
      </c>
      <c r="D94" s="334" t="inlineStr">
        <is>
          <t>Karin Buteijn</t>
        </is>
      </c>
      <c r="E94" s="334" t="n">
        <v>2</v>
      </c>
      <c r="F94" s="334" t="n">
        <v>2</v>
      </c>
      <c r="G94" s="334" t="inlineStr">
        <is>
          <t>Dinner B&amp;B</t>
        </is>
      </c>
      <c r="H94" s="334" t="inlineStr">
        <is>
          <t>Booking.com</t>
        </is>
      </c>
      <c r="I94" s="335" t="n">
        <v>6772</v>
      </c>
    </row>
    <row r="95">
      <c r="A95" s="332" t="n">
        <v>45818</v>
      </c>
      <c r="B95" s="332" t="n">
        <v>45819</v>
      </c>
      <c r="C95" s="333" t="inlineStr">
        <is>
          <t>Remington Villa</t>
        </is>
      </c>
      <c r="D95" s="334" t="inlineStr">
        <is>
          <t>Clarisse Hoernel</t>
        </is>
      </c>
      <c r="E95" s="334" t="n">
        <v>2</v>
      </c>
      <c r="F95" s="334" t="n">
        <v>3</v>
      </c>
      <c r="G95" s="334" t="inlineStr">
        <is>
          <t>B&amp;B</t>
        </is>
      </c>
      <c r="H95" s="334" t="inlineStr">
        <is>
          <t>Booking.com</t>
        </is>
      </c>
      <c r="I95" s="335" t="n">
        <v>4910</v>
      </c>
    </row>
    <row r="96">
      <c r="A96" s="332" t="n">
        <v>45818</v>
      </c>
      <c r="B96" s="332" t="n">
        <v>45822</v>
      </c>
      <c r="C96" s="336" t="inlineStr">
        <is>
          <t>Sky Villa</t>
        </is>
      </c>
      <c r="D96" s="334" t="inlineStr">
        <is>
          <t>ARPAD KISCH</t>
        </is>
      </c>
      <c r="E96" s="334" t="n">
        <v>5</v>
      </c>
      <c r="F96" s="334" t="n">
        <v>2</v>
      </c>
      <c r="G96" s="334" t="inlineStr">
        <is>
          <t>Dinner B&amp;B</t>
        </is>
      </c>
      <c r="H96" s="334" t="inlineStr">
        <is>
          <t>Booking.com</t>
        </is>
      </c>
      <c r="I96" s="335" t="n">
        <v>16025</v>
      </c>
    </row>
    <row r="97">
      <c r="A97" s="332" t="n">
        <v>45821</v>
      </c>
      <c r="B97" s="332" t="n">
        <v>45821</v>
      </c>
      <c r="C97" s="333" t="inlineStr">
        <is>
          <t>Remington Villa</t>
        </is>
      </c>
      <c r="D97" s="334" t="inlineStr">
        <is>
          <t>Tomas Diaz Lopez</t>
        </is>
      </c>
      <c r="E97" s="334" t="n">
        <v>1</v>
      </c>
      <c r="F97" s="334" t="n">
        <v>1</v>
      </c>
      <c r="G97" s="334" t="inlineStr">
        <is>
          <t>B&amp;B</t>
        </is>
      </c>
      <c r="H97" s="334" t="inlineStr">
        <is>
          <t>Booking.com</t>
        </is>
      </c>
      <c r="I97" s="335" t="n">
        <v>2089</v>
      </c>
    </row>
    <row r="98">
      <c r="A98" s="332" t="n">
        <v>45823</v>
      </c>
      <c r="B98" s="332" t="n">
        <v>45823</v>
      </c>
      <c r="C98" s="333" t="inlineStr">
        <is>
          <t>Remington Villa</t>
        </is>
      </c>
      <c r="D98" s="334" t="inlineStr">
        <is>
          <t>Virpi Jarvelainen</t>
        </is>
      </c>
      <c r="E98" s="334" t="n">
        <v>1</v>
      </c>
      <c r="F98" s="334" t="n">
        <v>3</v>
      </c>
      <c r="G98" s="334" t="inlineStr">
        <is>
          <t>Dinner B&amp;B</t>
        </is>
      </c>
      <c r="H98" s="334" t="inlineStr">
        <is>
          <t>Booking.com</t>
        </is>
      </c>
      <c r="I98" s="335" t="n">
        <v>3796</v>
      </c>
    </row>
    <row r="99">
      <c r="A99" s="332" t="n">
        <v>45824</v>
      </c>
      <c r="B99" s="332" t="n">
        <v>45824</v>
      </c>
      <c r="C99" s="336" t="inlineStr">
        <is>
          <t>Sky Villa</t>
        </is>
      </c>
      <c r="D99" s="334" t="inlineStr">
        <is>
          <t>Daniela Puellen</t>
        </is>
      </c>
      <c r="E99" s="334" t="n">
        <v>1</v>
      </c>
      <c r="F99" s="334" t="n">
        <v>2</v>
      </c>
      <c r="G99" s="334" t="inlineStr">
        <is>
          <t>B&amp;B</t>
        </is>
      </c>
      <c r="H99" s="334" t="inlineStr">
        <is>
          <t>Booking.com</t>
        </is>
      </c>
      <c r="I99" s="335" t="n">
        <v>2388</v>
      </c>
    </row>
    <row r="100">
      <c r="A100" s="332" t="n">
        <v>45826</v>
      </c>
      <c r="B100" s="332" t="n">
        <v>45829</v>
      </c>
      <c r="C100" s="336" t="inlineStr">
        <is>
          <t>Sky Villa</t>
        </is>
      </c>
      <c r="D100" s="334" t="inlineStr">
        <is>
          <t>Kemp Chrisna</t>
        </is>
      </c>
      <c r="E100" s="334" t="n">
        <v>4</v>
      </c>
      <c r="F100" s="334" t="n">
        <v>2</v>
      </c>
      <c r="G100" s="334" t="inlineStr">
        <is>
          <t>B&amp;B</t>
        </is>
      </c>
      <c r="H100" s="334" t="inlineStr">
        <is>
          <t>Booking.com</t>
        </is>
      </c>
      <c r="I100" s="335" t="n">
        <v>8878</v>
      </c>
    </row>
    <row r="101">
      <c r="A101" s="332" t="n">
        <v>45830</v>
      </c>
      <c r="B101" s="332" t="n">
        <v>45831</v>
      </c>
      <c r="C101" s="336" t="inlineStr">
        <is>
          <t>Sky Villa</t>
        </is>
      </c>
      <c r="D101" s="334" t="inlineStr">
        <is>
          <t>Kevin ALLEBE</t>
        </is>
      </c>
      <c r="E101" s="334" t="n">
        <v>2</v>
      </c>
      <c r="F101" s="334" t="n">
        <v>2</v>
      </c>
      <c r="G101" s="334" t="inlineStr">
        <is>
          <t>Dinner B&amp;B</t>
        </is>
      </c>
      <c r="H101" s="334" t="inlineStr">
        <is>
          <t>Booking.com</t>
        </is>
      </c>
      <c r="I101" s="335" t="n">
        <v>7038</v>
      </c>
    </row>
    <row r="102">
      <c r="A102" s="332" t="n">
        <v>45833</v>
      </c>
      <c r="B102" s="332" t="n">
        <v>45834</v>
      </c>
      <c r="C102" s="336" t="inlineStr">
        <is>
          <t>Sky Villa</t>
        </is>
      </c>
      <c r="D102" s="334" t="inlineStr">
        <is>
          <t>Saul Clay</t>
        </is>
      </c>
      <c r="E102" s="334" t="n">
        <v>2</v>
      </c>
      <c r="F102" s="334" t="n">
        <v>2</v>
      </c>
      <c r="G102" s="334" t="inlineStr">
        <is>
          <t>B&amp;B</t>
        </is>
      </c>
      <c r="H102" s="334" t="inlineStr">
        <is>
          <t>WebView</t>
        </is>
      </c>
      <c r="I102" s="335" t="n">
        <v>4200</v>
      </c>
    </row>
    <row r="103">
      <c r="A103" s="332" t="n">
        <v>45835</v>
      </c>
      <c r="B103" s="332" t="n">
        <v>45837</v>
      </c>
      <c r="C103" s="336" t="inlineStr">
        <is>
          <t>Sky Villa</t>
        </is>
      </c>
      <c r="D103" s="334" t="inlineStr">
        <is>
          <t>Saul Clay</t>
        </is>
      </c>
      <c r="E103" s="334" t="n">
        <v>3</v>
      </c>
      <c r="F103" s="334" t="n">
        <v>2</v>
      </c>
      <c r="G103" s="334" t="inlineStr">
        <is>
          <t>B&amp;B</t>
        </is>
      </c>
      <c r="H103" s="334" t="inlineStr">
        <is>
          <t>Booking.com</t>
        </is>
      </c>
      <c r="I103" s="335" t="n">
        <v>7131</v>
      </c>
    </row>
    <row r="104">
      <c r="A104" s="332" t="n">
        <v>45838</v>
      </c>
      <c r="B104" s="332" t="n">
        <v>45839</v>
      </c>
      <c r="C104" s="336" t="inlineStr">
        <is>
          <t>Sky Villa</t>
        </is>
      </c>
      <c r="D104" s="334" t="inlineStr">
        <is>
          <t>Nigg Paale Dannemann</t>
        </is>
      </c>
      <c r="E104" s="334" t="n">
        <v>2</v>
      </c>
      <c r="F104" s="334" t="n">
        <v>2</v>
      </c>
      <c r="G104" s="334" t="inlineStr">
        <is>
          <t>B&amp;B</t>
        </is>
      </c>
      <c r="H104" s="334" t="inlineStr">
        <is>
          <t>Booking.com</t>
        </is>
      </c>
      <c r="I104" s="335" t="n">
        <v>4439</v>
      </c>
    </row>
    <row r="105">
      <c r="A105" s="332" t="n">
        <v>45842</v>
      </c>
      <c r="B105" s="332" t="n">
        <v>45843</v>
      </c>
      <c r="C105" s="336" t="inlineStr">
        <is>
          <t>Sky Villa</t>
        </is>
      </c>
      <c r="D105" s="334" t="inlineStr">
        <is>
          <t>Meersman Annick</t>
        </is>
      </c>
      <c r="E105" s="334" t="n">
        <v>2</v>
      </c>
      <c r="F105" s="334" t="n">
        <v>4</v>
      </c>
      <c r="G105" s="334" t="inlineStr">
        <is>
          <t>B&amp;B</t>
        </is>
      </c>
      <c r="H105" s="334" t="inlineStr">
        <is>
          <t>Booking.com</t>
        </is>
      </c>
      <c r="I105" s="335" t="n">
        <v>6610</v>
      </c>
    </row>
    <row r="106">
      <c r="A106" s="332" t="n">
        <v>45843</v>
      </c>
      <c r="B106" s="332" t="n">
        <v>45844</v>
      </c>
      <c r="C106" s="333" t="inlineStr">
        <is>
          <t>Remington Villa</t>
        </is>
      </c>
      <c r="D106" s="334" t="inlineStr">
        <is>
          <t>Jo Cronin</t>
        </is>
      </c>
      <c r="E106" s="334" t="n">
        <v>2</v>
      </c>
      <c r="F106" s="334" t="n">
        <v>2</v>
      </c>
      <c r="G106" s="334" t="inlineStr">
        <is>
          <t>B&amp;B</t>
        </is>
      </c>
      <c r="H106" s="334" t="inlineStr">
        <is>
          <t>Booking.com</t>
        </is>
      </c>
      <c r="I106" s="335" t="n">
        <v>4439</v>
      </c>
    </row>
    <row r="107">
      <c r="A107" s="332" t="n">
        <v>45844</v>
      </c>
      <c r="B107" s="332" t="n">
        <v>45845</v>
      </c>
      <c r="C107" s="336" t="inlineStr">
        <is>
          <t>Sky Villa</t>
        </is>
      </c>
      <c r="D107" s="334" t="inlineStr">
        <is>
          <t>caroline lapierre</t>
        </is>
      </c>
      <c r="E107" s="334" t="n">
        <v>2</v>
      </c>
      <c r="F107" s="334" t="n">
        <v>4</v>
      </c>
      <c r="G107" s="334" t="inlineStr">
        <is>
          <t>B&amp;B</t>
        </is>
      </c>
      <c r="H107" s="334" t="inlineStr">
        <is>
          <t>Booking.com</t>
        </is>
      </c>
      <c r="I107" s="335" t="n">
        <v>6792</v>
      </c>
    </row>
    <row r="108">
      <c r="A108" s="332" t="n">
        <v>45845</v>
      </c>
      <c r="B108" s="332" t="n">
        <v>45847</v>
      </c>
      <c r="C108" s="333" t="inlineStr">
        <is>
          <t>Remington Villa</t>
        </is>
      </c>
      <c r="D108" s="334" t="inlineStr">
        <is>
          <t>Salome Stock</t>
        </is>
      </c>
      <c r="E108" s="334" t="n">
        <v>3</v>
      </c>
      <c r="F108" s="334" t="n">
        <v>3</v>
      </c>
      <c r="G108" s="334" t="inlineStr">
        <is>
          <t>B&amp;B</t>
        </is>
      </c>
      <c r="H108" s="334" t="inlineStr">
        <is>
          <t>Booking.com</t>
        </is>
      </c>
      <c r="I108" s="335" t="n">
        <v>7896</v>
      </c>
    </row>
    <row r="109">
      <c r="A109" s="332" t="n">
        <v>45847</v>
      </c>
      <c r="B109" s="332" t="n">
        <v>45848</v>
      </c>
      <c r="C109" s="336" t="inlineStr">
        <is>
          <t>Sky Villa</t>
        </is>
      </c>
      <c r="D109" s="334" t="inlineStr">
        <is>
          <t>Dion Slutter</t>
        </is>
      </c>
      <c r="E109" s="334" t="n">
        <v>2</v>
      </c>
      <c r="F109" s="334" t="n">
        <v>4</v>
      </c>
      <c r="G109" s="334" t="inlineStr">
        <is>
          <t>B&amp;B</t>
        </is>
      </c>
      <c r="H109" s="334" t="inlineStr">
        <is>
          <t>Booking.com</t>
        </is>
      </c>
      <c r="I109" s="335" t="n">
        <v>6336</v>
      </c>
    </row>
    <row r="110">
      <c r="A110" s="332" t="n">
        <v>45848</v>
      </c>
      <c r="B110" s="332" t="n">
        <v>45851</v>
      </c>
      <c r="C110" s="333" t="inlineStr">
        <is>
          <t>Remington Villa</t>
        </is>
      </c>
      <c r="D110" s="334" t="inlineStr">
        <is>
          <t>Tayla Lee Gerrard</t>
        </is>
      </c>
      <c r="E110" s="334" t="n">
        <v>4</v>
      </c>
      <c r="F110" s="334" t="n">
        <v>2</v>
      </c>
      <c r="G110" s="334" t="inlineStr">
        <is>
          <t>B&amp;B</t>
        </is>
      </c>
      <c r="H110" s="334" t="inlineStr">
        <is>
          <t>Booking.com</t>
        </is>
      </c>
      <c r="I110" s="335" t="n">
        <v>8347</v>
      </c>
    </row>
    <row r="111">
      <c r="A111" s="332" t="n">
        <v>45849</v>
      </c>
      <c r="B111" s="332" t="n">
        <v>45850</v>
      </c>
      <c r="C111" s="336" t="inlineStr">
        <is>
          <t>Sky Villa</t>
        </is>
      </c>
      <c r="D111" s="334" t="inlineStr">
        <is>
          <t>Andre Cools</t>
        </is>
      </c>
      <c r="E111" s="334" t="n">
        <v>2</v>
      </c>
      <c r="F111" s="334" t="n">
        <v>3</v>
      </c>
      <c r="G111" s="334" t="inlineStr">
        <is>
          <t>B&amp;B</t>
        </is>
      </c>
      <c r="H111" s="334" t="inlineStr">
        <is>
          <t>Booking.com</t>
        </is>
      </c>
      <c r="I111" s="335" t="n">
        <v>7510</v>
      </c>
    </row>
    <row r="112">
      <c r="A112" s="332" t="n">
        <v>45851</v>
      </c>
      <c r="B112" s="332" t="n">
        <v>45851</v>
      </c>
      <c r="C112" s="336" t="inlineStr">
        <is>
          <t>Sky Villa</t>
        </is>
      </c>
      <c r="D112" s="334" t="inlineStr">
        <is>
          <t>pierric chotard</t>
        </is>
      </c>
      <c r="E112" s="334" t="n">
        <v>1</v>
      </c>
      <c r="F112" s="334" t="n">
        <v>3</v>
      </c>
      <c r="G112" s="334" t="inlineStr">
        <is>
          <t>Dinner B&amp;B</t>
        </is>
      </c>
      <c r="H112" s="334" t="inlineStr">
        <is>
          <t>Booking.com</t>
        </is>
      </c>
      <c r="I112" s="335" t="n">
        <v>4750</v>
      </c>
    </row>
    <row r="113">
      <c r="A113" s="332" t="n">
        <v>45852</v>
      </c>
      <c r="B113" s="332" t="n">
        <v>45854</v>
      </c>
      <c r="C113" s="336" t="inlineStr">
        <is>
          <t>Sky Villa</t>
        </is>
      </c>
      <c r="D113" s="334" t="inlineStr">
        <is>
          <t>Sanna-Maria Viertola</t>
        </is>
      </c>
      <c r="E113" s="334" t="n">
        <v>3</v>
      </c>
      <c r="F113" s="334" t="n">
        <v>4</v>
      </c>
      <c r="G113" s="334" t="inlineStr">
        <is>
          <t>B&amp;B</t>
        </is>
      </c>
      <c r="H113" s="334" t="inlineStr">
        <is>
          <t>Booking.com</t>
        </is>
      </c>
      <c r="I113" s="335" t="n">
        <v>12393</v>
      </c>
    </row>
    <row r="114">
      <c r="A114" s="332" t="n">
        <v>45853</v>
      </c>
      <c r="B114" s="332" t="n">
        <v>45854</v>
      </c>
      <c r="C114" s="333" t="inlineStr">
        <is>
          <t>Remington Villa</t>
        </is>
      </c>
      <c r="D114" s="334" t="inlineStr">
        <is>
          <t>Nicole Stolk</t>
        </is>
      </c>
      <c r="E114" s="334" t="n">
        <v>2</v>
      </c>
      <c r="F114" s="334" t="n">
        <v>4</v>
      </c>
      <c r="G114" s="334" t="inlineStr">
        <is>
          <t>B&amp;B</t>
        </is>
      </c>
      <c r="H114" s="334" t="inlineStr">
        <is>
          <t>Booking.com</t>
        </is>
      </c>
      <c r="I114" s="335" t="n">
        <v>5692</v>
      </c>
    </row>
    <row r="115">
      <c r="A115" s="332" t="n">
        <v>45855</v>
      </c>
      <c r="B115" s="332" t="n">
        <v>45855</v>
      </c>
      <c r="C115" s="333" t="inlineStr">
        <is>
          <t>Remington Villa</t>
        </is>
      </c>
      <c r="D115" s="334" t="inlineStr">
        <is>
          <t>Nicole Stolk</t>
        </is>
      </c>
      <c r="E115" s="334" t="n">
        <v>1</v>
      </c>
      <c r="F115" s="334" t="n">
        <v>4</v>
      </c>
      <c r="G115" s="334" t="inlineStr">
        <is>
          <t>B&amp;B</t>
        </is>
      </c>
      <c r="H115" s="334" t="inlineStr">
        <is>
          <t>WebView</t>
        </is>
      </c>
      <c r="I115" s="335" t="n">
        <v>2600</v>
      </c>
    </row>
    <row r="116">
      <c r="A116" s="332" t="n">
        <v>45856</v>
      </c>
      <c r="B116" s="332" t="n">
        <v>45856</v>
      </c>
      <c r="C116" s="336" t="inlineStr">
        <is>
          <t>Sky Villa</t>
        </is>
      </c>
      <c r="D116" s="334" t="inlineStr">
        <is>
          <t>Emilia mateo munoz</t>
        </is>
      </c>
      <c r="E116" s="334" t="n">
        <v>1</v>
      </c>
      <c r="F116" s="334" t="n">
        <v>4</v>
      </c>
      <c r="G116" s="334" t="inlineStr">
        <is>
          <t>B&amp;B</t>
        </is>
      </c>
      <c r="H116" s="334" t="inlineStr">
        <is>
          <t>Booking.com</t>
        </is>
      </c>
      <c r="I116" s="335" t="n">
        <v>2851</v>
      </c>
    </row>
    <row r="117">
      <c r="A117" s="332" t="n">
        <v>45857</v>
      </c>
      <c r="B117" s="332" t="n">
        <v>45858</v>
      </c>
      <c r="C117" s="333" t="inlineStr">
        <is>
          <t>Remington Villa</t>
        </is>
      </c>
      <c r="D117" s="334" t="inlineStr">
        <is>
          <t>Siemen Kwinten</t>
        </is>
      </c>
      <c r="E117" s="334" t="n">
        <v>2</v>
      </c>
      <c r="F117" s="334" t="n">
        <v>2</v>
      </c>
      <c r="G117" s="334" t="inlineStr">
        <is>
          <t>B&amp;B</t>
        </is>
      </c>
      <c r="H117" s="334" t="inlineStr">
        <is>
          <t>Booking.com</t>
        </is>
      </c>
      <c r="I117" s="335" t="n">
        <v>4142</v>
      </c>
    </row>
    <row r="118">
      <c r="A118" s="332" t="n">
        <v>45857</v>
      </c>
      <c r="B118" s="332" t="n">
        <v>45859</v>
      </c>
      <c r="C118" s="336" t="inlineStr">
        <is>
          <t>Sky Villa</t>
        </is>
      </c>
      <c r="D118" s="334" t="inlineStr">
        <is>
          <t>Elisama Costa</t>
        </is>
      </c>
      <c r="E118" s="334" t="n">
        <v>3</v>
      </c>
      <c r="F118" s="334" t="n">
        <v>3</v>
      </c>
      <c r="G118" s="334" t="inlineStr">
        <is>
          <t>B&amp;B</t>
        </is>
      </c>
      <c r="H118" s="334" t="inlineStr">
        <is>
          <t>Booking.com</t>
        </is>
      </c>
      <c r="I118" s="335" t="n">
        <v>7295</v>
      </c>
    </row>
    <row r="119">
      <c r="A119" s="332" t="n">
        <v>45859</v>
      </c>
      <c r="B119" s="332" t="n">
        <v>45866</v>
      </c>
      <c r="C119" s="333" t="inlineStr">
        <is>
          <t>Remington Villa</t>
        </is>
      </c>
      <c r="D119" s="334" t="inlineStr">
        <is>
          <t>Bill Donald</t>
        </is>
      </c>
      <c r="E119" s="334" t="n">
        <v>8</v>
      </c>
      <c r="F119" s="334" t="n">
        <v>2</v>
      </c>
      <c r="G119" s="334" t="inlineStr">
        <is>
          <t>B&amp;B</t>
        </is>
      </c>
      <c r="H119" s="334" t="inlineStr">
        <is>
          <t>Own web site</t>
        </is>
      </c>
      <c r="I119" s="335" t="n">
        <v>15911</v>
      </c>
    </row>
    <row r="120">
      <c r="A120" s="332" t="n">
        <v>45860</v>
      </c>
      <c r="B120" s="332" t="n">
        <v>45860</v>
      </c>
      <c r="C120" s="336" t="inlineStr">
        <is>
          <t>Sky Villa</t>
        </is>
      </c>
      <c r="D120" s="334" t="inlineStr">
        <is>
          <t>Elisama Costa</t>
        </is>
      </c>
      <c r="E120" s="334" t="n">
        <v>1</v>
      </c>
      <c r="F120" s="334" t="n">
        <v>3</v>
      </c>
      <c r="G120" s="334" t="inlineStr">
        <is>
          <t>Dinner B&amp;B</t>
        </is>
      </c>
      <c r="H120" s="334" t="inlineStr">
        <is>
          <t>Booking.com</t>
        </is>
      </c>
      <c r="I120" s="335" t="n">
        <v>2916</v>
      </c>
    </row>
    <row r="121">
      <c r="A121" s="332" t="n">
        <v>45863</v>
      </c>
      <c r="B121" s="332" t="n">
        <v>45867</v>
      </c>
      <c r="C121" s="336" t="inlineStr">
        <is>
          <t>Sky Villa</t>
        </is>
      </c>
      <c r="D121" s="334" t="inlineStr">
        <is>
          <t>Christy Minor</t>
        </is>
      </c>
      <c r="E121" s="334" t="n">
        <v>5</v>
      </c>
      <c r="F121" s="334" t="n">
        <v>2</v>
      </c>
      <c r="G121" s="334" t="inlineStr">
        <is>
          <t>B&amp;B</t>
        </is>
      </c>
      <c r="H121" s="334" t="inlineStr">
        <is>
          <t>Booking.com</t>
        </is>
      </c>
      <c r="I121" s="335" t="n">
        <v>11934</v>
      </c>
    </row>
    <row r="122">
      <c r="A122" s="332" t="n">
        <v>45868</v>
      </c>
      <c r="B122" s="332" t="n">
        <v>45868</v>
      </c>
      <c r="C122" s="333" t="inlineStr">
        <is>
          <t>Remington Villa</t>
        </is>
      </c>
      <c r="D122" s="334" t="inlineStr">
        <is>
          <t>Christy Minor</t>
        </is>
      </c>
      <c r="E122" s="334" t="n">
        <v>1</v>
      </c>
      <c r="F122" s="334" t="n">
        <v>2</v>
      </c>
      <c r="G122" s="334" t="inlineStr">
        <is>
          <t>B&amp;B</t>
        </is>
      </c>
      <c r="H122" s="334" t="inlineStr">
        <is>
          <t>Other</t>
        </is>
      </c>
      <c r="I122" s="335" t="n">
        <v>2300</v>
      </c>
    </row>
    <row r="123">
      <c r="A123" s="332" t="n">
        <v>45869</v>
      </c>
      <c r="B123" s="332" t="n">
        <v>45871</v>
      </c>
      <c r="C123" s="333" t="inlineStr">
        <is>
          <t>Remington Villa</t>
        </is>
      </c>
      <c r="D123" s="334" t="inlineStr">
        <is>
          <t>Jorg Fuge</t>
        </is>
      </c>
      <c r="E123" s="334" t="n">
        <v>3</v>
      </c>
      <c r="F123" s="334" t="n">
        <v>4</v>
      </c>
      <c r="G123" s="334" t="inlineStr">
        <is>
          <t>B&amp;B</t>
        </is>
      </c>
      <c r="H123" s="334" t="inlineStr">
        <is>
          <t>Booking.com</t>
        </is>
      </c>
      <c r="I123" s="335" t="n">
        <v>9169</v>
      </c>
    </row>
    <row r="124">
      <c r="A124" s="332" t="n">
        <v>45870</v>
      </c>
      <c r="B124" s="332" t="n">
        <v>45870</v>
      </c>
      <c r="C124" s="336" t="inlineStr">
        <is>
          <t>Sky Villa</t>
        </is>
      </c>
      <c r="D124" s="334" t="inlineStr">
        <is>
          <t>Mr and Mrs Zuidema</t>
        </is>
      </c>
      <c r="E124" s="334" t="n">
        <v>1</v>
      </c>
      <c r="F124" s="334" t="n">
        <v>4</v>
      </c>
      <c r="G124" s="334" t="inlineStr">
        <is>
          <t>B&amp;B</t>
        </is>
      </c>
      <c r="H124" s="334" t="inlineStr">
        <is>
          <t>Own web site</t>
        </is>
      </c>
      <c r="I124" s="335" t="n">
        <v>3800</v>
      </c>
    </row>
    <row r="125">
      <c r="A125" s="332" t="n">
        <v>45871</v>
      </c>
      <c r="B125" s="332" t="n">
        <v>45871</v>
      </c>
      <c r="C125" s="336" t="inlineStr">
        <is>
          <t>Sky Villa</t>
        </is>
      </c>
      <c r="D125" s="334" t="inlineStr">
        <is>
          <t>Pieter Silenga</t>
        </is>
      </c>
      <c r="E125" s="334" t="n">
        <v>1</v>
      </c>
      <c r="F125" s="334" t="n">
        <v>3</v>
      </c>
      <c r="G125" s="334" t="inlineStr">
        <is>
          <t>Dinner B&amp;B</t>
        </is>
      </c>
      <c r="H125" s="334" t="inlineStr">
        <is>
          <t>Booking.com</t>
        </is>
      </c>
      <c r="I125" s="335" t="n">
        <v>3965</v>
      </c>
    </row>
    <row r="126">
      <c r="A126" s="332" t="n">
        <v>45872</v>
      </c>
      <c r="B126" s="332" t="n">
        <v>45873</v>
      </c>
      <c r="C126" s="336" t="inlineStr">
        <is>
          <t>Sky Villa</t>
        </is>
      </c>
      <c r="D126" s="334" t="inlineStr">
        <is>
          <t>HEROLDT</t>
        </is>
      </c>
      <c r="E126" s="334" t="n">
        <v>2</v>
      </c>
      <c r="F126" s="334" t="n">
        <v>2</v>
      </c>
      <c r="G126" s="334" t="inlineStr">
        <is>
          <t>Self-catering</t>
        </is>
      </c>
      <c r="H126" s="334" t="inlineStr">
        <is>
          <t>Other</t>
        </is>
      </c>
      <c r="I126" s="335" t="n">
        <v>0</v>
      </c>
    </row>
    <row r="127">
      <c r="A127" s="332" t="n">
        <v>45872</v>
      </c>
      <c r="B127" s="332" t="n">
        <v>45874</v>
      </c>
      <c r="C127" s="333" t="inlineStr">
        <is>
          <t>Remington Villa</t>
        </is>
      </c>
      <c r="D127" s="334" t="inlineStr">
        <is>
          <t>Lynn Kohls</t>
        </is>
      </c>
      <c r="E127" s="334" t="n">
        <v>3</v>
      </c>
      <c r="F127" s="334" t="n">
        <v>2</v>
      </c>
      <c r="G127" s="334" t="inlineStr">
        <is>
          <t>B&amp;B</t>
        </is>
      </c>
      <c r="H127" s="334" t="inlineStr">
        <is>
          <t>Booking.com</t>
        </is>
      </c>
      <c r="I127" s="335" t="n">
        <v>6214</v>
      </c>
    </row>
    <row r="128">
      <c r="A128" s="332" t="n">
        <v>45874</v>
      </c>
      <c r="B128" s="332" t="n">
        <v>45876</v>
      </c>
      <c r="C128" s="336" t="inlineStr">
        <is>
          <t>Sky Villa</t>
        </is>
      </c>
      <c r="D128" s="334" t="inlineStr">
        <is>
          <t>Maik Gross</t>
        </is>
      </c>
      <c r="E128" s="334" t="n">
        <v>3</v>
      </c>
      <c r="F128" s="334" t="n">
        <v>4</v>
      </c>
      <c r="G128" s="334" t="inlineStr">
        <is>
          <t>B&amp;B</t>
        </is>
      </c>
      <c r="H128" s="334" t="inlineStr">
        <is>
          <t>Booking.com</t>
        </is>
      </c>
      <c r="I128" s="335" t="n">
        <v>8554</v>
      </c>
    </row>
    <row r="129">
      <c r="A129" s="332" t="n">
        <v>45875</v>
      </c>
      <c r="B129" s="332" t="n">
        <v>45877</v>
      </c>
      <c r="C129" s="333" t="inlineStr">
        <is>
          <t>Remington Villa</t>
        </is>
      </c>
      <c r="D129" s="334" t="inlineStr">
        <is>
          <t>JUCIMARA Berton</t>
        </is>
      </c>
      <c r="E129" s="334" t="n">
        <v>3</v>
      </c>
      <c r="F129" s="334" t="n">
        <v>3</v>
      </c>
      <c r="G129" s="334" t="inlineStr">
        <is>
          <t>Dinner B&amp;B</t>
        </is>
      </c>
      <c r="H129" s="334" t="inlineStr">
        <is>
          <t>Booking.com</t>
        </is>
      </c>
      <c r="I129" s="335" t="n">
        <v>10692</v>
      </c>
    </row>
    <row r="130">
      <c r="A130" s="332" t="n">
        <v>45877</v>
      </c>
      <c r="B130" s="332" t="n">
        <v>45879</v>
      </c>
      <c r="C130" s="336" t="inlineStr">
        <is>
          <t>Sky Villa</t>
        </is>
      </c>
      <c r="D130" s="334" t="inlineStr">
        <is>
          <t>aylin koerfer</t>
        </is>
      </c>
      <c r="E130" s="334" t="n">
        <v>3</v>
      </c>
      <c r="F130" s="334" t="n">
        <v>2</v>
      </c>
      <c r="G130" s="334" t="inlineStr">
        <is>
          <t>B&amp;B</t>
        </is>
      </c>
      <c r="H130" s="334" t="inlineStr">
        <is>
          <t>Booking.com</t>
        </is>
      </c>
      <c r="I130" s="335" t="n">
        <v>8618</v>
      </c>
    </row>
    <row r="131">
      <c r="A131" s="332" t="n">
        <v>45878</v>
      </c>
      <c r="B131" s="332" t="n">
        <v>45879</v>
      </c>
      <c r="C131" s="333" t="inlineStr">
        <is>
          <t>Remington Villa</t>
        </is>
      </c>
      <c r="D131" s="334" t="inlineStr">
        <is>
          <t>August Morena</t>
        </is>
      </c>
      <c r="E131" s="334" t="n">
        <v>2</v>
      </c>
      <c r="F131" s="334" t="n">
        <v>2</v>
      </c>
      <c r="G131" s="334" t="inlineStr">
        <is>
          <t>B&amp;B</t>
        </is>
      </c>
      <c r="H131" s="334" t="inlineStr">
        <is>
          <t>Booking.com</t>
        </is>
      </c>
      <c r="I131" s="335" t="n">
        <v>5928</v>
      </c>
    </row>
    <row r="132">
      <c r="A132" s="332" t="n">
        <v>45881</v>
      </c>
      <c r="B132" s="332" t="n">
        <v>45881</v>
      </c>
      <c r="C132" s="333" t="inlineStr">
        <is>
          <t>Remington Villa</t>
        </is>
      </c>
      <c r="D132" s="334" t="inlineStr">
        <is>
          <t>Joris Vanwelkenhuyzen</t>
        </is>
      </c>
      <c r="E132" s="334" t="n">
        <v>1</v>
      </c>
      <c r="F132" s="334" t="n">
        <v>3</v>
      </c>
      <c r="G132" s="334" t="inlineStr">
        <is>
          <t>B&amp;B</t>
        </is>
      </c>
      <c r="H132" s="334" t="inlineStr">
        <is>
          <t>Booking.com</t>
        </is>
      </c>
      <c r="I132" s="335" t="n">
        <v>2632</v>
      </c>
    </row>
    <row r="133">
      <c r="A133" s="332" t="n">
        <v>45881</v>
      </c>
      <c r="B133" s="332" t="n">
        <v>45882</v>
      </c>
      <c r="C133" s="336" t="inlineStr">
        <is>
          <t>Sky Villa</t>
        </is>
      </c>
      <c r="D133" s="334" t="inlineStr">
        <is>
          <t>BLANCA FERRANDO HARO</t>
        </is>
      </c>
      <c r="E133" s="334" t="n">
        <v>2</v>
      </c>
      <c r="F133" s="334" t="n">
        <v>4</v>
      </c>
      <c r="G133" s="334" t="inlineStr">
        <is>
          <t>B&amp;B</t>
        </is>
      </c>
      <c r="H133" s="334" t="inlineStr">
        <is>
          <t>Booking.com</t>
        </is>
      </c>
      <c r="I133" s="335" t="n">
        <v>6792</v>
      </c>
    </row>
    <row r="134">
      <c r="A134" s="332" t="n">
        <v>45882</v>
      </c>
      <c r="B134" s="332" t="n">
        <v>45882</v>
      </c>
      <c r="C134" s="333" t="inlineStr">
        <is>
          <t>Remington Villa</t>
        </is>
      </c>
      <c r="D134" s="334" t="inlineStr">
        <is>
          <t>HEALTHCARE JUDE</t>
        </is>
      </c>
      <c r="E134" s="334" t="n">
        <v>1</v>
      </c>
      <c r="F134" s="334" t="n">
        <v>1</v>
      </c>
      <c r="G134" s="334" t="inlineStr">
        <is>
          <t>B&amp;B</t>
        </is>
      </c>
      <c r="H134" s="334" t="inlineStr">
        <is>
          <t>Other</t>
        </is>
      </c>
      <c r="I134" s="335" t="n">
        <v>0</v>
      </c>
    </row>
    <row r="135">
      <c r="A135" s="332" t="n">
        <v>45884</v>
      </c>
      <c r="B135" s="332" t="n">
        <v>45885</v>
      </c>
      <c r="C135" s="336" t="inlineStr">
        <is>
          <t>Sky Villa</t>
        </is>
      </c>
      <c r="D135" s="334" t="inlineStr">
        <is>
          <t>Giulia Muneratti</t>
        </is>
      </c>
      <c r="E135" s="334" t="n">
        <v>2</v>
      </c>
      <c r="F135" s="334" t="n">
        <v>2</v>
      </c>
      <c r="G135" s="334" t="inlineStr">
        <is>
          <t>B&amp;B</t>
        </is>
      </c>
      <c r="H135" s="334" t="inlineStr">
        <is>
          <t>Booking.com</t>
        </is>
      </c>
      <c r="I135" s="335" t="n">
        <v>4411</v>
      </c>
    </row>
    <row r="136">
      <c r="A136" s="332" t="n">
        <v>45884</v>
      </c>
      <c r="B136" s="332" t="n">
        <v>45886</v>
      </c>
      <c r="C136" s="333" t="inlineStr">
        <is>
          <t>Remington Villa</t>
        </is>
      </c>
      <c r="D136" s="334" t="inlineStr">
        <is>
          <t>Camilla Mosele</t>
        </is>
      </c>
      <c r="E136" s="334" t="n">
        <v>3</v>
      </c>
      <c r="F136" s="334" t="n">
        <v>2</v>
      </c>
      <c r="G136" s="334" t="inlineStr">
        <is>
          <t>Dinner B&amp;B</t>
        </is>
      </c>
      <c r="H136" s="334" t="inlineStr">
        <is>
          <t>Booking.com</t>
        </is>
      </c>
      <c r="I136" s="335" t="n">
        <v>10659</v>
      </c>
    </row>
    <row r="137">
      <c r="A137" s="332" t="n">
        <v>45886</v>
      </c>
      <c r="B137" s="332" t="n">
        <v>45887</v>
      </c>
      <c r="C137" s="336" t="inlineStr">
        <is>
          <t>Sky Villa</t>
        </is>
      </c>
      <c r="D137" s="334" t="inlineStr">
        <is>
          <t>Joelso Lopes de Miranda</t>
        </is>
      </c>
      <c r="E137" s="334" t="n">
        <v>2</v>
      </c>
      <c r="F137" s="334" t="n">
        <v>2</v>
      </c>
      <c r="G137" s="334" t="inlineStr">
        <is>
          <t>B&amp;B</t>
        </is>
      </c>
      <c r="H137" s="334" t="inlineStr">
        <is>
          <t>Booking.com</t>
        </is>
      </c>
      <c r="I137" s="335" t="n">
        <v>3893</v>
      </c>
    </row>
    <row r="138">
      <c r="A138" s="332" t="n">
        <v>45887</v>
      </c>
      <c r="B138" s="332" t="n">
        <v>45887</v>
      </c>
      <c r="C138" s="333" t="inlineStr">
        <is>
          <t>Remington Villa</t>
        </is>
      </c>
      <c r="D138" s="334" t="inlineStr">
        <is>
          <t>Inge Kaptein</t>
        </is>
      </c>
      <c r="E138" s="334" t="n">
        <v>1</v>
      </c>
      <c r="F138" s="334" t="n">
        <v>3</v>
      </c>
      <c r="G138" s="334" t="inlineStr">
        <is>
          <t>B&amp;B</t>
        </is>
      </c>
      <c r="H138" s="334" t="inlineStr">
        <is>
          <t>Booking.com</t>
        </is>
      </c>
      <c r="I138" s="335" t="n">
        <v>2455</v>
      </c>
    </row>
    <row r="139">
      <c r="A139" s="332" t="n">
        <v>45888</v>
      </c>
      <c r="B139" s="332" t="n">
        <v>45889</v>
      </c>
      <c r="C139" s="333" t="inlineStr">
        <is>
          <t>Remington Villa</t>
        </is>
      </c>
      <c r="D139" s="334" t="inlineStr">
        <is>
          <t>Bianca Op den Drink</t>
        </is>
      </c>
      <c r="E139" s="334" t="n">
        <v>2</v>
      </c>
      <c r="F139" s="334" t="n">
        <v>4</v>
      </c>
      <c r="G139" s="334" t="inlineStr">
        <is>
          <t>Dinner B&amp;B</t>
        </is>
      </c>
      <c r="H139" s="334" t="inlineStr">
        <is>
          <t>Booking.com</t>
        </is>
      </c>
      <c r="I139" s="335" t="n">
        <v>11457</v>
      </c>
    </row>
    <row r="140">
      <c r="A140" s="332" t="n">
        <v>45888</v>
      </c>
      <c r="B140" s="332" t="n">
        <v>45890</v>
      </c>
      <c r="C140" s="336" t="inlineStr">
        <is>
          <t>Sky Villa</t>
        </is>
      </c>
      <c r="D140" s="334" t="inlineStr">
        <is>
          <t>Alina Kruger</t>
        </is>
      </c>
      <c r="E140" s="334" t="n">
        <v>3</v>
      </c>
      <c r="F140" s="334" t="n">
        <v>2</v>
      </c>
      <c r="G140" s="334" t="inlineStr">
        <is>
          <t>B&amp;B</t>
        </is>
      </c>
      <c r="H140" s="334" t="inlineStr">
        <is>
          <t>Booking.com</t>
        </is>
      </c>
      <c r="I140" s="335" t="n">
        <v>6658</v>
      </c>
    </row>
    <row r="141">
      <c r="A141" s="332" t="n">
        <v>45891</v>
      </c>
      <c r="B141" s="332" t="n">
        <v>45892</v>
      </c>
      <c r="C141" s="333" t="inlineStr">
        <is>
          <t>Remington Villa</t>
        </is>
      </c>
      <c r="D141" s="334" t="inlineStr">
        <is>
          <t>Remco Spaan</t>
        </is>
      </c>
      <c r="E141" s="334" t="n">
        <v>2</v>
      </c>
      <c r="F141" s="334" t="n">
        <v>4</v>
      </c>
      <c r="G141" s="334" t="inlineStr">
        <is>
          <t>Dinner B&amp;B</t>
        </is>
      </c>
      <c r="H141" s="334" t="inlineStr">
        <is>
          <t>Booking.com</t>
        </is>
      </c>
      <c r="I141" s="335" t="n">
        <v>8968</v>
      </c>
    </row>
    <row r="142">
      <c r="A142" s="332" t="n">
        <v>45892</v>
      </c>
      <c r="B142" s="332" t="n">
        <v>45895</v>
      </c>
      <c r="C142" s="336" t="inlineStr">
        <is>
          <t>Sky Villa</t>
        </is>
      </c>
      <c r="D142" s="334" t="inlineStr">
        <is>
          <t>Martin Schulze</t>
        </is>
      </c>
      <c r="E142" s="334" t="n">
        <v>4</v>
      </c>
      <c r="F142" s="334" t="n">
        <v>4</v>
      </c>
      <c r="G142" s="334" t="inlineStr">
        <is>
          <t>Dinner B&amp;B</t>
        </is>
      </c>
      <c r="H142" s="334" t="inlineStr">
        <is>
          <t>Booking.com</t>
        </is>
      </c>
      <c r="I142" s="335" t="n">
        <v>16925</v>
      </c>
    </row>
    <row r="143">
      <c r="A143" s="332" t="n">
        <v>45893</v>
      </c>
      <c r="B143" s="332" t="n">
        <v>45894</v>
      </c>
      <c r="C143" s="333" t="inlineStr">
        <is>
          <t>Remington Villa</t>
        </is>
      </c>
      <c r="D143" s="334" t="inlineStr">
        <is>
          <t>Anne Giese</t>
        </is>
      </c>
      <c r="E143" s="334" t="n">
        <v>2</v>
      </c>
      <c r="F143" s="334" t="n">
        <v>2</v>
      </c>
      <c r="G143" s="334" t="inlineStr">
        <is>
          <t>B&amp;B</t>
        </is>
      </c>
      <c r="H143" s="334" t="inlineStr">
        <is>
          <t>Booking.com</t>
        </is>
      </c>
      <c r="I143" s="335" t="n">
        <v>4439</v>
      </c>
    </row>
    <row r="144">
      <c r="A144" s="332" t="n">
        <v>45896</v>
      </c>
      <c r="B144" s="332" t="n">
        <v>45897</v>
      </c>
      <c r="C144" s="336" t="inlineStr">
        <is>
          <t>Sky Villa</t>
        </is>
      </c>
      <c r="D144" s="334" t="inlineStr">
        <is>
          <t>Dominik Haba</t>
        </is>
      </c>
      <c r="E144" s="334" t="n">
        <v>2</v>
      </c>
      <c r="F144" s="334" t="n">
        <v>3</v>
      </c>
      <c r="G144" s="334" t="inlineStr">
        <is>
          <t>B&amp;B</t>
        </is>
      </c>
      <c r="H144" s="334" t="inlineStr">
        <is>
          <t>Booking.com</t>
        </is>
      </c>
      <c r="I144" s="335" t="n">
        <v>4910</v>
      </c>
    </row>
    <row r="145">
      <c r="A145" s="332" t="n">
        <v>45896</v>
      </c>
      <c r="B145" s="332" t="n">
        <v>45897</v>
      </c>
      <c r="C145" s="333" t="inlineStr">
        <is>
          <t>Remington Villa</t>
        </is>
      </c>
      <c r="D145" s="334" t="inlineStr">
        <is>
          <t>Dominik Haba</t>
        </is>
      </c>
      <c r="E145" s="334" t="n">
        <v>2</v>
      </c>
      <c r="F145" s="334" t="n">
        <v>2</v>
      </c>
      <c r="G145" s="334" t="inlineStr">
        <is>
          <t>B&amp;B</t>
        </is>
      </c>
      <c r="H145" s="334" t="inlineStr">
        <is>
          <t>Booking.com</t>
        </is>
      </c>
      <c r="I145" s="335" t="n">
        <v>4142</v>
      </c>
    </row>
    <row r="146">
      <c r="A146" s="332" t="n">
        <v>45898</v>
      </c>
      <c r="B146" s="332" t="n">
        <v>45899</v>
      </c>
      <c r="C146" s="333" t="inlineStr">
        <is>
          <t>Remington Villa</t>
        </is>
      </c>
      <c r="D146" s="334" t="inlineStr">
        <is>
          <t>Dominik Haba</t>
        </is>
      </c>
      <c r="E146" s="334" t="n">
        <v>2</v>
      </c>
      <c r="F146" s="334" t="n">
        <v>4</v>
      </c>
      <c r="G146" s="334" t="inlineStr">
        <is>
          <t>B&amp;B</t>
        </is>
      </c>
      <c r="H146" s="334" t="inlineStr">
        <is>
          <t>Booking.com</t>
        </is>
      </c>
      <c r="I146" s="335" t="n">
        <v>5702</v>
      </c>
    </row>
    <row r="147">
      <c r="A147" s="332" t="n">
        <v>45898</v>
      </c>
      <c r="B147" s="332" t="n">
        <v>45899</v>
      </c>
      <c r="C147" s="336" t="inlineStr">
        <is>
          <t>Sky Villa</t>
        </is>
      </c>
      <c r="D147" s="334" t="inlineStr">
        <is>
          <t>Omphemetse Mosito</t>
        </is>
      </c>
      <c r="E147" s="334" t="n">
        <v>2</v>
      </c>
      <c r="F147" s="334" t="n">
        <v>2</v>
      </c>
      <c r="G147" s="334" t="inlineStr">
        <is>
          <t>Self-catering</t>
        </is>
      </c>
      <c r="H147" s="334" t="inlineStr">
        <is>
          <t>Other</t>
        </is>
      </c>
      <c r="I147" s="335" t="n">
        <v>0</v>
      </c>
    </row>
    <row r="148">
      <c r="A148" s="332" t="n">
        <v>45903</v>
      </c>
      <c r="B148" s="332" t="n">
        <v>45903</v>
      </c>
      <c r="C148" s="336" t="inlineStr">
        <is>
          <t>Sky Villa</t>
        </is>
      </c>
      <c r="D148" s="334" t="inlineStr">
        <is>
          <t>Javier de Ancos Martin</t>
        </is>
      </c>
      <c r="E148" s="334" t="n">
        <v>1</v>
      </c>
      <c r="F148" s="334" t="n">
        <v>2</v>
      </c>
      <c r="G148" s="334" t="inlineStr">
        <is>
          <t>Dinner B&amp;B</t>
        </is>
      </c>
      <c r="H148" s="334" t="inlineStr">
        <is>
          <t>Booking.com</t>
        </is>
      </c>
      <c r="I148" s="335" t="n">
        <v>3344</v>
      </c>
    </row>
    <row r="149">
      <c r="A149" s="332" t="n">
        <v>45903</v>
      </c>
      <c r="B149" s="332" t="n">
        <v>45903</v>
      </c>
      <c r="C149" s="333" t="inlineStr">
        <is>
          <t>Remington Villa</t>
        </is>
      </c>
      <c r="D149" s="334" t="inlineStr">
        <is>
          <t>Mathieu Dihal</t>
        </is>
      </c>
      <c r="E149" s="334" t="n">
        <v>1</v>
      </c>
      <c r="F149" s="334" t="n">
        <v>2</v>
      </c>
      <c r="G149" s="334" t="inlineStr">
        <is>
          <t>B&amp;B</t>
        </is>
      </c>
      <c r="H149" s="334" t="inlineStr">
        <is>
          <t>Booking.com</t>
        </is>
      </c>
      <c r="I149" s="335" t="n">
        <v>2071</v>
      </c>
    </row>
    <row r="150">
      <c r="A150" s="332" t="n">
        <v>45905</v>
      </c>
      <c r="B150" s="332" t="n">
        <v>45905</v>
      </c>
      <c r="C150" s="333" t="inlineStr">
        <is>
          <t>Remington Villa</t>
        </is>
      </c>
      <c r="D150" s="334" t="inlineStr">
        <is>
          <t>Theresa Lorenz</t>
        </is>
      </c>
      <c r="E150" s="334" t="n">
        <v>1</v>
      </c>
      <c r="F150" s="334" t="n">
        <v>2</v>
      </c>
      <c r="G150" s="334" t="inlineStr">
        <is>
          <t>B&amp;B</t>
        </is>
      </c>
      <c r="H150" s="334" t="inlineStr">
        <is>
          <t>Booking.com</t>
        </is>
      </c>
      <c r="I150" s="335" t="n">
        <v>2071</v>
      </c>
    </row>
    <row r="151">
      <c r="A151" s="332" t="n">
        <v>45906</v>
      </c>
      <c r="B151" s="332" t="n">
        <v>45906</v>
      </c>
      <c r="C151" s="336" t="inlineStr">
        <is>
          <t>Sky Villa</t>
        </is>
      </c>
      <c r="D151" s="334" t="inlineStr">
        <is>
          <t>Jan Philipp Huber</t>
        </is>
      </c>
      <c r="E151" s="334" t="n">
        <v>1</v>
      </c>
      <c r="F151" s="334" t="n">
        <v>2</v>
      </c>
      <c r="G151" s="334" t="inlineStr">
        <is>
          <t>Dinner B&amp;B</t>
        </is>
      </c>
      <c r="H151" s="334" t="inlineStr">
        <is>
          <t>Booking.com</t>
        </is>
      </c>
      <c r="I151" s="335" t="n">
        <v>3344</v>
      </c>
    </row>
    <row r="152">
      <c r="A152" s="332" t="n">
        <v>45907</v>
      </c>
      <c r="B152" s="332" t="n">
        <v>45907</v>
      </c>
      <c r="C152" s="336" t="inlineStr">
        <is>
          <t>Sky Villa</t>
        </is>
      </c>
      <c r="D152" s="334" t="inlineStr">
        <is>
          <t>Maria dominique</t>
        </is>
      </c>
      <c r="E152" s="334" t="n">
        <v>1</v>
      </c>
      <c r="F152" s="334" t="n">
        <v>2</v>
      </c>
      <c r="G152" s="334" t="inlineStr">
        <is>
          <t>B&amp;B</t>
        </is>
      </c>
      <c r="H152" s="334" t="inlineStr">
        <is>
          <t>Booking.com</t>
        </is>
      </c>
      <c r="I152" s="335" t="n">
        <v>2071</v>
      </c>
    </row>
    <row r="153">
      <c r="A153" s="332" t="n">
        <v>45908</v>
      </c>
      <c r="B153" s="332" t="n">
        <v>45913</v>
      </c>
      <c r="C153" s="333" t="inlineStr">
        <is>
          <t>Remington Villa</t>
        </is>
      </c>
      <c r="D153" s="334" t="inlineStr">
        <is>
          <t>Klaus Lippert</t>
        </is>
      </c>
      <c r="E153" s="334" t="n">
        <v>6</v>
      </c>
      <c r="F153" s="334" t="n">
        <v>2</v>
      </c>
      <c r="G153" s="334" t="inlineStr">
        <is>
          <t>Dinner B&amp;B</t>
        </is>
      </c>
      <c r="H153" s="334" t="inlineStr">
        <is>
          <t>Booking.com</t>
        </is>
      </c>
      <c r="I153" s="335" t="n">
        <v>20064</v>
      </c>
    </row>
    <row r="154">
      <c r="A154" s="332" t="n">
        <v>45909</v>
      </c>
      <c r="B154" s="332" t="n">
        <v>45910</v>
      </c>
      <c r="C154" s="336" t="inlineStr">
        <is>
          <t>Sky Villa</t>
        </is>
      </c>
      <c r="D154" s="334" t="inlineStr">
        <is>
          <t>Jacqueline Derron</t>
        </is>
      </c>
      <c r="E154" s="334" t="n">
        <v>2</v>
      </c>
      <c r="F154" s="334" t="n">
        <v>2</v>
      </c>
      <c r="G154" s="334" t="inlineStr">
        <is>
          <t>Dinner B&amp;B</t>
        </is>
      </c>
      <c r="H154" s="334" t="inlineStr">
        <is>
          <t>Booking.com</t>
        </is>
      </c>
      <c r="I154" s="335" t="n">
        <v>7355</v>
      </c>
    </row>
    <row r="155">
      <c r="A155" s="332" t="n">
        <v>45911</v>
      </c>
      <c r="B155" s="332" t="n">
        <v>45912</v>
      </c>
      <c r="C155" s="336" t="inlineStr">
        <is>
          <t>Sky Villa</t>
        </is>
      </c>
      <c r="D155" s="334" t="inlineStr">
        <is>
          <t>Mathijs Vandenboorn</t>
        </is>
      </c>
      <c r="E155" s="334" t="n">
        <v>2</v>
      </c>
      <c r="F155" s="334" t="n">
        <v>2</v>
      </c>
      <c r="G155" s="334" t="inlineStr">
        <is>
          <t>Dinner B&amp;B</t>
        </is>
      </c>
      <c r="H155" s="334" t="inlineStr">
        <is>
          <t>Booking.com</t>
        </is>
      </c>
      <c r="I155" s="335" t="n">
        <v>6452</v>
      </c>
    </row>
    <row r="156">
      <c r="A156" s="332" t="n">
        <v>45913</v>
      </c>
      <c r="B156" s="332" t="n">
        <v>45916</v>
      </c>
      <c r="C156" s="336" t="inlineStr">
        <is>
          <t>Sky Villa</t>
        </is>
      </c>
      <c r="D156" s="334" t="inlineStr">
        <is>
          <t>Jet Hammingh-Joustra</t>
        </is>
      </c>
      <c r="E156" s="334" t="n">
        <v>4</v>
      </c>
      <c r="F156" s="334" t="n">
        <v>3</v>
      </c>
      <c r="G156" s="334" t="inlineStr">
        <is>
          <t>B&amp;B</t>
        </is>
      </c>
      <c r="H156" s="334" t="inlineStr">
        <is>
          <t>Booking.com</t>
        </is>
      </c>
      <c r="I156" s="335" t="n">
        <v>12016</v>
      </c>
    </row>
    <row r="157">
      <c r="A157" s="332" t="n">
        <v>45918</v>
      </c>
      <c r="B157" s="332" t="n">
        <v>45918</v>
      </c>
      <c r="C157" s="333" t="inlineStr">
        <is>
          <t>Remington Villa</t>
        </is>
      </c>
      <c r="D157" s="334" t="inlineStr">
        <is>
          <t>Charlotte Human</t>
        </is>
      </c>
      <c r="E157" s="334" t="n">
        <v>1</v>
      </c>
      <c r="F157" s="334" t="n">
        <v>2</v>
      </c>
      <c r="G157" s="334" t="inlineStr">
        <is>
          <t>B&amp;B</t>
        </is>
      </c>
      <c r="H157" s="334" t="inlineStr">
        <is>
          <t>Booking.com</t>
        </is>
      </c>
      <c r="I157" s="335" t="n">
        <v>2219</v>
      </c>
    </row>
    <row r="158">
      <c r="A158" s="332" t="n">
        <v>45919</v>
      </c>
      <c r="B158" s="332" t="n">
        <v>45920</v>
      </c>
      <c r="C158" s="333" t="inlineStr">
        <is>
          <t>Remington Villa</t>
        </is>
      </c>
      <c r="D158" s="334" t="inlineStr">
        <is>
          <t>ronald granju</t>
        </is>
      </c>
      <c r="E158" s="334" t="n">
        <v>2</v>
      </c>
      <c r="F158" s="334" t="n">
        <v>2</v>
      </c>
      <c r="G158" s="334" t="inlineStr">
        <is>
          <t>B&amp;B</t>
        </is>
      </c>
      <c r="H158" s="334" t="inlineStr">
        <is>
          <t>Booking.com</t>
        </is>
      </c>
      <c r="I158" s="335" t="n">
        <v>4439</v>
      </c>
    </row>
    <row r="159">
      <c r="A159" s="332" t="n">
        <v>45922</v>
      </c>
      <c r="B159" s="332" t="n">
        <v>45927</v>
      </c>
      <c r="C159" s="333" t="inlineStr">
        <is>
          <t>Remington Villa</t>
        </is>
      </c>
      <c r="D159" s="334" t="inlineStr">
        <is>
          <t>Denis Long</t>
        </is>
      </c>
      <c r="E159" s="334" t="n">
        <v>6</v>
      </c>
      <c r="F159" s="334" t="n">
        <v>2</v>
      </c>
      <c r="G159" s="334" t="inlineStr">
        <is>
          <t>B&amp;B</t>
        </is>
      </c>
      <c r="H159" s="334" t="inlineStr">
        <is>
          <t>Booking.com</t>
        </is>
      </c>
      <c r="I159" s="335" t="n">
        <v>14227</v>
      </c>
    </row>
    <row r="160">
      <c r="A160" s="332" t="n">
        <v>45924</v>
      </c>
      <c r="B160" s="332" t="n">
        <v>45924</v>
      </c>
      <c r="C160" s="336" t="inlineStr">
        <is>
          <t>Sky Villa</t>
        </is>
      </c>
      <c r="D160" s="334" t="inlineStr">
        <is>
          <t>Guido Bachmann</t>
        </is>
      </c>
      <c r="E160" s="334" t="n">
        <v>1</v>
      </c>
      <c r="F160" s="334" t="n">
        <v>2</v>
      </c>
      <c r="G160" s="334" t="inlineStr">
        <is>
          <t>B&amp;B</t>
        </is>
      </c>
      <c r="H160" s="334" t="inlineStr">
        <is>
          <t>Booking.com</t>
        </is>
      </c>
      <c r="I160" s="335" t="n">
        <v>2254</v>
      </c>
    </row>
    <row r="161">
      <c r="A161" s="332" t="n">
        <v>45925</v>
      </c>
      <c r="B161" s="332" t="n">
        <v>45926</v>
      </c>
      <c r="C161" s="336" t="inlineStr">
        <is>
          <t>Sky Villa</t>
        </is>
      </c>
      <c r="D161" s="334" t="inlineStr">
        <is>
          <t>Christiaan Crickemans</t>
        </is>
      </c>
      <c r="E161" s="334" t="n">
        <v>2</v>
      </c>
      <c r="F161" s="334" t="n">
        <v>2</v>
      </c>
      <c r="G161" s="334" t="inlineStr">
        <is>
          <t>Dinner B&amp;B</t>
        </is>
      </c>
      <c r="H161" s="334" t="inlineStr">
        <is>
          <t>Booking.com</t>
        </is>
      </c>
      <c r="I161" s="335" t="n">
        <v>6019</v>
      </c>
    </row>
    <row r="162">
      <c r="A162" s="332" t="n">
        <v>45927</v>
      </c>
      <c r="B162" s="332" t="n">
        <v>45927</v>
      </c>
      <c r="C162" s="336" t="inlineStr">
        <is>
          <t>Sky Villa</t>
        </is>
      </c>
      <c r="D162" s="334" t="inlineStr">
        <is>
          <t>Karabo Mashego</t>
        </is>
      </c>
      <c r="E162" s="334" t="n">
        <v>1</v>
      </c>
      <c r="F162" s="334" t="n">
        <v>2</v>
      </c>
      <c r="G162" s="334" t="inlineStr">
        <is>
          <t>Dinner B&amp;B</t>
        </is>
      </c>
      <c r="H162" s="334" t="inlineStr">
        <is>
          <t>Booking.com</t>
        </is>
      </c>
      <c r="I162" s="335" t="n">
        <v>2844</v>
      </c>
    </row>
    <row r="163">
      <c r="A163" s="332" t="n">
        <v>45928</v>
      </c>
      <c r="B163" s="332" t="n">
        <v>45928</v>
      </c>
      <c r="C163" s="336" t="inlineStr">
        <is>
          <t>Sky Villa</t>
        </is>
      </c>
      <c r="D163" s="334" t="inlineStr">
        <is>
          <t>Gunter Korpiun</t>
        </is>
      </c>
      <c r="E163" s="334" t="n">
        <v>1</v>
      </c>
      <c r="F163" s="334" t="n">
        <v>2</v>
      </c>
      <c r="G163" s="334" t="inlineStr">
        <is>
          <t>B&amp;B</t>
        </is>
      </c>
      <c r="H163" s="334" t="inlineStr">
        <is>
          <t>Booking.com</t>
        </is>
      </c>
      <c r="I163" s="335" t="n">
        <v>2254</v>
      </c>
    </row>
    <row r="164">
      <c r="A164" s="332" t="n">
        <v>45928</v>
      </c>
      <c r="B164" s="332" t="n">
        <v>45929</v>
      </c>
      <c r="C164" s="333" t="inlineStr">
        <is>
          <t>Remington Villa</t>
        </is>
      </c>
      <c r="D164" s="334" t="inlineStr">
        <is>
          <t>Kerstin Weber</t>
        </is>
      </c>
      <c r="E164" s="334" t="n">
        <v>2</v>
      </c>
      <c r="F164" s="334" t="n">
        <v>4</v>
      </c>
      <c r="G164" s="334" t="inlineStr">
        <is>
          <t>Dinner B&amp;B</t>
        </is>
      </c>
      <c r="H164" s="334" t="inlineStr">
        <is>
          <t>Booking.com</t>
        </is>
      </c>
      <c r="I164" s="335" t="n">
        <v>10184</v>
      </c>
    </row>
    <row r="165">
      <c r="A165" s="332" t="n">
        <v>45929</v>
      </c>
      <c r="B165" s="332" t="n">
        <v>45930</v>
      </c>
      <c r="C165" s="336" t="inlineStr">
        <is>
          <t>Sky Villa</t>
        </is>
      </c>
      <c r="D165" s="334" t="inlineStr">
        <is>
          <t>Kelly Johnstone</t>
        </is>
      </c>
      <c r="E165" s="334" t="n">
        <v>2</v>
      </c>
      <c r="F165" s="334" t="n">
        <v>2</v>
      </c>
      <c r="G165" s="334" t="inlineStr">
        <is>
          <t>B&amp;B</t>
        </is>
      </c>
      <c r="H165" s="334" t="inlineStr">
        <is>
          <t>Booking.com</t>
        </is>
      </c>
      <c r="I165" s="335" t="n">
        <v>5746</v>
      </c>
    </row>
    <row r="166">
      <c r="A166" s="332" t="n">
        <v>45930</v>
      </c>
      <c r="B166" s="332" t="n">
        <v>45931</v>
      </c>
      <c r="C166" s="333" t="inlineStr">
        <is>
          <t>Remington Villa</t>
        </is>
      </c>
      <c r="D166" s="334" t="inlineStr">
        <is>
          <t>Christian Joseph Lingan</t>
        </is>
      </c>
      <c r="E166" s="334" t="n">
        <v>2</v>
      </c>
      <c r="F166" s="334" t="n">
        <v>4</v>
      </c>
      <c r="G166" s="334" t="inlineStr">
        <is>
          <t>B&amp;B</t>
        </is>
      </c>
      <c r="H166" s="334" t="inlineStr">
        <is>
          <t>Booking.com</t>
        </is>
      </c>
      <c r="I166" s="335" t="n">
        <v>5333</v>
      </c>
    </row>
    <row r="167">
      <c r="A167" s="332" t="n">
        <v>45932</v>
      </c>
      <c r="B167" s="332" t="n">
        <v>45932</v>
      </c>
      <c r="C167" s="336" t="inlineStr">
        <is>
          <t>Sky Villa</t>
        </is>
      </c>
      <c r="D167" s="334" t="inlineStr">
        <is>
          <t>Sibylle Von Aarburg</t>
        </is>
      </c>
      <c r="E167" s="334" t="n">
        <v>1</v>
      </c>
      <c r="F167" s="334" t="n">
        <v>4</v>
      </c>
      <c r="G167" s="334" t="inlineStr">
        <is>
          <t>B&amp;B</t>
        </is>
      </c>
      <c r="H167" s="334" t="inlineStr">
        <is>
          <t>Booking.com</t>
        </is>
      </c>
      <c r="I167" s="335" t="n">
        <v>2851</v>
      </c>
    </row>
    <row r="168">
      <c r="A168" s="332" t="n">
        <v>45932</v>
      </c>
      <c r="B168" s="332" t="n">
        <v>45932</v>
      </c>
      <c r="C168" s="333" t="inlineStr">
        <is>
          <t>Remington Villa</t>
        </is>
      </c>
      <c r="D168" s="334" t="inlineStr">
        <is>
          <t>Lea Chan</t>
        </is>
      </c>
      <c r="E168" s="334" t="n">
        <v>1</v>
      </c>
      <c r="F168" s="334" t="n">
        <v>2</v>
      </c>
      <c r="G168" s="334" t="inlineStr">
        <is>
          <t>B&amp;B</t>
        </is>
      </c>
      <c r="H168" s="334" t="inlineStr">
        <is>
          <t>Booking.com</t>
        </is>
      </c>
      <c r="I168" s="335" t="n">
        <v>2130</v>
      </c>
    </row>
    <row r="169">
      <c r="A169" s="332" t="n">
        <v>45933</v>
      </c>
      <c r="B169" s="332" t="n">
        <v>45934</v>
      </c>
      <c r="C169" s="336" t="inlineStr">
        <is>
          <t>Sky Villa</t>
        </is>
      </c>
      <c r="D169" s="334" t="inlineStr">
        <is>
          <t>ZIQIAN CHEN</t>
        </is>
      </c>
      <c r="E169" s="334" t="n">
        <v>2</v>
      </c>
      <c r="F169" s="334" t="n">
        <v>4</v>
      </c>
      <c r="G169" s="334" t="inlineStr">
        <is>
          <t>B&amp;B</t>
        </is>
      </c>
      <c r="H169" s="334" t="inlineStr">
        <is>
          <t>Booking.com</t>
        </is>
      </c>
      <c r="I169" s="335" t="n">
        <v>6480</v>
      </c>
    </row>
    <row r="170">
      <c r="A170" s="332" t="n">
        <v>45933</v>
      </c>
      <c r="B170" s="332" t="n">
        <v>45934</v>
      </c>
      <c r="C170" s="333" t="inlineStr">
        <is>
          <t>Remington Villa</t>
        </is>
      </c>
      <c r="D170" s="334" t="inlineStr">
        <is>
          <t>LERATO Nkadimeng</t>
        </is>
      </c>
      <c r="E170" s="334" t="n">
        <v>2</v>
      </c>
      <c r="F170" s="334" t="n">
        <v>3</v>
      </c>
      <c r="G170" s="334" t="inlineStr">
        <is>
          <t>B&amp;B</t>
        </is>
      </c>
      <c r="H170" s="334" t="inlineStr">
        <is>
          <t>Booking.com</t>
        </is>
      </c>
      <c r="I170" s="335" t="n">
        <v>5122</v>
      </c>
    </row>
    <row r="171">
      <c r="A171" s="332" t="n">
        <v>45935</v>
      </c>
      <c r="B171" s="332" t="n">
        <v>45935</v>
      </c>
      <c r="C171" s="336" t="inlineStr">
        <is>
          <t>Sky Villa</t>
        </is>
      </c>
      <c r="D171" s="334" t="inlineStr">
        <is>
          <t>GENEVIEVE ROASIO</t>
        </is>
      </c>
      <c r="E171" s="334" t="n">
        <v>1</v>
      </c>
      <c r="F171" s="334" t="n">
        <v>4</v>
      </c>
      <c r="G171" s="334" t="inlineStr">
        <is>
          <t>Dinner B&amp;B</t>
        </is>
      </c>
      <c r="H171" s="334" t="inlineStr">
        <is>
          <t>Booking.com</t>
        </is>
      </c>
      <c r="I171" s="335" t="n">
        <v>5092</v>
      </c>
    </row>
    <row r="172">
      <c r="A172" s="332" t="n">
        <v>45935</v>
      </c>
      <c r="B172" s="332" t="n">
        <v>45935</v>
      </c>
      <c r="C172" s="333" t="inlineStr">
        <is>
          <t>Remington Villa</t>
        </is>
      </c>
      <c r="D172" s="334" t="inlineStr">
        <is>
          <t>GENEVIEVE ROASIO</t>
        </is>
      </c>
      <c r="E172" s="334" t="n">
        <v>1</v>
      </c>
      <c r="F172" s="334" t="n">
        <v>4</v>
      </c>
      <c r="G172" s="334" t="inlineStr">
        <is>
          <t>Dinner B&amp;B</t>
        </is>
      </c>
      <c r="H172" s="334" t="inlineStr">
        <is>
          <t>Booking.com</t>
        </is>
      </c>
      <c r="I172" s="335" t="n">
        <v>5092</v>
      </c>
    </row>
    <row r="173">
      <c r="A173" s="332" t="n">
        <v>45936</v>
      </c>
      <c r="B173" s="332" t="n">
        <v>45937</v>
      </c>
      <c r="C173" s="336" t="inlineStr">
        <is>
          <t>Sky Villa</t>
        </is>
      </c>
      <c r="D173" s="334" t="inlineStr">
        <is>
          <t>Noelia Garcia</t>
        </is>
      </c>
      <c r="E173" s="334" t="n">
        <v>2</v>
      </c>
      <c r="F173" s="334" t="n">
        <v>2</v>
      </c>
      <c r="G173" s="334" t="inlineStr">
        <is>
          <t>B&amp;B</t>
        </is>
      </c>
      <c r="H173" s="334" t="inlineStr">
        <is>
          <t>Booking.com</t>
        </is>
      </c>
      <c r="I173" s="335" t="n">
        <v>4024</v>
      </c>
    </row>
    <row r="174">
      <c r="A174" s="332" t="n">
        <v>45938</v>
      </c>
      <c r="B174" s="332" t="n">
        <v>45938</v>
      </c>
      <c r="C174" s="336" t="inlineStr">
        <is>
          <t>Sky Villa</t>
        </is>
      </c>
      <c r="D174" s="334" t="inlineStr">
        <is>
          <t>Markus Morick</t>
        </is>
      </c>
      <c r="E174" s="334" t="n">
        <v>1</v>
      </c>
      <c r="F174" s="334" t="n">
        <v>2</v>
      </c>
      <c r="G174" s="334" t="inlineStr">
        <is>
          <t>Dinner B&amp;B</t>
        </is>
      </c>
      <c r="H174" s="334" t="inlineStr">
        <is>
          <t>Booking.com</t>
        </is>
      </c>
      <c r="I174" s="335" t="n">
        <v>3344</v>
      </c>
    </row>
    <row r="175">
      <c r="A175" s="332" t="n">
        <v>45938</v>
      </c>
      <c r="B175" s="332" t="n">
        <v>45938</v>
      </c>
      <c r="C175" s="333" t="inlineStr">
        <is>
          <t>Remington Villa</t>
        </is>
      </c>
      <c r="D175" s="334" t="inlineStr">
        <is>
          <t>Viktoria Bratolubova</t>
        </is>
      </c>
      <c r="E175" s="334" t="n">
        <v>1</v>
      </c>
      <c r="F175" s="334" t="n">
        <v>3</v>
      </c>
      <c r="G175" s="334" t="inlineStr">
        <is>
          <t>B&amp;B</t>
        </is>
      </c>
      <c r="H175" s="334" t="inlineStr">
        <is>
          <t>Booking.com</t>
        </is>
      </c>
      <c r="I175" s="335" t="n">
        <v>2753</v>
      </c>
    </row>
    <row r="176">
      <c r="A176" s="332" t="n">
        <v>45939</v>
      </c>
      <c r="B176" s="332" t="n">
        <v>45943</v>
      </c>
      <c r="C176" s="333" t="inlineStr">
        <is>
          <t>Remington Villa</t>
        </is>
      </c>
      <c r="D176" s="334" t="inlineStr">
        <is>
          <t>Coeni Brink</t>
        </is>
      </c>
      <c r="E176" s="334" t="n">
        <v>5</v>
      </c>
      <c r="F176" s="334" t="n">
        <v>4</v>
      </c>
      <c r="G176" s="334" t="inlineStr">
        <is>
          <t>Self-catering</t>
        </is>
      </c>
      <c r="H176" s="334" t="inlineStr">
        <is>
          <t>Other</t>
        </is>
      </c>
      <c r="I176" s="335" t="n">
        <v>0</v>
      </c>
    </row>
    <row r="177">
      <c r="A177" s="332" t="n">
        <v>45944</v>
      </c>
      <c r="B177" s="332" t="n">
        <v>45945</v>
      </c>
      <c r="C177" s="333" t="inlineStr">
        <is>
          <t>Remington Villa</t>
        </is>
      </c>
      <c r="D177" s="334" t="inlineStr">
        <is>
          <t>Lucas Daimer</t>
        </is>
      </c>
      <c r="E177" s="334" t="n">
        <v>2</v>
      </c>
      <c r="F177" s="334" t="n">
        <v>2</v>
      </c>
      <c r="G177" s="334" t="inlineStr">
        <is>
          <t>Dinner B&amp;B</t>
        </is>
      </c>
      <c r="H177" s="334" t="inlineStr">
        <is>
          <t>Booking.com</t>
        </is>
      </c>
      <c r="I177" s="335" t="n">
        <v>6688</v>
      </c>
    </row>
    <row r="178">
      <c r="A178" s="332" t="n">
        <v>45945</v>
      </c>
      <c r="B178" s="332" t="n">
        <v>45945</v>
      </c>
      <c r="C178" s="336" t="inlineStr">
        <is>
          <t>Sky Villa</t>
        </is>
      </c>
      <c r="D178" s="334" t="inlineStr">
        <is>
          <t>Hepke Michael</t>
        </is>
      </c>
      <c r="E178" s="334" t="n">
        <v>1</v>
      </c>
      <c r="F178" s="334" t="n">
        <v>4</v>
      </c>
      <c r="G178" s="334" t="inlineStr">
        <is>
          <t>B&amp;B</t>
        </is>
      </c>
      <c r="H178" s="334" t="inlineStr">
        <is>
          <t>Booking.com</t>
        </is>
      </c>
      <c r="I178" s="335" t="n">
        <v>3240</v>
      </c>
    </row>
    <row r="179">
      <c r="A179" s="332" t="n">
        <v>45946</v>
      </c>
      <c r="B179" s="332" t="n">
        <v>45946</v>
      </c>
      <c r="C179" s="336" t="inlineStr">
        <is>
          <t>Sky Villa</t>
        </is>
      </c>
      <c r="D179" s="334" t="inlineStr">
        <is>
          <t>Lennart Ruschenschmidt</t>
        </is>
      </c>
      <c r="E179" s="334" t="n">
        <v>1</v>
      </c>
      <c r="F179" s="334" t="n">
        <v>2</v>
      </c>
      <c r="G179" s="334" t="inlineStr">
        <is>
          <t>Dinner B&amp;B</t>
        </is>
      </c>
      <c r="H179" s="334" t="inlineStr">
        <is>
          <t>Booking.com</t>
        </is>
      </c>
      <c r="I179" s="335" t="n">
        <v>2992</v>
      </c>
    </row>
    <row r="180">
      <c r="A180" s="332" t="n">
        <v>45946</v>
      </c>
      <c r="B180" s="332" t="n">
        <v>45948</v>
      </c>
      <c r="C180" s="333" t="inlineStr">
        <is>
          <t>Remington Villa</t>
        </is>
      </c>
      <c r="D180" s="334" t="inlineStr">
        <is>
          <t>GIANNI BLARD</t>
        </is>
      </c>
      <c r="E180" s="334" t="n">
        <v>3</v>
      </c>
      <c r="F180" s="334" t="n">
        <v>4</v>
      </c>
      <c r="G180" s="334" t="inlineStr">
        <is>
          <t>B&amp;B</t>
        </is>
      </c>
      <c r="H180" s="334" t="inlineStr">
        <is>
          <t>Booking.com</t>
        </is>
      </c>
      <c r="I180" s="335" t="n">
        <v>8554</v>
      </c>
    </row>
    <row r="181">
      <c r="A181" s="332" t="n">
        <v>45947</v>
      </c>
      <c r="B181" s="332" t="n">
        <v>45947</v>
      </c>
      <c r="C181" s="336" t="inlineStr">
        <is>
          <t>Sky Villa</t>
        </is>
      </c>
      <c r="D181" s="334" t="inlineStr">
        <is>
          <t>Thitaree BOONKET</t>
        </is>
      </c>
      <c r="E181" s="334" t="n">
        <v>1</v>
      </c>
      <c r="F181" s="334" t="n">
        <v>4</v>
      </c>
      <c r="G181" s="334" t="inlineStr">
        <is>
          <t>B&amp;B</t>
        </is>
      </c>
      <c r="H181" s="334" t="inlineStr">
        <is>
          <t>Booking.com</t>
        </is>
      </c>
      <c r="I181" s="335" t="n">
        <v>3216</v>
      </c>
    </row>
    <row r="182">
      <c r="A182" s="332" t="n">
        <v>45948</v>
      </c>
      <c r="B182" s="332" t="n">
        <v>45949</v>
      </c>
      <c r="C182" s="336" t="inlineStr">
        <is>
          <t>Sky Villa</t>
        </is>
      </c>
      <c r="D182" s="334" t="inlineStr">
        <is>
          <t>Marnie Bean</t>
        </is>
      </c>
      <c r="E182" s="334" t="n">
        <v>2</v>
      </c>
      <c r="F182" s="334" t="n">
        <v>2</v>
      </c>
      <c r="G182" s="334" t="inlineStr">
        <is>
          <t>B&amp;B</t>
        </is>
      </c>
      <c r="H182" s="334" t="inlineStr">
        <is>
          <t>WebView</t>
        </is>
      </c>
      <c r="I182" s="335" t="n">
        <v>3200</v>
      </c>
    </row>
    <row r="183">
      <c r="A183" s="332" t="n">
        <v>45950</v>
      </c>
      <c r="B183" s="332" t="n">
        <v>45952</v>
      </c>
      <c r="C183" s="336" t="inlineStr">
        <is>
          <t>Sky Villa</t>
        </is>
      </c>
      <c r="D183" s="334" t="inlineStr">
        <is>
          <t>katia</t>
        </is>
      </c>
      <c r="E183" s="334" t="n">
        <v>3</v>
      </c>
      <c r="F183" s="334" t="n">
        <v>4</v>
      </c>
      <c r="G183" s="334" t="inlineStr">
        <is>
          <t>Self-catering</t>
        </is>
      </c>
      <c r="H183" s="334" t="inlineStr">
        <is>
          <t>Other</t>
        </is>
      </c>
      <c r="I183" s="335" t="n">
        <v>0</v>
      </c>
    </row>
    <row r="184">
      <c r="A184" s="332" t="n">
        <v>45950</v>
      </c>
      <c r="B184" s="332" t="n">
        <v>45952</v>
      </c>
      <c r="C184" s="333" t="inlineStr">
        <is>
          <t>Remington Villa</t>
        </is>
      </c>
      <c r="D184" s="334" t="inlineStr">
        <is>
          <t>Max Muller</t>
        </is>
      </c>
      <c r="E184" s="334" t="n">
        <v>3</v>
      </c>
      <c r="F184" s="334" t="n">
        <v>3</v>
      </c>
      <c r="G184" s="334" t="inlineStr">
        <is>
          <t>B&amp;B</t>
        </is>
      </c>
      <c r="H184" s="334" t="inlineStr">
        <is>
          <t>Booking.com</t>
        </is>
      </c>
      <c r="I184" s="335" t="n">
        <v>6919</v>
      </c>
    </row>
    <row r="185">
      <c r="A185" s="332" t="n">
        <v>45953</v>
      </c>
      <c r="B185" s="332" t="n">
        <v>45955</v>
      </c>
      <c r="C185" s="336" t="inlineStr">
        <is>
          <t>Sky Villa</t>
        </is>
      </c>
      <c r="D185" s="334" t="inlineStr">
        <is>
          <t>Hendrike Walz-Bothe</t>
        </is>
      </c>
      <c r="E185" s="334" t="n">
        <v>3</v>
      </c>
      <c r="F185" s="334" t="n">
        <v>4</v>
      </c>
      <c r="G185" s="334" t="inlineStr">
        <is>
          <t>B&amp;B</t>
        </is>
      </c>
      <c r="H185" s="334" t="inlineStr">
        <is>
          <t>Booking.com</t>
        </is>
      </c>
      <c r="I185" s="335" t="n">
        <v>8554</v>
      </c>
    </row>
    <row r="186">
      <c r="A186" s="332" t="n">
        <v>45953</v>
      </c>
      <c r="B186" s="332" t="n">
        <v>45955</v>
      </c>
      <c r="C186" s="333" t="inlineStr">
        <is>
          <t>Remington Villa</t>
        </is>
      </c>
      <c r="D186" s="334" t="inlineStr">
        <is>
          <t>Hendrike Walz-Bothe</t>
        </is>
      </c>
      <c r="E186" s="334" t="n">
        <v>3</v>
      </c>
      <c r="F186" s="334" t="n">
        <v>4</v>
      </c>
      <c r="G186" s="334" t="inlineStr">
        <is>
          <t>B&amp;B</t>
        </is>
      </c>
      <c r="H186" s="334" t="inlineStr">
        <is>
          <t>Booking.com</t>
        </is>
      </c>
      <c r="I186" s="335" t="n">
        <v>8554</v>
      </c>
    </row>
    <row r="187">
      <c r="A187" s="332" t="n">
        <v>45956</v>
      </c>
      <c r="B187" s="332" t="n">
        <v>45958</v>
      </c>
      <c r="C187" s="336" t="inlineStr">
        <is>
          <t>Sky Villa</t>
        </is>
      </c>
      <c r="D187" s="334" t="inlineStr">
        <is>
          <t>Thorsten Bartoelke</t>
        </is>
      </c>
      <c r="E187" s="334" t="n">
        <v>3</v>
      </c>
      <c r="F187" s="334" t="n">
        <v>4</v>
      </c>
      <c r="G187" s="334" t="inlineStr">
        <is>
          <t>Dinner B&amp;B</t>
        </is>
      </c>
      <c r="H187" s="334" t="inlineStr">
        <is>
          <t>Booking.com</t>
        </is>
      </c>
      <c r="I187" s="335" t="n">
        <v>16231</v>
      </c>
    </row>
    <row r="188">
      <c r="A188" s="332" t="n">
        <v>45957</v>
      </c>
      <c r="B188" s="332" t="n">
        <v>45957</v>
      </c>
      <c r="C188" s="333" t="inlineStr">
        <is>
          <t>Remington Villa</t>
        </is>
      </c>
      <c r="D188" s="334" t="inlineStr">
        <is>
          <t>Francine Godreau</t>
        </is>
      </c>
      <c r="E188" s="334" t="n">
        <v>1</v>
      </c>
      <c r="F188" s="334" t="n">
        <v>4</v>
      </c>
      <c r="G188" s="334" t="inlineStr">
        <is>
          <t>Dinner B&amp;B</t>
        </is>
      </c>
      <c r="H188" s="334" t="inlineStr">
        <is>
          <t>Booking.com</t>
        </is>
      </c>
      <c r="I188" s="335" t="n">
        <v>4514</v>
      </c>
    </row>
    <row r="189">
      <c r="A189" s="332" t="n">
        <v>45958</v>
      </c>
      <c r="B189" s="332" t="n">
        <v>45958</v>
      </c>
      <c r="C189" s="333" t="inlineStr">
        <is>
          <t>Remington Villa</t>
        </is>
      </c>
      <c r="D189" s="334" t="inlineStr">
        <is>
          <t>Ivan Fernando Palacios Pal</t>
        </is>
      </c>
      <c r="E189" s="334" t="n">
        <v>1</v>
      </c>
      <c r="F189" s="334" t="n">
        <v>3</v>
      </c>
      <c r="G189" s="334" t="inlineStr">
        <is>
          <t>B&amp;B</t>
        </is>
      </c>
      <c r="H189" s="334" t="inlineStr">
        <is>
          <t>Booking.com</t>
        </is>
      </c>
      <c r="I189" s="335" t="n">
        <v>2385</v>
      </c>
    </row>
    <row r="190">
      <c r="A190" s="332" t="n">
        <v>45959</v>
      </c>
      <c r="B190" s="332" t="n">
        <v>45960</v>
      </c>
      <c r="C190" s="336" t="inlineStr">
        <is>
          <t>Sky Villa</t>
        </is>
      </c>
      <c r="D190" s="334" t="inlineStr">
        <is>
          <t>Edward Humble</t>
        </is>
      </c>
      <c r="E190" s="334" t="n">
        <v>2</v>
      </c>
      <c r="F190" s="334" t="n">
        <v>2</v>
      </c>
      <c r="G190" s="334" t="inlineStr">
        <is>
          <t>B&amp;B</t>
        </is>
      </c>
      <c r="H190" s="334" t="inlineStr">
        <is>
          <t>Booking.com</t>
        </is>
      </c>
      <c r="I190" s="335" t="n">
        <v>4439</v>
      </c>
    </row>
    <row r="191">
      <c r="A191" s="332" t="n">
        <v>45961</v>
      </c>
      <c r="B191" s="332" t="n">
        <v>45961</v>
      </c>
      <c r="C191" s="336" t="inlineStr">
        <is>
          <t>Sky Villa</t>
        </is>
      </c>
      <c r="D191" s="334" t="inlineStr">
        <is>
          <t>Marcus Meyer</t>
        </is>
      </c>
      <c r="E191" s="334" t="n">
        <v>1</v>
      </c>
      <c r="F191" s="334" t="n">
        <v>2</v>
      </c>
      <c r="G191" s="334" t="inlineStr">
        <is>
          <t>B&amp;B</t>
        </is>
      </c>
      <c r="H191" s="334" t="inlineStr">
        <is>
          <t>Booking.com</t>
        </is>
      </c>
      <c r="I191" s="335" t="n">
        <v>2254</v>
      </c>
    </row>
    <row r="192">
      <c r="A192" s="332" t="n">
        <v>45961</v>
      </c>
      <c r="B192" s="332" t="n">
        <v>45962</v>
      </c>
      <c r="C192" s="333" t="inlineStr">
        <is>
          <t>Remington Villa</t>
        </is>
      </c>
      <c r="D192" s="334" t="inlineStr">
        <is>
          <t>Rebecca Maepa</t>
        </is>
      </c>
      <c r="E192" s="334" t="n">
        <v>2</v>
      </c>
      <c r="F192" s="334" t="n">
        <v>2</v>
      </c>
      <c r="G192" s="334" t="inlineStr">
        <is>
          <t>B&amp;B</t>
        </is>
      </c>
      <c r="H192" s="334" t="inlineStr">
        <is>
          <t>Booking.com</t>
        </is>
      </c>
      <c r="I192" s="335" t="n">
        <v>4830</v>
      </c>
    </row>
    <row r="193">
      <c r="A193" s="332" t="n">
        <v>45962</v>
      </c>
      <c r="B193" s="332" t="n">
        <v>45964</v>
      </c>
      <c r="C193" s="336" t="inlineStr">
        <is>
          <t>Sky Villa</t>
        </is>
      </c>
      <c r="D193" s="334" t="inlineStr">
        <is>
          <t>Marcel Hoogendoorn</t>
        </is>
      </c>
      <c r="E193" s="334" t="n">
        <v>3</v>
      </c>
      <c r="F193" s="334" t="n">
        <v>4</v>
      </c>
      <c r="G193" s="334" t="inlineStr">
        <is>
          <t>Dinner B&amp;B</t>
        </is>
      </c>
      <c r="H193" s="334" t="inlineStr">
        <is>
          <t>Booking.com</t>
        </is>
      </c>
      <c r="I193" s="335" t="n">
        <v>14608</v>
      </c>
    </row>
    <row r="194">
      <c r="A194" s="332" t="n">
        <v>45963</v>
      </c>
      <c r="B194" s="332" t="n">
        <v>45965</v>
      </c>
      <c r="C194" s="333" t="inlineStr">
        <is>
          <t>Remington Villa</t>
        </is>
      </c>
      <c r="D194" s="334" t="inlineStr">
        <is>
          <t>Natalia Graf</t>
        </is>
      </c>
      <c r="E194" s="334" t="n">
        <v>3</v>
      </c>
      <c r="F194" s="334" t="n">
        <v>2</v>
      </c>
      <c r="G194" s="334" t="inlineStr">
        <is>
          <t>Dinner B&amp;B</t>
        </is>
      </c>
      <c r="H194" s="334" t="inlineStr">
        <is>
          <t>Booking.com</t>
        </is>
      </c>
      <c r="I194" s="335" t="n">
        <v>10659</v>
      </c>
    </row>
    <row r="195">
      <c r="A195" s="332" t="n">
        <v>45965</v>
      </c>
      <c r="B195" s="332" t="n">
        <v>45965</v>
      </c>
      <c r="C195" s="336" t="inlineStr">
        <is>
          <t>Sky Villa</t>
        </is>
      </c>
      <c r="D195" s="334" t="inlineStr">
        <is>
          <t>Sarah Meinecke</t>
        </is>
      </c>
      <c r="E195" s="334" t="n">
        <v>1</v>
      </c>
      <c r="F195" s="334" t="n">
        <v>2</v>
      </c>
      <c r="G195" s="334" t="inlineStr">
        <is>
          <t>B&amp;B</t>
        </is>
      </c>
      <c r="H195" s="334" t="inlineStr">
        <is>
          <t>Booking.com</t>
        </is>
      </c>
      <c r="I195" s="335" t="n">
        <v>2678</v>
      </c>
    </row>
    <row r="196">
      <c r="A196" s="332" t="n">
        <v>45967</v>
      </c>
      <c r="B196" s="332" t="n">
        <v>45968</v>
      </c>
      <c r="C196" s="333" t="inlineStr">
        <is>
          <t>Remington Villa</t>
        </is>
      </c>
      <c r="D196" s="334" t="inlineStr">
        <is>
          <t>Oliveira de Mello Ariane</t>
        </is>
      </c>
      <c r="E196" s="334" t="n">
        <v>2</v>
      </c>
      <c r="F196" s="334" t="n">
        <v>2</v>
      </c>
      <c r="G196" s="334" t="inlineStr">
        <is>
          <t>B&amp;B</t>
        </is>
      </c>
      <c r="H196" s="334" t="inlineStr">
        <is>
          <t>Booking.com</t>
        </is>
      </c>
      <c r="I196" s="335" t="n">
        <v>3865</v>
      </c>
    </row>
    <row r="197">
      <c r="A197" s="332" t="n">
        <v>45968</v>
      </c>
      <c r="B197" s="332" t="n">
        <v>45968</v>
      </c>
      <c r="C197" s="336" t="inlineStr">
        <is>
          <t>Sky Villa</t>
        </is>
      </c>
      <c r="D197" s="334" t="inlineStr">
        <is>
          <t>Arthur Bettonvil</t>
        </is>
      </c>
      <c r="E197" s="334" t="n">
        <v>1</v>
      </c>
      <c r="F197" s="334" t="n">
        <v>4</v>
      </c>
      <c r="G197" s="334" t="inlineStr">
        <is>
          <t>B&amp;B</t>
        </is>
      </c>
      <c r="H197" s="334" t="inlineStr">
        <is>
          <t>Booking.com</t>
        </is>
      </c>
      <c r="I197" s="335" t="n">
        <v>3056</v>
      </c>
    </row>
    <row r="198">
      <c r="A198" s="332" t="n">
        <v>45970</v>
      </c>
      <c r="B198" s="332" t="n">
        <v>45972</v>
      </c>
      <c r="C198" s="336" t="inlineStr">
        <is>
          <t>Sky Villa</t>
        </is>
      </c>
      <c r="D198" s="334" t="inlineStr">
        <is>
          <t>Anastasiia Baraksanova</t>
        </is>
      </c>
      <c r="E198" s="334" t="n">
        <v>3</v>
      </c>
      <c r="F198" s="334" t="n">
        <v>4</v>
      </c>
      <c r="G198" s="334" t="inlineStr">
        <is>
          <t>B&amp;B</t>
        </is>
      </c>
      <c r="H198" s="334" t="inlineStr">
        <is>
          <t>Booking.com</t>
        </is>
      </c>
      <c r="I198" s="335" t="n">
        <v>9005</v>
      </c>
    </row>
    <row r="199">
      <c r="A199" s="332" t="n">
        <v>45970</v>
      </c>
      <c r="B199" s="332" t="n">
        <v>45972</v>
      </c>
      <c r="C199" s="333" t="inlineStr">
        <is>
          <t>Remington Villa</t>
        </is>
      </c>
      <c r="D199" s="334" t="inlineStr">
        <is>
          <t>Anastasiia Baraksanova</t>
        </is>
      </c>
      <c r="E199" s="334" t="n">
        <v>3</v>
      </c>
      <c r="F199" s="334" t="n">
        <v>3</v>
      </c>
      <c r="G199" s="334" t="inlineStr">
        <is>
          <t>B&amp;B</t>
        </is>
      </c>
      <c r="H199" s="334" t="inlineStr">
        <is>
          <t>Booking.com</t>
        </is>
      </c>
      <c r="I199" s="335" t="n">
        <v>7754</v>
      </c>
    </row>
    <row r="200">
      <c r="A200" s="332" t="n">
        <v>45973</v>
      </c>
      <c r="B200" s="332" t="n">
        <v>45975</v>
      </c>
      <c r="C200" s="333" t="inlineStr">
        <is>
          <t>Remington Villa</t>
        </is>
      </c>
      <c r="D200" s="334" t="inlineStr">
        <is>
          <t>Marta garcia sanchis</t>
        </is>
      </c>
      <c r="E200" s="334" t="n">
        <v>3</v>
      </c>
      <c r="F200" s="334" t="n">
        <v>2</v>
      </c>
      <c r="G200" s="334" t="inlineStr">
        <is>
          <t>Dinner B&amp;B</t>
        </is>
      </c>
      <c r="H200" s="334" t="inlineStr">
        <is>
          <t>Booking.com</t>
        </is>
      </c>
      <c r="I200" s="335" t="n">
        <v>11286</v>
      </c>
    </row>
    <row r="201">
      <c r="A201" s="332" t="n">
        <v>45973</v>
      </c>
      <c r="B201" s="332" t="n">
        <v>45976</v>
      </c>
      <c r="C201" s="336" t="inlineStr">
        <is>
          <t>Sky Villa</t>
        </is>
      </c>
      <c r="D201" s="334" t="inlineStr">
        <is>
          <t>Susanne Thiem</t>
        </is>
      </c>
      <c r="E201" s="334" t="n">
        <v>4</v>
      </c>
      <c r="F201" s="334" t="n">
        <v>2</v>
      </c>
      <c r="G201" s="334" t="inlineStr">
        <is>
          <t>B&amp;B</t>
        </is>
      </c>
      <c r="H201" s="334" t="inlineStr">
        <is>
          <t>Booking.com</t>
        </is>
      </c>
      <c r="I201" s="335" t="n">
        <v>9653</v>
      </c>
    </row>
    <row r="202">
      <c r="A202" s="332" t="n">
        <v>45977</v>
      </c>
      <c r="B202" s="332" t="n">
        <v>45979</v>
      </c>
      <c r="C202" s="336" t="inlineStr">
        <is>
          <t>Sky Villa</t>
        </is>
      </c>
      <c r="D202" s="334" t="inlineStr">
        <is>
          <t>Annette van de Voort-van T</t>
        </is>
      </c>
      <c r="E202" s="334" t="n">
        <v>3</v>
      </c>
      <c r="F202" s="334" t="n">
        <v>4</v>
      </c>
      <c r="G202" s="334" t="inlineStr">
        <is>
          <t>B&amp;B</t>
        </is>
      </c>
      <c r="H202" s="334" t="inlineStr">
        <is>
          <t>Booking.com</t>
        </is>
      </c>
      <c r="I202" s="335" t="n">
        <v>9169</v>
      </c>
    </row>
    <row r="203">
      <c r="A203" s="332" t="n">
        <v>45977</v>
      </c>
      <c r="B203" s="332" t="n">
        <v>45979</v>
      </c>
      <c r="C203" s="333" t="inlineStr">
        <is>
          <t>Remington Villa</t>
        </is>
      </c>
      <c r="D203" s="334" t="inlineStr">
        <is>
          <t>Merle Fiona Larissa Labugg</t>
        </is>
      </c>
      <c r="E203" s="334" t="n">
        <v>3</v>
      </c>
      <c r="F203" s="334" t="n">
        <v>2</v>
      </c>
      <c r="G203" s="334" t="inlineStr">
        <is>
          <t>B&amp;B</t>
        </is>
      </c>
      <c r="H203" s="334" t="inlineStr">
        <is>
          <t>Booking.com</t>
        </is>
      </c>
      <c r="I203" s="335" t="n">
        <v>6658</v>
      </c>
    </row>
    <row r="204">
      <c r="A204" s="332" t="n">
        <v>45980</v>
      </c>
      <c r="B204" s="332" t="n">
        <v>45980</v>
      </c>
      <c r="C204" s="333" t="inlineStr">
        <is>
          <t>Remington Villa</t>
        </is>
      </c>
      <c r="D204" s="334" t="inlineStr">
        <is>
          <t>Michael Ben Dahar</t>
        </is>
      </c>
      <c r="E204" s="334" t="n">
        <v>1</v>
      </c>
      <c r="F204" s="334" t="n">
        <v>2</v>
      </c>
      <c r="G204" s="334" t="inlineStr">
        <is>
          <t>Dinner B&amp;B</t>
        </is>
      </c>
      <c r="H204" s="334" t="inlineStr">
        <is>
          <t>Booking.com</t>
        </is>
      </c>
      <c r="I204" s="335" t="n">
        <v>3553</v>
      </c>
    </row>
    <row r="205">
      <c r="A205" s="332" t="n">
        <v>45980</v>
      </c>
      <c r="B205" s="332" t="n">
        <v>45980</v>
      </c>
      <c r="C205" s="336" t="inlineStr">
        <is>
          <t>Sky Villa</t>
        </is>
      </c>
      <c r="D205" s="334" t="inlineStr">
        <is>
          <t>camille person</t>
        </is>
      </c>
      <c r="E205" s="334" t="n">
        <v>1</v>
      </c>
      <c r="F205" s="334" t="n">
        <v>2</v>
      </c>
      <c r="G205" s="334" t="inlineStr">
        <is>
          <t>Self-catering</t>
        </is>
      </c>
      <c r="H205" s="334" t="inlineStr">
        <is>
          <t>Other</t>
        </is>
      </c>
      <c r="I205" s="335" t="n">
        <v>4000</v>
      </c>
    </row>
    <row r="206">
      <c r="A206" s="332" t="n">
        <v>45981</v>
      </c>
      <c r="B206" s="332" t="n">
        <v>45982</v>
      </c>
      <c r="C206" s="333" t="inlineStr">
        <is>
          <t>Remington Villa</t>
        </is>
      </c>
      <c r="D206" s="334" t="inlineStr">
        <is>
          <t>camille person</t>
        </is>
      </c>
      <c r="E206" s="334" t="n">
        <v>2</v>
      </c>
      <c r="F206" s="334" t="n">
        <v>2</v>
      </c>
      <c r="G206" s="334" t="inlineStr">
        <is>
          <t>B&amp;B</t>
        </is>
      </c>
      <c r="H206" s="334" t="inlineStr">
        <is>
          <t>Booking.com</t>
        </is>
      </c>
      <c r="I206" s="335" t="n">
        <v>4439</v>
      </c>
    </row>
    <row r="207">
      <c r="A207" s="332" t="n">
        <v>45981</v>
      </c>
      <c r="B207" s="332" t="n">
        <v>45985</v>
      </c>
      <c r="C207" s="336" t="inlineStr">
        <is>
          <t>Sky Villa</t>
        </is>
      </c>
      <c r="D207" s="334" t="inlineStr">
        <is>
          <t>Patricia Kirkpatrick</t>
        </is>
      </c>
      <c r="E207" s="334" t="n">
        <v>5</v>
      </c>
      <c r="F207" s="334" t="n">
        <v>2</v>
      </c>
      <c r="G207" s="334" t="inlineStr">
        <is>
          <t>B&amp;B</t>
        </is>
      </c>
      <c r="H207" s="334" t="inlineStr">
        <is>
          <t>Booking.com</t>
        </is>
      </c>
      <c r="I207" s="335" t="n">
        <v>9771</v>
      </c>
    </row>
    <row r="208">
      <c r="A208" s="332" t="n">
        <v>45984</v>
      </c>
      <c r="B208" s="332" t="n">
        <v>45985</v>
      </c>
      <c r="C208" s="333" t="inlineStr">
        <is>
          <t>Remington Villa</t>
        </is>
      </c>
      <c r="D208" s="334" t="inlineStr">
        <is>
          <t>Frank Eichhorn</t>
        </is>
      </c>
      <c r="E208" s="334" t="n">
        <v>2</v>
      </c>
      <c r="F208" s="334" t="n">
        <v>2</v>
      </c>
      <c r="G208" s="334" t="inlineStr">
        <is>
          <t>B&amp;B</t>
        </is>
      </c>
      <c r="H208" s="334" t="inlineStr">
        <is>
          <t>Booking.com</t>
        </is>
      </c>
      <c r="I208" s="335" t="n">
        <v>4439</v>
      </c>
    </row>
    <row r="209">
      <c r="A209" s="332" t="n">
        <v>45986</v>
      </c>
      <c r="B209" s="332" t="n">
        <v>45986</v>
      </c>
      <c r="C209" s="336" t="inlineStr">
        <is>
          <t>Sky Villa</t>
        </is>
      </c>
      <c r="D209" s="334" t="inlineStr">
        <is>
          <t>Miguel Rodriguez</t>
        </is>
      </c>
      <c r="E209" s="334" t="n">
        <v>1</v>
      </c>
      <c r="F209" s="334" t="n">
        <v>4</v>
      </c>
      <c r="G209" s="334" t="inlineStr">
        <is>
          <t>B&amp;B</t>
        </is>
      </c>
      <c r="H209" s="334" t="inlineStr">
        <is>
          <t>Booking.com</t>
        </is>
      </c>
      <c r="I209" s="335" t="n">
        <v>2851</v>
      </c>
    </row>
    <row r="210">
      <c r="A210" s="332" t="n">
        <v>45986</v>
      </c>
      <c r="B210" s="332" t="n">
        <v>45987</v>
      </c>
      <c r="C210" s="333" t="inlineStr">
        <is>
          <t>Remington Villa</t>
        </is>
      </c>
      <c r="D210" s="334" t="inlineStr">
        <is>
          <t>Laura Brasileiro</t>
        </is>
      </c>
      <c r="E210" s="334" t="n">
        <v>2</v>
      </c>
      <c r="F210" s="334" t="n">
        <v>2</v>
      </c>
      <c r="G210" s="334" t="inlineStr">
        <is>
          <t>B&amp;B</t>
        </is>
      </c>
      <c r="H210" s="334" t="inlineStr">
        <is>
          <t>Booking.com</t>
        </is>
      </c>
      <c r="I210" s="335" t="n">
        <v>4454</v>
      </c>
    </row>
    <row r="211">
      <c r="A211" s="332" t="n">
        <v>45988</v>
      </c>
      <c r="B211" s="332" t="n">
        <v>45988</v>
      </c>
      <c r="C211" s="333" t="inlineStr">
        <is>
          <t>Remington Villa</t>
        </is>
      </c>
      <c r="D211" s="334" t="inlineStr">
        <is>
          <t>Tabea Jung</t>
        </is>
      </c>
      <c r="E211" s="334" t="n">
        <v>1</v>
      </c>
      <c r="F211" s="334" t="n">
        <v>4</v>
      </c>
      <c r="G211" s="334" t="inlineStr">
        <is>
          <t>B&amp;B</t>
        </is>
      </c>
      <c r="H211" s="334" t="inlineStr">
        <is>
          <t>Booking.com</t>
        </is>
      </c>
      <c r="I211" s="335" t="n">
        <v>3694</v>
      </c>
    </row>
    <row r="212">
      <c r="A212" s="332" t="n">
        <v>45989</v>
      </c>
      <c r="B212" s="332" t="n">
        <v>45990</v>
      </c>
      <c r="C212" s="336" t="inlineStr">
        <is>
          <t>Sky Villa</t>
        </is>
      </c>
      <c r="D212" s="334" t="inlineStr">
        <is>
          <t>Nkami Baloyi</t>
        </is>
      </c>
      <c r="E212" s="334" t="n">
        <v>2</v>
      </c>
      <c r="F212" s="334" t="n">
        <v>2</v>
      </c>
      <c r="G212" s="334" t="inlineStr">
        <is>
          <t>B&amp;B</t>
        </is>
      </c>
      <c r="H212" s="334" t="inlineStr">
        <is>
          <t>Booking.com</t>
        </is>
      </c>
      <c r="I212" s="335" t="n">
        <v>5746</v>
      </c>
    </row>
    <row r="213">
      <c r="A213" s="332" t="n">
        <v>45989</v>
      </c>
      <c r="B213" s="332" t="n">
        <v>45991</v>
      </c>
      <c r="C213" s="333" t="inlineStr">
        <is>
          <t>Remington Villa</t>
        </is>
      </c>
      <c r="D213" s="334" t="inlineStr">
        <is>
          <t>Michael van Best</t>
        </is>
      </c>
      <c r="E213" s="334" t="n">
        <v>3</v>
      </c>
      <c r="F213" s="334" t="n">
        <v>2</v>
      </c>
      <c r="G213" s="334" t="inlineStr">
        <is>
          <t>B&amp;B</t>
        </is>
      </c>
      <c r="H213" s="334" t="inlineStr">
        <is>
          <t>Booking.com</t>
        </is>
      </c>
      <c r="I213" s="335" t="n">
        <v>6214</v>
      </c>
    </row>
    <row r="214">
      <c r="A214" s="332" t="n">
        <v>45993</v>
      </c>
      <c r="B214" s="332" t="n">
        <v>45993</v>
      </c>
      <c r="C214" s="336" t="inlineStr">
        <is>
          <t>Sky Villa</t>
        </is>
      </c>
      <c r="D214" s="334" t="inlineStr">
        <is>
          <t>Mitja Kolbl</t>
        </is>
      </c>
      <c r="E214" s="334" t="n">
        <v>1</v>
      </c>
      <c r="F214" s="334" t="n">
        <v>3</v>
      </c>
      <c r="G214" s="334" t="inlineStr">
        <is>
          <t>Dinner B&amp;B</t>
        </is>
      </c>
      <c r="H214" s="334" t="inlineStr">
        <is>
          <t>Booking.com</t>
        </is>
      </c>
      <c r="I214" s="335" t="n">
        <v>4232</v>
      </c>
    </row>
    <row r="215">
      <c r="A215" s="332" t="n">
        <v>45995</v>
      </c>
      <c r="B215" s="332" t="n">
        <v>46001</v>
      </c>
      <c r="C215" s="333" t="inlineStr">
        <is>
          <t>Remington Villa</t>
        </is>
      </c>
      <c r="D215" s="334" t="inlineStr">
        <is>
          <t>Neal Munyebvu</t>
        </is>
      </c>
      <c r="E215" s="334" t="n">
        <v>7</v>
      </c>
      <c r="F215" s="334" t="n">
        <v>2</v>
      </c>
      <c r="G215" s="334" t="inlineStr">
        <is>
          <t>B&amp;B</t>
        </is>
      </c>
      <c r="H215" s="334" t="inlineStr">
        <is>
          <t>Booking.com</t>
        </is>
      </c>
      <c r="I215" s="335" t="n">
        <v>15161</v>
      </c>
    </row>
    <row r="216">
      <c r="A216" s="332" t="n">
        <v>45996</v>
      </c>
      <c r="B216" s="332" t="n">
        <v>45998</v>
      </c>
      <c r="C216" s="336" t="inlineStr">
        <is>
          <t>Sky Villa</t>
        </is>
      </c>
      <c r="D216" s="334" t="inlineStr">
        <is>
          <t>Leda Louzane Oliveira</t>
        </is>
      </c>
      <c r="E216" s="334" t="n">
        <v>3</v>
      </c>
      <c r="F216" s="334" t="n">
        <v>4</v>
      </c>
      <c r="G216" s="334" t="inlineStr">
        <is>
          <t>B&amp;B</t>
        </is>
      </c>
      <c r="H216" s="334" t="inlineStr">
        <is>
          <t>Booking.com</t>
        </is>
      </c>
      <c r="I216" s="335" t="n">
        <v>8035</v>
      </c>
    </row>
    <row r="217">
      <c r="A217" s="332" t="n">
        <v>46001</v>
      </c>
      <c r="B217" s="332" t="n">
        <v>46001</v>
      </c>
      <c r="C217" s="336" t="inlineStr">
        <is>
          <t>Sky Villa</t>
        </is>
      </c>
      <c r="D217" s="334" t="inlineStr">
        <is>
          <t>Sumeet Bhardwaj</t>
        </is>
      </c>
      <c r="E217" s="334" t="n">
        <v>1</v>
      </c>
      <c r="F217" s="334" t="n">
        <v>2</v>
      </c>
      <c r="G217" s="334" t="inlineStr">
        <is>
          <t>Dinner B&amp;B</t>
        </is>
      </c>
      <c r="H217" s="334" t="inlineStr">
        <is>
          <t>Booking.com</t>
        </is>
      </c>
      <c r="I217" s="335" t="n">
        <v>2757</v>
      </c>
    </row>
    <row r="218">
      <c r="A218" s="332" t="n">
        <v>46003</v>
      </c>
      <c r="B218" s="332" t="n">
        <v>46004</v>
      </c>
      <c r="C218" s="333" t="inlineStr">
        <is>
          <t>Remington Villa</t>
        </is>
      </c>
      <c r="D218" s="334" t="n"/>
      <c r="E218" s="334" t="n">
        <v>2</v>
      </c>
      <c r="F218" s="334" t="n">
        <v>3</v>
      </c>
      <c r="G218" s="334" t="inlineStr">
        <is>
          <t>Self-catering</t>
        </is>
      </c>
      <c r="H218" s="334" t="inlineStr">
        <is>
          <t>Other</t>
        </is>
      </c>
      <c r="I218" s="335" t="n">
        <v>0</v>
      </c>
    </row>
    <row r="219">
      <c r="A219" s="332" t="n">
        <v>46005</v>
      </c>
      <c r="B219" s="332" t="n">
        <v>46006</v>
      </c>
      <c r="C219" s="336" t="inlineStr">
        <is>
          <t>Sky Villa</t>
        </is>
      </c>
      <c r="D219" s="334" t="inlineStr">
        <is>
          <t>Lucy Masilela</t>
        </is>
      </c>
      <c r="E219" s="334" t="n">
        <v>2</v>
      </c>
      <c r="F219" s="334" t="n">
        <v>2</v>
      </c>
      <c r="G219" s="334" t="inlineStr">
        <is>
          <t>B&amp;B</t>
        </is>
      </c>
      <c r="H219" s="334" t="inlineStr">
        <is>
          <t>Booking.com</t>
        </is>
      </c>
      <c r="I219" s="335" t="n">
        <v>4083</v>
      </c>
    </row>
    <row r="220">
      <c r="A220" s="332" t="n">
        <v>46005</v>
      </c>
      <c r="B220" s="332" t="n">
        <v>46007</v>
      </c>
      <c r="C220" s="333" t="inlineStr">
        <is>
          <t>Remington Villa</t>
        </is>
      </c>
      <c r="D220" s="334" t="inlineStr">
        <is>
          <t>Penny Adams</t>
        </is>
      </c>
      <c r="E220" s="334" t="n">
        <v>3</v>
      </c>
      <c r="F220" s="334" t="n">
        <v>2</v>
      </c>
      <c r="G220" s="334" t="inlineStr">
        <is>
          <t>B&amp;B</t>
        </is>
      </c>
      <c r="H220" s="334" t="inlineStr">
        <is>
          <t>Booking.com</t>
        </is>
      </c>
      <c r="I220" s="335" t="n">
        <v>6125</v>
      </c>
    </row>
    <row r="221">
      <c r="A221" s="332" t="n">
        <v>46008</v>
      </c>
      <c r="B221" s="332" t="n">
        <v>46010</v>
      </c>
      <c r="C221" s="336" t="inlineStr">
        <is>
          <t>Sky Villa</t>
        </is>
      </c>
      <c r="D221" s="334" t="inlineStr">
        <is>
          <t>Nthabiseng Mashilane</t>
        </is>
      </c>
      <c r="E221" s="334" t="n">
        <v>3</v>
      </c>
      <c r="F221" s="334" t="n">
        <v>3</v>
      </c>
      <c r="G221" s="334" t="inlineStr">
        <is>
          <t>B&amp;B</t>
        </is>
      </c>
      <c r="H221" s="334" t="inlineStr">
        <is>
          <t>Booking.com</t>
        </is>
      </c>
      <c r="I221" s="335" t="n">
        <v>8544</v>
      </c>
    </row>
    <row r="222">
      <c r="A222" s="332" t="n">
        <v>46009</v>
      </c>
      <c r="B222" s="332" t="n">
        <v>46009</v>
      </c>
      <c r="C222" s="333" t="inlineStr">
        <is>
          <t>Remington Villa</t>
        </is>
      </c>
      <c r="D222" s="334" t="inlineStr">
        <is>
          <t>Graziella Priego</t>
        </is>
      </c>
      <c r="E222" s="334" t="n">
        <v>1</v>
      </c>
      <c r="F222" s="334" t="n">
        <v>3</v>
      </c>
      <c r="G222" s="334" t="inlineStr">
        <is>
          <t>B&amp;B</t>
        </is>
      </c>
      <c r="H222" s="334" t="inlineStr">
        <is>
          <t>Booking.com</t>
        </is>
      </c>
      <c r="I222" s="335" t="n">
        <v>2776</v>
      </c>
    </row>
    <row r="223">
      <c r="A223" s="332" t="n">
        <v>46010</v>
      </c>
      <c r="B223" s="332" t="n">
        <v>46011</v>
      </c>
      <c r="C223" s="333" t="inlineStr">
        <is>
          <t>Remington Villa</t>
        </is>
      </c>
      <c r="D223" s="334" t="inlineStr">
        <is>
          <t>Kyungsoo Jeong</t>
        </is>
      </c>
      <c r="E223" s="334" t="n">
        <v>2</v>
      </c>
      <c r="F223" s="334" t="n">
        <v>4</v>
      </c>
      <c r="G223" s="334" t="inlineStr">
        <is>
          <t>B&amp;B</t>
        </is>
      </c>
      <c r="H223" s="334" t="inlineStr">
        <is>
          <t>Booking.com</t>
        </is>
      </c>
      <c r="I223" s="335" t="n">
        <v>6048</v>
      </c>
    </row>
    <row r="224">
      <c r="A224" s="332" t="n">
        <v>46011</v>
      </c>
      <c r="B224" s="332" t="n">
        <v>46012</v>
      </c>
      <c r="C224" s="336" t="inlineStr">
        <is>
          <t>Sky Villa</t>
        </is>
      </c>
      <c r="D224" s="334" t="inlineStr">
        <is>
          <t>Alena Schnebel</t>
        </is>
      </c>
      <c r="E224" s="334" t="n">
        <v>2</v>
      </c>
      <c r="F224" s="334" t="n">
        <v>4</v>
      </c>
      <c r="G224" s="334" t="inlineStr">
        <is>
          <t>B&amp;B</t>
        </is>
      </c>
      <c r="H224" s="334" t="inlineStr">
        <is>
          <t>Booking.com</t>
        </is>
      </c>
      <c r="I224" s="335" t="n">
        <v>5702</v>
      </c>
    </row>
    <row r="225">
      <c r="A225" s="332" t="n">
        <v>46013</v>
      </c>
      <c r="B225" s="332" t="n">
        <v>46016</v>
      </c>
      <c r="C225" s="333" t="inlineStr">
        <is>
          <t>Remington Villa</t>
        </is>
      </c>
      <c r="D225" s="334" t="inlineStr">
        <is>
          <t>Hedia Lahlah</t>
        </is>
      </c>
      <c r="E225" s="334" t="n">
        <v>4</v>
      </c>
      <c r="F225" s="334" t="n">
        <v>3</v>
      </c>
      <c r="G225" s="334" t="inlineStr">
        <is>
          <t>B&amp;B</t>
        </is>
      </c>
      <c r="H225" s="334" t="inlineStr">
        <is>
          <t>Booking.com</t>
        </is>
      </c>
      <c r="I225" s="335" t="n">
        <v>9821</v>
      </c>
    </row>
    <row r="226">
      <c r="A226" s="332" t="n">
        <v>46015</v>
      </c>
      <c r="B226" s="332" t="n">
        <v>46016</v>
      </c>
      <c r="C226" s="336" t="inlineStr">
        <is>
          <t>Sky Villa</t>
        </is>
      </c>
      <c r="D226" s="334" t="inlineStr">
        <is>
          <t>Takashi Hakari</t>
        </is>
      </c>
      <c r="E226" s="334" t="n">
        <v>2</v>
      </c>
      <c r="F226" s="334" t="n">
        <v>3</v>
      </c>
      <c r="G226" s="334" t="inlineStr">
        <is>
          <t>B&amp;B</t>
        </is>
      </c>
      <c r="H226" s="334" t="inlineStr">
        <is>
          <t>Booking.com</t>
        </is>
      </c>
      <c r="I226" s="335" t="n">
        <v>5222</v>
      </c>
    </row>
    <row r="227">
      <c r="A227" s="332" t="n">
        <v>46017</v>
      </c>
      <c r="B227" s="332" t="n">
        <v>46017</v>
      </c>
      <c r="C227" s="336" t="inlineStr">
        <is>
          <t>Sky Villa</t>
        </is>
      </c>
      <c r="D227" s="334" t="inlineStr">
        <is>
          <t>Jessica Boonstra</t>
        </is>
      </c>
      <c r="E227" s="334" t="n">
        <v>1</v>
      </c>
      <c r="F227" s="334" t="n">
        <v>2</v>
      </c>
      <c r="G227" s="334" t="inlineStr">
        <is>
          <t>B&amp;B</t>
        </is>
      </c>
      <c r="H227" s="334" t="inlineStr">
        <is>
          <t>Booking.com</t>
        </is>
      </c>
      <c r="I227" s="335" t="n">
        <v>2455</v>
      </c>
    </row>
    <row r="228">
      <c r="A228" s="332" t="n">
        <v>46017</v>
      </c>
      <c r="B228" s="332" t="n">
        <v>46017</v>
      </c>
      <c r="C228" s="333" t="inlineStr">
        <is>
          <t>Remington Villa</t>
        </is>
      </c>
      <c r="D228" s="334" t="inlineStr">
        <is>
          <t>Jessica Boonstra</t>
        </is>
      </c>
      <c r="E228" s="334" t="n">
        <v>1</v>
      </c>
      <c r="F228" s="334" t="n">
        <v>3</v>
      </c>
      <c r="G228" s="334" t="inlineStr">
        <is>
          <t>B&amp;B</t>
        </is>
      </c>
      <c r="H228" s="334" t="inlineStr">
        <is>
          <t>Booking.com</t>
        </is>
      </c>
      <c r="I228" s="335" t="n">
        <v>2851</v>
      </c>
    </row>
    <row r="229">
      <c r="A229" s="332" t="n">
        <v>46018</v>
      </c>
      <c r="B229" s="332" t="n">
        <v>46023</v>
      </c>
      <c r="C229" s="333" t="inlineStr">
        <is>
          <t>Remington Villa</t>
        </is>
      </c>
      <c r="D229" s="334" t="inlineStr">
        <is>
          <t>Ghalied Jakoet</t>
        </is>
      </c>
      <c r="E229" s="334" t="n">
        <v>6</v>
      </c>
      <c r="F229" s="334" t="n">
        <v>4</v>
      </c>
      <c r="G229" s="334" t="inlineStr">
        <is>
          <t>B&amp;B</t>
        </is>
      </c>
      <c r="H229" s="334" t="inlineStr">
        <is>
          <t>Booking.com</t>
        </is>
      </c>
      <c r="I229" s="335" t="n">
        <v>17107</v>
      </c>
    </row>
    <row r="230">
      <c r="A230" s="332" t="n">
        <v>46019</v>
      </c>
      <c r="B230" s="332" t="n">
        <v>46020</v>
      </c>
      <c r="C230" s="336" t="inlineStr">
        <is>
          <t>Sky Villa</t>
        </is>
      </c>
      <c r="D230" s="334" t="inlineStr">
        <is>
          <t>Alexander Schoberer</t>
        </is>
      </c>
      <c r="E230" s="334" t="n">
        <v>2</v>
      </c>
      <c r="F230" s="334" t="n">
        <v>2</v>
      </c>
      <c r="G230" s="334" t="inlineStr">
        <is>
          <t>B&amp;B</t>
        </is>
      </c>
      <c r="H230" s="334" t="inlineStr">
        <is>
          <t>Booking.com</t>
        </is>
      </c>
      <c r="I230" s="335" t="n">
        <v>4826</v>
      </c>
    </row>
    <row r="231">
      <c r="A231" s="332" t="n">
        <v>46021</v>
      </c>
      <c r="B231" s="332" t="n">
        <v>46023</v>
      </c>
      <c r="C231" s="336" t="inlineStr">
        <is>
          <t>Sky Villa</t>
        </is>
      </c>
      <c r="D231" s="334" t="inlineStr">
        <is>
          <t>Susanne Lieb Lieb</t>
        </is>
      </c>
      <c r="E231" s="334" t="n">
        <v>3</v>
      </c>
      <c r="F231" s="334" t="n">
        <v>2</v>
      </c>
      <c r="G231" s="334" t="inlineStr">
        <is>
          <t>Self-catering</t>
        </is>
      </c>
      <c r="H231" s="334" t="inlineStr">
        <is>
          <t>Other</t>
        </is>
      </c>
      <c r="I231" s="335" t="n">
        <v>0</v>
      </c>
    </row>
    <row r="232">
      <c r="A232" s="332" t="n">
        <v>46024</v>
      </c>
      <c r="B232" s="332" t="n">
        <v>46024</v>
      </c>
      <c r="C232" s="336" t="inlineStr">
        <is>
          <t>Sky Villa</t>
        </is>
      </c>
      <c r="D232" s="334" t="inlineStr">
        <is>
          <t>Karel Noppe Brooks</t>
        </is>
      </c>
      <c r="E232" s="334" t="n">
        <v>1</v>
      </c>
      <c r="F232" s="334" t="n">
        <v>2</v>
      </c>
      <c r="G232" s="334" t="inlineStr">
        <is>
          <t>B&amp;B</t>
        </is>
      </c>
      <c r="H232" s="334" t="inlineStr">
        <is>
          <t>Booking.com</t>
        </is>
      </c>
      <c r="I232" s="335" t="n">
        <v>2296</v>
      </c>
    </row>
    <row r="233">
      <c r="A233" s="332" t="n">
        <v>46024</v>
      </c>
      <c r="B233" s="332" t="n">
        <v>46026</v>
      </c>
      <c r="C233" s="333" t="inlineStr">
        <is>
          <t>Remington Villa</t>
        </is>
      </c>
      <c r="D233" s="334" t="inlineStr">
        <is>
          <t>Jacco Poppe</t>
        </is>
      </c>
      <c r="E233" s="334" t="n">
        <v>3</v>
      </c>
      <c r="F233" s="334" t="n">
        <v>4</v>
      </c>
      <c r="G233" s="334" t="inlineStr">
        <is>
          <t>B&amp;B</t>
        </is>
      </c>
      <c r="H233" s="334" t="inlineStr">
        <is>
          <t>Booking.com</t>
        </is>
      </c>
      <c r="I233" s="335" t="n">
        <v>9409</v>
      </c>
    </row>
    <row r="234">
      <c r="A234" s="332" t="n">
        <v>46025</v>
      </c>
      <c r="B234" s="332" t="n">
        <v>46027</v>
      </c>
      <c r="C234" s="336" t="inlineStr">
        <is>
          <t>Sky Villa</t>
        </is>
      </c>
      <c r="D234" s="334" t="inlineStr">
        <is>
          <t>Paolo Raimondi</t>
        </is>
      </c>
      <c r="E234" s="334" t="n">
        <v>3</v>
      </c>
      <c r="F234" s="334" t="n">
        <v>4</v>
      </c>
      <c r="G234" s="334" t="inlineStr">
        <is>
          <t>Dinner B&amp;B</t>
        </is>
      </c>
      <c r="H234" s="334" t="inlineStr">
        <is>
          <t>Booking.com</t>
        </is>
      </c>
      <c r="I234" s="335" t="n">
        <v>15359</v>
      </c>
    </row>
    <row r="235">
      <c r="A235" s="332" t="n">
        <v>46028</v>
      </c>
      <c r="B235" s="332" t="n">
        <v>46028</v>
      </c>
      <c r="C235" s="336" t="inlineStr">
        <is>
          <t>Sky Villa</t>
        </is>
      </c>
      <c r="D235" s="334" t="inlineStr">
        <is>
          <t>Paolo Raimondi</t>
        </is>
      </c>
      <c r="E235" s="334" t="n">
        <v>1</v>
      </c>
      <c r="F235" s="334" t="n">
        <v>4</v>
      </c>
      <c r="G235" s="334" t="inlineStr">
        <is>
          <t>Dinner B&amp;B</t>
        </is>
      </c>
      <c r="H235" s="334" t="inlineStr">
        <is>
          <t>Other</t>
        </is>
      </c>
      <c r="I235" s="335" t="n">
        <v>5700</v>
      </c>
    </row>
    <row r="236">
      <c r="A236" s="332" t="n">
        <v>46029</v>
      </c>
      <c r="B236" s="332" t="n">
        <v>46029</v>
      </c>
      <c r="C236" s="336" t="inlineStr">
        <is>
          <t>Sky Villa</t>
        </is>
      </c>
      <c r="D236" s="334" t="inlineStr">
        <is>
          <t>nadia zucchi</t>
        </is>
      </c>
      <c r="E236" s="334" t="n">
        <v>1</v>
      </c>
      <c r="F236" s="334" t="n">
        <v>3</v>
      </c>
      <c r="G236" s="334" t="inlineStr">
        <is>
          <t>B&amp;B</t>
        </is>
      </c>
      <c r="H236" s="334" t="inlineStr">
        <is>
          <t>Booking.com</t>
        </is>
      </c>
      <c r="I236" s="335" t="n">
        <v>3436</v>
      </c>
    </row>
    <row r="237">
      <c r="A237" s="332" t="n">
        <v>46029</v>
      </c>
      <c r="B237" s="332" t="n">
        <v>46031</v>
      </c>
      <c r="C237" s="333" t="inlineStr">
        <is>
          <t>Remington Villa</t>
        </is>
      </c>
      <c r="D237" s="334" t="inlineStr">
        <is>
          <t>Kreshanti Wright</t>
        </is>
      </c>
      <c r="E237" s="334" t="n">
        <v>3</v>
      </c>
      <c r="F237" s="334" t="n">
        <v>3</v>
      </c>
      <c r="G237" s="334" t="inlineStr">
        <is>
          <t>B&amp;B</t>
        </is>
      </c>
      <c r="H237" s="334" t="inlineStr">
        <is>
          <t>Booking.com</t>
        </is>
      </c>
      <c r="I237" s="335" t="n">
        <v>7260</v>
      </c>
    </row>
    <row r="238">
      <c r="A238" s="332" t="n">
        <v>46031</v>
      </c>
      <c r="B238" s="332" t="n">
        <v>46033</v>
      </c>
      <c r="C238" s="336" t="inlineStr">
        <is>
          <t>Sky Villa</t>
        </is>
      </c>
      <c r="D238" s="334" t="inlineStr">
        <is>
          <t>Vinicius Luiz Zoanys dos S</t>
        </is>
      </c>
      <c r="E238" s="334" t="n">
        <v>3</v>
      </c>
      <c r="F238" s="334" t="n">
        <v>2</v>
      </c>
      <c r="G238" s="334" t="inlineStr">
        <is>
          <t>B&amp;B</t>
        </is>
      </c>
      <c r="H238" s="334" t="inlineStr">
        <is>
          <t>Booking.com</t>
        </is>
      </c>
      <c r="I238" s="335" t="n">
        <v>6221</v>
      </c>
    </row>
    <row r="239">
      <c r="A239" s="332" t="n">
        <v>46035</v>
      </c>
      <c r="B239" s="332" t="n">
        <v>46036</v>
      </c>
      <c r="C239" s="336" t="inlineStr">
        <is>
          <t>Sky Villa</t>
        </is>
      </c>
      <c r="D239" s="334" t="inlineStr">
        <is>
          <t>Sebastien DUMESGNIL D ENGE</t>
        </is>
      </c>
      <c r="E239" s="334" t="n">
        <v>2</v>
      </c>
      <c r="F239" s="334" t="n">
        <v>3</v>
      </c>
      <c r="G239" s="334" t="inlineStr">
        <is>
          <t>Dinner B&amp;B</t>
        </is>
      </c>
      <c r="H239" s="334" t="inlineStr">
        <is>
          <t>Booking.com</t>
        </is>
      </c>
      <c r="I239" s="335" t="n">
        <v>9239</v>
      </c>
    </row>
    <row r="240">
      <c r="A240" s="332" t="n">
        <v>46035</v>
      </c>
      <c r="B240" s="332" t="n">
        <v>46036</v>
      </c>
      <c r="C240" s="333" t="inlineStr">
        <is>
          <t>Remington Villa</t>
        </is>
      </c>
      <c r="D240" s="334" t="inlineStr">
        <is>
          <t>Sebastien DUMESGNIL D ENGE</t>
        </is>
      </c>
      <c r="E240" s="334" t="n">
        <v>2</v>
      </c>
      <c r="F240" s="334" t="n">
        <v>2</v>
      </c>
      <c r="G240" s="334" t="inlineStr">
        <is>
          <t>Dinner B&amp;B</t>
        </is>
      </c>
      <c r="H240" s="334" t="inlineStr">
        <is>
          <t>Booking.com</t>
        </is>
      </c>
      <c r="I240" s="335" t="n">
        <v>7392</v>
      </c>
    </row>
    <row r="241">
      <c r="A241" s="332" t="n">
        <v>46044</v>
      </c>
      <c r="B241" s="332" t="n">
        <v>46044</v>
      </c>
      <c r="C241" s="336" t="inlineStr">
        <is>
          <t>Sky Villa</t>
        </is>
      </c>
      <c r="D241" s="334" t="inlineStr">
        <is>
          <t>Tudor Popescu</t>
        </is>
      </c>
      <c r="E241" s="334" t="n">
        <v>1</v>
      </c>
      <c r="F241" s="334" t="n">
        <v>2</v>
      </c>
      <c r="G241" s="334" t="inlineStr">
        <is>
          <t>B&amp;B</t>
        </is>
      </c>
      <c r="H241" s="334" t="inlineStr">
        <is>
          <t>Booking.com</t>
        </is>
      </c>
      <c r="I241" s="335" t="n">
        <v>2174</v>
      </c>
    </row>
    <row r="242">
      <c r="A242" s="332" t="n">
        <v>46045</v>
      </c>
      <c r="B242" s="332" t="n">
        <v>46047</v>
      </c>
      <c r="C242" s="336" t="inlineStr">
        <is>
          <t>Sky Villa</t>
        </is>
      </c>
      <c r="D242" s="334" t="inlineStr">
        <is>
          <t>Tobias Vogel</t>
        </is>
      </c>
      <c r="E242" s="334" t="n">
        <v>3</v>
      </c>
      <c r="F242" s="334" t="n">
        <v>2</v>
      </c>
      <c r="G242" s="334" t="inlineStr">
        <is>
          <t>B&amp;B</t>
        </is>
      </c>
      <c r="H242" s="334" t="inlineStr">
        <is>
          <t>Booking.com</t>
        </is>
      </c>
      <c r="I242" s="335" t="n">
        <v>7029</v>
      </c>
    </row>
    <row r="243">
      <c r="A243" s="332" t="n">
        <v>46048</v>
      </c>
      <c r="B243" s="332" t="n">
        <v>46049</v>
      </c>
      <c r="C243" s="336" t="inlineStr">
        <is>
          <t>Sky Villa</t>
        </is>
      </c>
      <c r="D243" s="334" t="inlineStr">
        <is>
          <t>Jacqui Louw</t>
        </is>
      </c>
      <c r="E243" s="334" t="n">
        <v>2</v>
      </c>
      <c r="F243" s="334" t="n">
        <v>4</v>
      </c>
      <c r="G243" s="334" t="inlineStr">
        <is>
          <t>B&amp;B</t>
        </is>
      </c>
      <c r="H243" s="334" t="inlineStr">
        <is>
          <t>Booking.com</t>
        </is>
      </c>
      <c r="I243" s="335" t="n">
        <v>5512</v>
      </c>
    </row>
    <row r="244">
      <c r="A244" s="332" t="n">
        <v>46049</v>
      </c>
      <c r="B244" s="332" t="n">
        <v>46050</v>
      </c>
      <c r="C244" s="333" t="inlineStr">
        <is>
          <t>Remington Villa</t>
        </is>
      </c>
      <c r="D244" s="334" t="inlineStr">
        <is>
          <t>Rafael Souza</t>
        </is>
      </c>
      <c r="E244" s="334" t="n">
        <v>2</v>
      </c>
      <c r="F244" s="334" t="n">
        <v>4</v>
      </c>
      <c r="G244" s="334" t="inlineStr">
        <is>
          <t>B&amp;B</t>
        </is>
      </c>
      <c r="H244" s="334" t="inlineStr">
        <is>
          <t>Booking.com</t>
        </is>
      </c>
      <c r="I244" s="335" t="n">
        <v>5357</v>
      </c>
    </row>
    <row r="245">
      <c r="A245" s="332" t="n">
        <v>46051</v>
      </c>
      <c r="B245" s="332" t="n">
        <v>46053</v>
      </c>
      <c r="C245" s="336" t="inlineStr">
        <is>
          <t>Sky Villa</t>
        </is>
      </c>
      <c r="D245" s="334" t="inlineStr">
        <is>
          <t>Andre Luis de Oliveira Sil</t>
        </is>
      </c>
      <c r="E245" s="334" t="n">
        <v>3</v>
      </c>
      <c r="F245" s="334" t="n">
        <v>4</v>
      </c>
      <c r="G245" s="334" t="inlineStr">
        <is>
          <t>B&amp;B</t>
        </is>
      </c>
      <c r="H245" s="334" t="inlineStr">
        <is>
          <t>Booking.com</t>
        </is>
      </c>
      <c r="I245" s="335" t="n">
        <v>11371</v>
      </c>
    </row>
    <row r="246">
      <c r="A246" s="332" t="n">
        <v>46051</v>
      </c>
      <c r="B246" s="332" t="n">
        <v>46058</v>
      </c>
      <c r="C246" s="333" t="inlineStr">
        <is>
          <t>Remington Villa</t>
        </is>
      </c>
      <c r="D246" s="334" t="inlineStr">
        <is>
          <t>Tomiczek Stephan</t>
        </is>
      </c>
      <c r="E246" s="334" t="n">
        <v>8</v>
      </c>
      <c r="F246" s="334" t="n">
        <v>2</v>
      </c>
      <c r="G246" s="334" t="inlineStr">
        <is>
          <t>Dinner B&amp;B</t>
        </is>
      </c>
      <c r="H246" s="334" t="inlineStr">
        <is>
          <t>Booking.com</t>
        </is>
      </c>
      <c r="I246" s="335" t="n">
        <v>28613</v>
      </c>
    </row>
    <row r="247">
      <c r="A247" s="332" t="n">
        <v>46056</v>
      </c>
      <c r="B247" s="332" t="n">
        <v>46058</v>
      </c>
      <c r="C247" s="336" t="inlineStr">
        <is>
          <t>Sky Villa</t>
        </is>
      </c>
      <c r="D247" s="334" t="inlineStr">
        <is>
          <t>Sandra Berenst</t>
        </is>
      </c>
      <c r="E247" s="334" t="n">
        <v>3</v>
      </c>
      <c r="F247" s="334" t="n">
        <v>2</v>
      </c>
      <c r="G247" s="334" t="inlineStr">
        <is>
          <t>B&amp;B</t>
        </is>
      </c>
      <c r="H247" s="334" t="inlineStr">
        <is>
          <t>Booking.com</t>
        </is>
      </c>
      <c r="I247" s="335" t="n">
        <v>10531</v>
      </c>
    </row>
    <row r="248">
      <c r="A248" s="332" t="n">
        <v>46059</v>
      </c>
      <c r="B248" s="332" t="n">
        <v>46059</v>
      </c>
      <c r="C248" s="333" t="inlineStr">
        <is>
          <t>Remington Villa</t>
        </is>
      </c>
      <c r="D248" s="334" t="inlineStr">
        <is>
          <t>Sandra Berenst</t>
        </is>
      </c>
      <c r="E248" s="334" t="n">
        <v>1</v>
      </c>
      <c r="F248" s="334" t="n">
        <v>4</v>
      </c>
      <c r="G248" s="334" t="inlineStr">
        <is>
          <t>Self-catering</t>
        </is>
      </c>
      <c r="H248" s="334" t="inlineStr">
        <is>
          <t>Other</t>
        </is>
      </c>
      <c r="I248" s="335" t="n">
        <v>0</v>
      </c>
    </row>
    <row r="249">
      <c r="A249" s="332" t="n">
        <v>46059</v>
      </c>
      <c r="B249" s="332" t="n">
        <v>46061</v>
      </c>
      <c r="C249" s="336" t="inlineStr">
        <is>
          <t>Sky Villa</t>
        </is>
      </c>
      <c r="D249" s="334" t="inlineStr">
        <is>
          <t>Ana Luiza Gouveia De Olive</t>
        </is>
      </c>
      <c r="E249" s="334" t="n">
        <v>3</v>
      </c>
      <c r="F249" s="334" t="n">
        <v>2</v>
      </c>
      <c r="G249" s="334" t="inlineStr">
        <is>
          <t>B&amp;B</t>
        </is>
      </c>
      <c r="H249" s="334" t="inlineStr">
        <is>
          <t>Booking.com</t>
        </is>
      </c>
      <c r="I249" s="335" t="n">
        <v>6976</v>
      </c>
    </row>
    <row r="250">
      <c r="A250" s="332" t="n">
        <v>46060</v>
      </c>
      <c r="B250" s="332" t="n">
        <v>46065</v>
      </c>
      <c r="C250" s="333" t="inlineStr">
        <is>
          <t>Remington Villa</t>
        </is>
      </c>
      <c r="D250" s="334" t="inlineStr">
        <is>
          <t>Katja Martin</t>
        </is>
      </c>
      <c r="E250" s="334" t="n">
        <v>6</v>
      </c>
      <c r="F250" s="334" t="n">
        <v>4</v>
      </c>
      <c r="G250" s="334" t="inlineStr">
        <is>
          <t>B&amp;B</t>
        </is>
      </c>
      <c r="H250" s="334" t="inlineStr">
        <is>
          <t>Booking.com</t>
        </is>
      </c>
      <c r="I250" s="335" t="n">
        <v>19845</v>
      </c>
    </row>
    <row r="251">
      <c r="A251" s="332" t="n">
        <v>46064</v>
      </c>
      <c r="B251" s="332" t="n">
        <v>46066</v>
      </c>
      <c r="C251" s="336" t="inlineStr">
        <is>
          <t>Sky Villa</t>
        </is>
      </c>
      <c r="D251" s="334" t="inlineStr">
        <is>
          <t>Ernesta Kelertiene</t>
        </is>
      </c>
      <c r="E251" s="334" t="n">
        <v>3</v>
      </c>
      <c r="F251" s="334" t="n">
        <v>3</v>
      </c>
      <c r="G251" s="334" t="inlineStr">
        <is>
          <t>Dinner B&amp;B</t>
        </is>
      </c>
      <c r="H251" s="334" t="inlineStr">
        <is>
          <t>Booking.com</t>
        </is>
      </c>
      <c r="I251" s="335" t="n">
        <v>15101</v>
      </c>
    </row>
    <row r="252">
      <c r="A252" s="332" t="n">
        <v>46069</v>
      </c>
      <c r="B252" s="332" t="n">
        <v>46071</v>
      </c>
      <c r="C252" s="333" t="inlineStr">
        <is>
          <t>Remington Villa</t>
        </is>
      </c>
      <c r="D252" s="334" t="inlineStr">
        <is>
          <t>Jean-Marie LUCAS</t>
        </is>
      </c>
      <c r="E252" s="334" t="n">
        <v>3</v>
      </c>
      <c r="F252" s="334" t="n">
        <v>4</v>
      </c>
      <c r="G252" s="334" t="inlineStr">
        <is>
          <t>Dinner B&amp;B</t>
        </is>
      </c>
      <c r="H252" s="334" t="inlineStr">
        <is>
          <t>Booking.com</t>
        </is>
      </c>
      <c r="I252" s="335" t="n">
        <v>16058</v>
      </c>
    </row>
    <row r="253">
      <c r="A253" s="332" t="n">
        <v>46070</v>
      </c>
      <c r="B253" s="332" t="n">
        <v>46071</v>
      </c>
      <c r="C253" s="336" t="inlineStr">
        <is>
          <t>Sky Villa</t>
        </is>
      </c>
      <c r="D253" s="334" t="inlineStr">
        <is>
          <t>Denis Kusakin</t>
        </is>
      </c>
      <c r="E253" s="334" t="n">
        <v>2</v>
      </c>
      <c r="F253" s="334" t="n">
        <v>2</v>
      </c>
      <c r="G253" s="334" t="inlineStr">
        <is>
          <t>B&amp;B</t>
        </is>
      </c>
      <c r="H253" s="334" t="inlineStr">
        <is>
          <t>Booking.com</t>
        </is>
      </c>
      <c r="I253" s="335" t="n">
        <v>4912</v>
      </c>
    </row>
    <row r="254">
      <c r="A254" s="332" t="n">
        <v>46073</v>
      </c>
      <c r="B254" s="332" t="n">
        <v>46074</v>
      </c>
      <c r="C254" s="333" t="inlineStr">
        <is>
          <t>Remington Villa</t>
        </is>
      </c>
      <c r="D254" s="334" t="inlineStr">
        <is>
          <t>Csaba Toth</t>
        </is>
      </c>
      <c r="E254" s="334" t="n">
        <v>2</v>
      </c>
      <c r="F254" s="334" t="n">
        <v>3</v>
      </c>
      <c r="G254" s="334" t="inlineStr">
        <is>
          <t>Dinner B&amp;B</t>
        </is>
      </c>
      <c r="H254" s="334" t="inlineStr">
        <is>
          <t>Booking.com</t>
        </is>
      </c>
      <c r="I254" s="335" t="n">
        <v>8496</v>
      </c>
    </row>
    <row r="255">
      <c r="A255" s="332" t="n">
        <v>46074</v>
      </c>
      <c r="B255" s="332" t="n">
        <v>46077</v>
      </c>
      <c r="C255" s="336" t="inlineStr">
        <is>
          <t>Sky Villa</t>
        </is>
      </c>
      <c r="D255" s="334" t="inlineStr">
        <is>
          <t>Jonas Schendzielorz</t>
        </is>
      </c>
      <c r="E255" s="334" t="n">
        <v>4</v>
      </c>
      <c r="F255" s="334" t="n">
        <v>3</v>
      </c>
      <c r="G255" s="334" t="inlineStr">
        <is>
          <t>B&amp;B</t>
        </is>
      </c>
      <c r="H255" s="334" t="inlineStr">
        <is>
          <t>Booking.com</t>
        </is>
      </c>
      <c r="I255" s="335" t="n">
        <v>11393</v>
      </c>
    </row>
    <row r="256">
      <c r="A256" s="332" t="n">
        <v>46075</v>
      </c>
      <c r="B256" s="332" t="n">
        <v>46077</v>
      </c>
      <c r="C256" s="333" t="inlineStr">
        <is>
          <t>Remington Villa</t>
        </is>
      </c>
      <c r="D256" s="334" t="inlineStr">
        <is>
          <t>Sophie Muller</t>
        </is>
      </c>
      <c r="E256" s="334" t="n">
        <v>3</v>
      </c>
      <c r="F256" s="334" t="n">
        <v>2</v>
      </c>
      <c r="G256" s="334" t="inlineStr">
        <is>
          <t>B&amp;B</t>
        </is>
      </c>
      <c r="H256" s="334" t="inlineStr">
        <is>
          <t>Booking.com</t>
        </is>
      </c>
      <c r="I256" s="335" t="n">
        <v>7891</v>
      </c>
    </row>
    <row r="257">
      <c r="A257" s="332" t="n">
        <v>46078</v>
      </c>
      <c r="B257" s="332" t="n">
        <v>46078</v>
      </c>
      <c r="C257" s="336" t="inlineStr">
        <is>
          <t>Sky Villa</t>
        </is>
      </c>
      <c r="D257" s="334" t="inlineStr">
        <is>
          <t>Sophie Muller</t>
        </is>
      </c>
      <c r="E257" s="334" t="n">
        <v>1</v>
      </c>
      <c r="F257" s="334" t="n">
        <v>2</v>
      </c>
      <c r="G257" s="334" t="inlineStr">
        <is>
          <t>B&amp;B</t>
        </is>
      </c>
      <c r="H257" s="334" t="inlineStr">
        <is>
          <t>Booking.com</t>
        </is>
      </c>
      <c r="I257" s="335" t="n">
        <v>3289</v>
      </c>
    </row>
    <row r="258">
      <c r="A258" s="332" t="n">
        <v>46078</v>
      </c>
      <c r="B258" s="332" t="n">
        <v>46079</v>
      </c>
      <c r="C258" s="333" t="inlineStr">
        <is>
          <t>Remington Villa</t>
        </is>
      </c>
      <c r="D258" s="334" t="inlineStr">
        <is>
          <t>Csaba Toth</t>
        </is>
      </c>
      <c r="E258" s="334" t="n">
        <v>2</v>
      </c>
      <c r="F258" s="334" t="n">
        <v>3</v>
      </c>
      <c r="G258" s="334" t="inlineStr">
        <is>
          <t>Self-catering</t>
        </is>
      </c>
      <c r="H258" s="334" t="inlineStr">
        <is>
          <t>Other</t>
        </is>
      </c>
      <c r="I258" s="335" t="n">
        <v>9350</v>
      </c>
    </row>
    <row r="259">
      <c r="A259" s="332" t="n">
        <v>46083</v>
      </c>
      <c r="B259" s="332" t="n">
        <v>46085</v>
      </c>
      <c r="C259" s="336" t="inlineStr">
        <is>
          <t>Sky Villa</t>
        </is>
      </c>
      <c r="D259" s="334" t="inlineStr">
        <is>
          <t>Roger Schoch</t>
        </is>
      </c>
      <c r="E259" s="334" t="n">
        <v>3</v>
      </c>
      <c r="F259" s="334" t="n">
        <v>2</v>
      </c>
      <c r="G259" s="334" t="inlineStr">
        <is>
          <t>Dinner B&amp;B</t>
        </is>
      </c>
      <c r="H259" s="334" t="inlineStr">
        <is>
          <t>Booking.com</t>
        </is>
      </c>
      <c r="I259" s="335" t="n">
        <v>11512</v>
      </c>
    </row>
    <row r="260">
      <c r="A260" s="332" t="n">
        <v>46088</v>
      </c>
      <c r="B260" s="332" t="n">
        <v>46091</v>
      </c>
      <c r="C260" s="336" t="inlineStr">
        <is>
          <t>Sky Villa</t>
        </is>
      </c>
      <c r="D260" s="334" t="inlineStr">
        <is>
          <t>Marcel Stoffer</t>
        </is>
      </c>
      <c r="E260" s="334" t="n">
        <v>4</v>
      </c>
      <c r="F260" s="334" t="n">
        <v>2</v>
      </c>
      <c r="G260" s="334" t="inlineStr">
        <is>
          <t>Dinner B&amp;B</t>
        </is>
      </c>
      <c r="H260" s="334" t="inlineStr">
        <is>
          <t>Booking.com</t>
        </is>
      </c>
      <c r="I260" s="335" t="n">
        <v>17313</v>
      </c>
    </row>
    <row r="261">
      <c r="A261" s="332" t="n">
        <v>46090</v>
      </c>
      <c r="B261" s="332" t="n">
        <v>46091</v>
      </c>
      <c r="C261" s="333" t="inlineStr">
        <is>
          <t>Remington Villa</t>
        </is>
      </c>
      <c r="D261" s="334" t="inlineStr">
        <is>
          <t>Natascha Burgers</t>
        </is>
      </c>
      <c r="E261" s="334" t="n">
        <v>2</v>
      </c>
      <c r="F261" s="334" t="n">
        <v>3</v>
      </c>
      <c r="G261" s="334" t="inlineStr">
        <is>
          <t>Dinner B&amp;B</t>
        </is>
      </c>
      <c r="H261" s="334" t="inlineStr">
        <is>
          <t>Booking.com</t>
        </is>
      </c>
      <c r="I261" s="335" t="n">
        <v>9311</v>
      </c>
    </row>
    <row r="262">
      <c r="A262" s="332" t="n">
        <v>46093</v>
      </c>
      <c r="B262" s="332" t="n">
        <v>46093</v>
      </c>
      <c r="C262" s="336" t="inlineStr">
        <is>
          <t>Sky Villa</t>
        </is>
      </c>
      <c r="D262" s="334" t="inlineStr">
        <is>
          <t>Inke van Gameren</t>
        </is>
      </c>
      <c r="E262" s="334" t="n">
        <v>1</v>
      </c>
      <c r="F262" s="334" t="n">
        <v>2</v>
      </c>
      <c r="G262" s="334" t="inlineStr">
        <is>
          <t>Dinner B&amp;B</t>
        </is>
      </c>
      <c r="H262" s="334" t="inlineStr">
        <is>
          <t>Booking.com</t>
        </is>
      </c>
      <c r="I262" s="335" t="n">
        <v>2617</v>
      </c>
    </row>
    <row r="263">
      <c r="A263" s="332" t="n">
        <v>46096</v>
      </c>
      <c r="B263" s="332" t="n">
        <v>46098</v>
      </c>
      <c r="C263" s="333" t="inlineStr">
        <is>
          <t>Remington Villa</t>
        </is>
      </c>
      <c r="D263" s="334" t="inlineStr">
        <is>
          <t>Thomas Hauck</t>
        </is>
      </c>
      <c r="E263" s="334" t="n">
        <v>3</v>
      </c>
      <c r="F263" s="334" t="n">
        <v>2</v>
      </c>
      <c r="G263" s="334" t="inlineStr">
        <is>
          <t>B&amp;B</t>
        </is>
      </c>
      <c r="H263" s="334" t="inlineStr">
        <is>
          <t>Booking.com</t>
        </is>
      </c>
      <c r="I263" s="335" t="n">
        <v>6258</v>
      </c>
    </row>
    <row r="264">
      <c r="A264" s="332" t="n">
        <v>46098</v>
      </c>
      <c r="B264" s="332" t="n">
        <v>46101</v>
      </c>
      <c r="C264" s="336" t="inlineStr">
        <is>
          <t>Sky Villa</t>
        </is>
      </c>
      <c r="D264" s="334" t="inlineStr">
        <is>
          <t>Chris Wafer</t>
        </is>
      </c>
      <c r="E264" s="334" t="n">
        <v>4</v>
      </c>
      <c r="F264" s="334" t="n">
        <v>2</v>
      </c>
      <c r="G264" s="334" t="inlineStr">
        <is>
          <t>B&amp;B</t>
        </is>
      </c>
      <c r="H264" s="334" t="inlineStr">
        <is>
          <t>Booking.com</t>
        </is>
      </c>
      <c r="I264" s="335" t="n">
        <v>9325</v>
      </c>
    </row>
    <row r="265">
      <c r="A265" s="332" t="n">
        <v>46104</v>
      </c>
      <c r="B265" s="332" t="n">
        <v>46105</v>
      </c>
      <c r="C265" s="333" t="inlineStr">
        <is>
          <t>Remington Villa</t>
        </is>
      </c>
      <c r="D265" s="334" t="inlineStr">
        <is>
          <t>REEVA TABACK</t>
        </is>
      </c>
      <c r="E265" s="334" t="n">
        <v>2</v>
      </c>
      <c r="F265" s="334" t="n">
        <v>2</v>
      </c>
      <c r="G265" s="334" t="inlineStr">
        <is>
          <t>B&amp;B</t>
        </is>
      </c>
      <c r="H265" s="334" t="inlineStr">
        <is>
          <t>Other</t>
        </is>
      </c>
      <c r="I265" s="335" t="n">
        <v>0</v>
      </c>
    </row>
    <row r="266">
      <c r="A266" s="332" t="n">
        <v>46105</v>
      </c>
      <c r="B266" s="332" t="n">
        <v>46109</v>
      </c>
      <c r="C266" s="336" t="inlineStr">
        <is>
          <t>Sky Villa</t>
        </is>
      </c>
      <c r="D266" s="334" t="inlineStr">
        <is>
          <t>Mark Alexander</t>
        </is>
      </c>
      <c r="E266" s="334" t="n">
        <v>5</v>
      </c>
      <c r="F266" s="334" t="n">
        <v>2</v>
      </c>
      <c r="G266" s="334" t="inlineStr">
        <is>
          <t>B&amp;B</t>
        </is>
      </c>
      <c r="H266" s="334" t="inlineStr">
        <is>
          <t>Booking.com</t>
        </is>
      </c>
      <c r="I266" s="335" t="n">
        <v>11542</v>
      </c>
    </row>
    <row r="267">
      <c r="A267" s="332" t="n">
        <v>46106</v>
      </c>
      <c r="B267" s="332" t="n">
        <v>46106</v>
      </c>
      <c r="C267" s="333" t="inlineStr">
        <is>
          <t>Remington Villa</t>
        </is>
      </c>
      <c r="D267" s="334" t="inlineStr">
        <is>
          <t>Corne Malherbe</t>
        </is>
      </c>
      <c r="E267" s="334" t="n">
        <v>1</v>
      </c>
      <c r="F267" s="334" t="n">
        <v>4</v>
      </c>
      <c r="G267" s="334" t="inlineStr">
        <is>
          <t>Dinner B&amp;B</t>
        </is>
      </c>
      <c r="H267" s="334" t="inlineStr">
        <is>
          <t>Booking.com</t>
        </is>
      </c>
      <c r="I267" s="335" t="n">
        <v>5904</v>
      </c>
    </row>
    <row r="268">
      <c r="A268" s="332" t="n">
        <v>46107</v>
      </c>
      <c r="B268" s="332" t="n">
        <v>46110</v>
      </c>
      <c r="C268" s="333" t="inlineStr">
        <is>
          <t>Remington Villa</t>
        </is>
      </c>
      <c r="D268" s="334" t="inlineStr">
        <is>
          <t>Zintle Twala</t>
        </is>
      </c>
      <c r="E268" s="334" t="n">
        <v>4</v>
      </c>
      <c r="F268" s="334" t="n">
        <v>2</v>
      </c>
      <c r="G268" s="334" t="inlineStr">
        <is>
          <t>Dinner B&amp;B</t>
        </is>
      </c>
      <c r="H268" s="334" t="inlineStr">
        <is>
          <t>Booking.com</t>
        </is>
      </c>
      <c r="I268" s="335" t="n">
        <v>13815</v>
      </c>
    </row>
    <row r="269">
      <c r="A269" s="332" t="n">
        <v>46113</v>
      </c>
      <c r="B269" s="332" t="n">
        <v>46113</v>
      </c>
      <c r="C269" s="333" t="inlineStr">
        <is>
          <t>Remington Villa</t>
        </is>
      </c>
      <c r="D269" s="334" t="inlineStr">
        <is>
          <t>Martha Louisa Steyn</t>
        </is>
      </c>
      <c r="E269" s="334" t="n">
        <v>1</v>
      </c>
      <c r="F269" s="334" t="n">
        <v>3</v>
      </c>
      <c r="G269" s="334" t="inlineStr">
        <is>
          <t>B&amp;B</t>
        </is>
      </c>
      <c r="H269" s="334" t="inlineStr">
        <is>
          <t>Booking.com</t>
        </is>
      </c>
      <c r="I269" s="335" t="n">
        <v>4627</v>
      </c>
    </row>
    <row r="270">
      <c r="A270" s="332" t="n">
        <v>46114</v>
      </c>
      <c r="B270" s="332" t="n">
        <v>46114</v>
      </c>
      <c r="C270" s="336" t="inlineStr">
        <is>
          <t>Sky Villa</t>
        </is>
      </c>
      <c r="D270" s="334" t="inlineStr">
        <is>
          <t>Martha Louisa Steyn</t>
        </is>
      </c>
      <c r="E270" s="334" t="n">
        <v>1</v>
      </c>
      <c r="F270" s="334" t="n">
        <v>3</v>
      </c>
      <c r="G270" s="334" t="inlineStr">
        <is>
          <t>B&amp;B</t>
        </is>
      </c>
      <c r="H270" s="334" t="inlineStr">
        <is>
          <t>Booking.com</t>
        </is>
      </c>
      <c r="I270" s="335" t="n">
        <v>4862</v>
      </c>
    </row>
    <row r="271">
      <c r="A271" s="332" t="n">
        <v>46114</v>
      </c>
      <c r="B271" s="332" t="n">
        <v>46116</v>
      </c>
      <c r="C271" s="333" t="inlineStr">
        <is>
          <t>Remington Villa</t>
        </is>
      </c>
      <c r="D271" s="334" t="inlineStr">
        <is>
          <t>Alexandre Lima</t>
        </is>
      </c>
      <c r="E271" s="334" t="n">
        <v>3</v>
      </c>
      <c r="F271" s="334" t="n">
        <v>4</v>
      </c>
      <c r="G271" s="334" t="inlineStr">
        <is>
          <t>B&amp;B</t>
        </is>
      </c>
      <c r="H271" s="334" t="inlineStr">
        <is>
          <t>Booking.com</t>
        </is>
      </c>
      <c r="I271" s="335" t="n">
        <v>9536</v>
      </c>
    </row>
    <row r="272">
      <c r="A272" s="332" t="n">
        <v>46115</v>
      </c>
      <c r="B272" s="332" t="n">
        <v>46117</v>
      </c>
      <c r="C272" s="336" t="inlineStr">
        <is>
          <t>Sky Villa</t>
        </is>
      </c>
      <c r="D272" s="334" t="inlineStr">
        <is>
          <t>Cathy Cumming</t>
        </is>
      </c>
      <c r="E272" s="334" t="n">
        <v>3</v>
      </c>
      <c r="F272" s="334" t="n">
        <v>4</v>
      </c>
      <c r="G272" s="334" t="inlineStr">
        <is>
          <t>B&amp;B</t>
        </is>
      </c>
      <c r="H272" s="334" t="inlineStr">
        <is>
          <t>Booking.com</t>
        </is>
      </c>
      <c r="I272" s="335" t="n">
        <v>11025</v>
      </c>
    </row>
    <row r="273">
      <c r="A273" s="332" t="n">
        <v>46117</v>
      </c>
      <c r="B273" s="332" t="n">
        <v>46119</v>
      </c>
      <c r="C273" s="333" t="inlineStr">
        <is>
          <t>Remington Villa</t>
        </is>
      </c>
      <c r="D273" s="334" t="inlineStr">
        <is>
          <t>Raquel Pina</t>
        </is>
      </c>
      <c r="E273" s="334" t="n">
        <v>3</v>
      </c>
      <c r="F273" s="334" t="n">
        <v>3</v>
      </c>
      <c r="G273" s="334" t="inlineStr">
        <is>
          <t>B&amp;B</t>
        </is>
      </c>
      <c r="H273" s="334" t="inlineStr">
        <is>
          <t>Booking.com</t>
        </is>
      </c>
      <c r="I273" s="335" t="n">
        <v>8976</v>
      </c>
    </row>
    <row r="274">
      <c r="A274" s="332" t="n">
        <v>46120</v>
      </c>
      <c r="B274" s="332" t="n">
        <v>46121</v>
      </c>
      <c r="C274" s="336" t="inlineStr">
        <is>
          <t>Sky Villa</t>
        </is>
      </c>
      <c r="D274" s="334" t="inlineStr">
        <is>
          <t>Johan Sprukkelhorst</t>
        </is>
      </c>
      <c r="E274" s="334" t="n">
        <v>2</v>
      </c>
      <c r="F274" s="334" t="n">
        <v>2</v>
      </c>
      <c r="G274" s="334" t="inlineStr">
        <is>
          <t>Dinner B&amp;B</t>
        </is>
      </c>
      <c r="H274" s="334" t="inlineStr">
        <is>
          <t>Booking.com</t>
        </is>
      </c>
      <c r="I274" s="335" t="n">
        <v>0</v>
      </c>
    </row>
    <row r="275">
      <c r="A275" s="332" t="n">
        <v>46123</v>
      </c>
      <c r="B275" s="332" t="n">
        <v>46124</v>
      </c>
      <c r="C275" s="336" t="inlineStr">
        <is>
          <t>Sky Villa</t>
        </is>
      </c>
      <c r="D275" s="334" t="inlineStr">
        <is>
          <t>Joanne Neasham</t>
        </is>
      </c>
      <c r="E275" s="334" t="n">
        <v>2</v>
      </c>
      <c r="F275" s="334" t="n">
        <v>4</v>
      </c>
      <c r="G275" s="334" t="inlineStr">
        <is>
          <t>B&amp;B</t>
        </is>
      </c>
      <c r="H275" s="334" t="inlineStr">
        <is>
          <t>Booking.com</t>
        </is>
      </c>
      <c r="I275" s="335" t="n">
        <v>6273</v>
      </c>
    </row>
    <row r="276">
      <c r="A276" s="332" t="n">
        <v>46126</v>
      </c>
      <c r="B276" s="332" t="n">
        <v>46128</v>
      </c>
      <c r="C276" s="336" t="inlineStr">
        <is>
          <t>Sky Villa</t>
        </is>
      </c>
      <c r="D276" s="334" t="inlineStr">
        <is>
          <t>geraldine barthelemy</t>
        </is>
      </c>
      <c r="E276" s="334" t="n">
        <v>3</v>
      </c>
      <c r="F276" s="334" t="n">
        <v>3</v>
      </c>
      <c r="G276" s="334" t="inlineStr">
        <is>
          <t>B&amp;B</t>
        </is>
      </c>
      <c r="H276" s="334" t="inlineStr">
        <is>
          <t>Booking.com</t>
        </is>
      </c>
      <c r="I276" s="335" t="n">
        <v>9476</v>
      </c>
    </row>
    <row r="277">
      <c r="A277" s="332" t="n">
        <v>46133</v>
      </c>
      <c r="B277" s="332" t="n">
        <v>46134</v>
      </c>
      <c r="C277" s="336" t="inlineStr">
        <is>
          <t>Sky Villa</t>
        </is>
      </c>
      <c r="D277" s="334" t="inlineStr">
        <is>
          <t>Aline Vilela</t>
        </is>
      </c>
      <c r="E277" s="334" t="n">
        <v>2</v>
      </c>
      <c r="F277" s="334" t="n">
        <v>3</v>
      </c>
      <c r="G277" s="334" t="inlineStr">
        <is>
          <t>Dinner B&amp;B</t>
        </is>
      </c>
      <c r="H277" s="334" t="inlineStr">
        <is>
          <t>Booking.com</t>
        </is>
      </c>
      <c r="I277" s="335" t="n">
        <v>8809</v>
      </c>
    </row>
    <row r="278">
      <c r="A278" s="332" t="n">
        <v>46135</v>
      </c>
      <c r="B278" s="332" t="n">
        <v>46135</v>
      </c>
      <c r="C278" s="336" t="inlineStr">
        <is>
          <t>Sky Villa</t>
        </is>
      </c>
      <c r="D278" s="334" t="inlineStr">
        <is>
          <t>jean hoffman</t>
        </is>
      </c>
      <c r="E278" s="334" t="n">
        <v>1</v>
      </c>
      <c r="F278" s="334" t="n">
        <v>2</v>
      </c>
      <c r="G278" s="334" t="inlineStr">
        <is>
          <t>Self-catering</t>
        </is>
      </c>
      <c r="H278" s="334" t="inlineStr">
        <is>
          <t>Other</t>
        </is>
      </c>
      <c r="I278" s="335" t="n">
        <v>0</v>
      </c>
    </row>
    <row r="279">
      <c r="A279" s="332" t="n">
        <v>46137</v>
      </c>
      <c r="B279" s="332" t="n">
        <v>46138</v>
      </c>
      <c r="C279" s="336" t="inlineStr">
        <is>
          <t>Sky Villa</t>
        </is>
      </c>
      <c r="D279" s="334" t="inlineStr">
        <is>
          <t>OITSHUPILE MMATLI</t>
        </is>
      </c>
      <c r="E279" s="334" t="n">
        <v>2</v>
      </c>
      <c r="F279" s="334" t="n">
        <v>4</v>
      </c>
      <c r="G279" s="334" t="inlineStr">
        <is>
          <t>B&amp;B</t>
        </is>
      </c>
      <c r="H279" s="334" t="inlineStr">
        <is>
          <t>Booking.com</t>
        </is>
      </c>
      <c r="I279" s="335" t="n">
        <v>7619</v>
      </c>
    </row>
    <row r="280">
      <c r="A280" s="332" t="n">
        <v>46139</v>
      </c>
      <c r="B280" s="332" t="n">
        <v>46139</v>
      </c>
      <c r="C280" s="336" t="inlineStr">
        <is>
          <t>Sky Villa</t>
        </is>
      </c>
      <c r="D280" s="334" t="inlineStr">
        <is>
          <t>Katja Tarnowski</t>
        </is>
      </c>
      <c r="E280" s="334" t="n">
        <v>1</v>
      </c>
      <c r="F280" s="334" t="n">
        <v>2</v>
      </c>
      <c r="G280" s="334" t="inlineStr">
        <is>
          <t>B&amp;B</t>
        </is>
      </c>
      <c r="H280" s="334" t="inlineStr">
        <is>
          <t>Booking.com</t>
        </is>
      </c>
      <c r="I280" s="335" t="n">
        <v>3378</v>
      </c>
    </row>
    <row r="281">
      <c r="A281" s="332" t="n">
        <v>46140</v>
      </c>
      <c r="B281" s="332" t="n">
        <v>46141</v>
      </c>
      <c r="C281" s="336" t="inlineStr">
        <is>
          <t>Sky Villa</t>
        </is>
      </c>
      <c r="D281" s="334" t="inlineStr">
        <is>
          <t>Martin Kummer</t>
        </is>
      </c>
      <c r="E281" s="334" t="n">
        <v>2</v>
      </c>
      <c r="F281" s="334" t="n">
        <v>2</v>
      </c>
      <c r="G281" s="334" t="inlineStr">
        <is>
          <t>B&amp;B</t>
        </is>
      </c>
      <c r="H281" s="334" t="inlineStr">
        <is>
          <t>Booking.com</t>
        </is>
      </c>
      <c r="I281" s="335" t="n">
        <v>5261</v>
      </c>
    </row>
    <row r="282">
      <c r="A282" s="332" t="n">
        <v>46141</v>
      </c>
      <c r="B282" s="332" t="n">
        <v>46143</v>
      </c>
      <c r="C282" s="333" t="inlineStr">
        <is>
          <t>Remington Villa</t>
        </is>
      </c>
      <c r="D282" s="334" t="inlineStr">
        <is>
          <t>Katarzyna Hanysz</t>
        </is>
      </c>
      <c r="E282" s="334" t="n">
        <v>3</v>
      </c>
      <c r="F282" s="334" t="n">
        <v>4</v>
      </c>
      <c r="G282" s="334" t="inlineStr">
        <is>
          <t>B&amp;B</t>
        </is>
      </c>
      <c r="H282" s="334" t="inlineStr">
        <is>
          <t>Booking.com</t>
        </is>
      </c>
      <c r="I282" s="335" t="n">
        <v>9409</v>
      </c>
    </row>
    <row r="283">
      <c r="A283" s="332" t="n">
        <v>46143</v>
      </c>
      <c r="B283" s="332" t="n">
        <v>46144</v>
      </c>
      <c r="C283" s="336" t="inlineStr">
        <is>
          <t>Sky Villa</t>
        </is>
      </c>
      <c r="D283" s="334" t="inlineStr">
        <is>
          <t>Sunazuka Dai</t>
        </is>
      </c>
      <c r="E283" s="334" t="n">
        <v>2</v>
      </c>
      <c r="F283" s="334" t="n">
        <v>3</v>
      </c>
      <c r="G283" s="334" t="inlineStr">
        <is>
          <t>B&amp;B</t>
        </is>
      </c>
      <c r="H283" s="334" t="inlineStr">
        <is>
          <t>Booking.com</t>
        </is>
      </c>
      <c r="I283" s="335" t="n">
        <v>7996</v>
      </c>
    </row>
    <row r="284">
      <c r="A284" s="332" t="n">
        <v>46148</v>
      </c>
      <c r="B284" s="332" t="n">
        <v>46149</v>
      </c>
      <c r="C284" s="336" t="inlineStr">
        <is>
          <t>Sky Villa</t>
        </is>
      </c>
      <c r="D284" s="334" t="inlineStr">
        <is>
          <t>Renan Mutai Fraguglia</t>
        </is>
      </c>
      <c r="E284" s="334" t="n">
        <v>2</v>
      </c>
      <c r="F284" s="334" t="n">
        <v>4</v>
      </c>
      <c r="G284" s="334" t="inlineStr">
        <is>
          <t>B&amp;B</t>
        </is>
      </c>
      <c r="H284" s="334" t="inlineStr">
        <is>
          <t>Booking.com</t>
        </is>
      </c>
      <c r="I284" s="335" t="n">
        <v>7688</v>
      </c>
    </row>
    <row r="285">
      <c r="A285" s="332" t="n">
        <v>46149</v>
      </c>
      <c r="B285" s="332" t="n">
        <v>46151</v>
      </c>
      <c r="C285" s="333" t="inlineStr">
        <is>
          <t>Remington Villa</t>
        </is>
      </c>
      <c r="D285" s="334" t="inlineStr">
        <is>
          <t>Dirk Erfurth</t>
        </is>
      </c>
      <c r="E285" s="334" t="n">
        <v>3</v>
      </c>
      <c r="F285" s="334" t="n">
        <v>4</v>
      </c>
      <c r="G285" s="334" t="inlineStr">
        <is>
          <t>B&amp;B</t>
        </is>
      </c>
      <c r="H285" s="334" t="inlineStr">
        <is>
          <t>Booking.com</t>
        </is>
      </c>
      <c r="I285" s="335" t="n">
        <v>9874</v>
      </c>
    </row>
    <row r="286">
      <c r="A286" s="332" t="n">
        <v>46150</v>
      </c>
      <c r="B286" s="332" t="n">
        <v>46152</v>
      </c>
      <c r="C286" s="336" t="inlineStr">
        <is>
          <t>Sky Villa</t>
        </is>
      </c>
      <c r="D286" s="334" t="inlineStr">
        <is>
          <t>jean hoffman</t>
        </is>
      </c>
      <c r="E286" s="334" t="n">
        <v>3</v>
      </c>
      <c r="F286" s="334" t="n">
        <v>2</v>
      </c>
      <c r="G286" s="334" t="inlineStr">
        <is>
          <t>Self-catering</t>
        </is>
      </c>
      <c r="H286" s="334" t="inlineStr">
        <is>
          <t>Other</t>
        </is>
      </c>
      <c r="I286" s="335" t="n">
        <v>0</v>
      </c>
    </row>
    <row r="287">
      <c r="A287" s="332" t="n">
        <v>46153</v>
      </c>
      <c r="B287" s="332" t="n">
        <v>46156</v>
      </c>
      <c r="C287" s="336" t="inlineStr">
        <is>
          <t>Sky Villa</t>
        </is>
      </c>
      <c r="D287" s="334" t="inlineStr">
        <is>
          <t>Caroline Vonflie</t>
        </is>
      </c>
      <c r="E287" s="334" t="n">
        <v>4</v>
      </c>
      <c r="F287" s="334" t="n">
        <v>3</v>
      </c>
      <c r="G287" s="334" t="inlineStr">
        <is>
          <t>B&amp;B</t>
        </is>
      </c>
      <c r="H287" s="334" t="inlineStr">
        <is>
          <t>Booking.com</t>
        </is>
      </c>
      <c r="I287" s="335" t="n">
        <v>13346</v>
      </c>
    </row>
    <row r="288">
      <c r="A288" s="332" t="n">
        <v>46154</v>
      </c>
      <c r="B288" s="332" t="n">
        <v>46160</v>
      </c>
      <c r="C288" s="333" t="inlineStr">
        <is>
          <t>Remington Villa</t>
        </is>
      </c>
      <c r="D288" s="334" t="inlineStr">
        <is>
          <t>JEAN VERANI</t>
        </is>
      </c>
      <c r="E288" s="334" t="n">
        <v>7</v>
      </c>
      <c r="F288" s="334" t="n">
        <v>2</v>
      </c>
      <c r="G288" s="334" t="inlineStr">
        <is>
          <t>B&amp;B</t>
        </is>
      </c>
      <c r="H288" s="334" t="inlineStr">
        <is>
          <t>Booking.com</t>
        </is>
      </c>
      <c r="I288" s="335" t="n">
        <v>16488</v>
      </c>
    </row>
    <row r="289">
      <c r="A289" s="332" t="n">
        <v>46157</v>
      </c>
      <c r="B289" s="332" t="n">
        <v>46158</v>
      </c>
      <c r="C289" s="336" t="inlineStr">
        <is>
          <t>Sky Villa</t>
        </is>
      </c>
      <c r="D289" s="334" t="inlineStr">
        <is>
          <t>Thomas Malekpanah</t>
        </is>
      </c>
      <c r="E289" s="334" t="n">
        <v>2</v>
      </c>
      <c r="F289" s="334" t="n">
        <v>2</v>
      </c>
      <c r="G289" s="334" t="inlineStr">
        <is>
          <t>Dinner B&amp;B</t>
        </is>
      </c>
      <c r="H289" s="334" t="inlineStr">
        <is>
          <t>Booking.com</t>
        </is>
      </c>
      <c r="I289" s="335" t="n">
        <v>7357</v>
      </c>
    </row>
    <row r="290">
      <c r="A290" s="332" t="n">
        <v>46161</v>
      </c>
      <c r="B290" s="332" t="n">
        <v>46164</v>
      </c>
      <c r="C290" s="336" t="inlineStr">
        <is>
          <t>Sky Villa</t>
        </is>
      </c>
      <c r="D290" s="334" t="inlineStr">
        <is>
          <t>Giovanni Sighinolfi</t>
        </is>
      </c>
      <c r="E290" s="334" t="n">
        <v>4</v>
      </c>
      <c r="F290" s="334" t="n">
        <v>4</v>
      </c>
      <c r="G290" s="334" t="inlineStr">
        <is>
          <t>B&amp;B</t>
        </is>
      </c>
      <c r="H290" s="334" t="inlineStr">
        <is>
          <t>Booking.com</t>
        </is>
      </c>
      <c r="I290" s="335" t="n">
        <v>13037</v>
      </c>
    </row>
    <row r="291">
      <c r="A291" s="332" t="n">
        <v>46166</v>
      </c>
      <c r="B291" s="332" t="n">
        <v>46168</v>
      </c>
      <c r="C291" s="333" t="inlineStr">
        <is>
          <t>Remington Villa</t>
        </is>
      </c>
      <c r="D291" s="334" t="inlineStr">
        <is>
          <t>Frederic grille</t>
        </is>
      </c>
      <c r="E291" s="334" t="n">
        <v>3</v>
      </c>
      <c r="F291" s="334" t="n">
        <v>2</v>
      </c>
      <c r="G291" s="334" t="inlineStr">
        <is>
          <t>Dinner B&amp;B</t>
        </is>
      </c>
      <c r="H291" s="334" t="inlineStr">
        <is>
          <t>Booking.com</t>
        </is>
      </c>
      <c r="I291" s="335" t="n">
        <v>12250</v>
      </c>
    </row>
    <row r="292">
      <c r="A292" s="332" t="n">
        <v>46166</v>
      </c>
      <c r="B292" s="332" t="n">
        <v>46169</v>
      </c>
      <c r="C292" s="336" t="inlineStr">
        <is>
          <t>Sky Villa</t>
        </is>
      </c>
      <c r="D292" s="334" t="inlineStr">
        <is>
          <t>Antoine LUCAS</t>
        </is>
      </c>
      <c r="E292" s="334" t="n">
        <v>4</v>
      </c>
      <c r="F292" s="334" t="n">
        <v>2</v>
      </c>
      <c r="G292" s="334" t="inlineStr">
        <is>
          <t>B&amp;B</t>
        </is>
      </c>
      <c r="H292" s="334" t="inlineStr">
        <is>
          <t>Own web site</t>
        </is>
      </c>
      <c r="I292" s="335" t="n">
        <v>19774</v>
      </c>
    </row>
    <row r="293">
      <c r="A293" s="332" t="n">
        <v>46169</v>
      </c>
      <c r="B293" s="332" t="n">
        <v>46172</v>
      </c>
      <c r="C293" s="333" t="inlineStr">
        <is>
          <t>Remington Villa</t>
        </is>
      </c>
      <c r="D293" s="334" t="inlineStr">
        <is>
          <t>Agnes Thomas</t>
        </is>
      </c>
      <c r="E293" s="334" t="n">
        <v>4</v>
      </c>
      <c r="F293" s="334" t="n">
        <v>3</v>
      </c>
      <c r="G293" s="334" t="inlineStr">
        <is>
          <t>B&amp;B</t>
        </is>
      </c>
      <c r="H293" s="334" t="inlineStr">
        <is>
          <t>Booking.com</t>
        </is>
      </c>
      <c r="I293" s="335" t="n">
        <v>11143</v>
      </c>
    </row>
    <row r="294">
      <c r="A294" s="332" t="n">
        <v>46177</v>
      </c>
      <c r="B294" s="332" t="n">
        <v>46177</v>
      </c>
      <c r="C294" s="336" t="inlineStr">
        <is>
          <t>Sky Villa</t>
        </is>
      </c>
      <c r="D294" s="334" t="inlineStr">
        <is>
          <t>Katja Faude</t>
        </is>
      </c>
      <c r="E294" s="334" t="n">
        <v>1</v>
      </c>
      <c r="F294" s="334" t="n">
        <v>4</v>
      </c>
      <c r="G294" s="334" t="inlineStr">
        <is>
          <t>B&amp;B</t>
        </is>
      </c>
      <c r="H294" s="334" t="inlineStr">
        <is>
          <t>Booking.com</t>
        </is>
      </c>
      <c r="I294" s="335" t="n">
        <v>4230</v>
      </c>
    </row>
    <row r="295">
      <c r="A295" s="332" t="n">
        <v>46180</v>
      </c>
      <c r="B295" s="332" t="n">
        <v>46182</v>
      </c>
      <c r="C295" s="336" t="inlineStr">
        <is>
          <t>Sky Villa</t>
        </is>
      </c>
      <c r="D295" s="334" t="inlineStr">
        <is>
          <t>Eric Cillien</t>
        </is>
      </c>
      <c r="E295" s="334" t="n">
        <v>3</v>
      </c>
      <c r="F295" s="334" t="n">
        <v>2</v>
      </c>
      <c r="G295" s="334" t="inlineStr">
        <is>
          <t>Dinner B&amp;B</t>
        </is>
      </c>
      <c r="H295" s="334" t="inlineStr">
        <is>
          <t>Booking.com</t>
        </is>
      </c>
      <c r="I295" s="335" t="n">
        <v>11562</v>
      </c>
    </row>
    <row r="296">
      <c r="A296" s="332" t="n">
        <v>46188</v>
      </c>
      <c r="B296" s="332" t="n">
        <v>46189</v>
      </c>
      <c r="C296" s="336" t="inlineStr">
        <is>
          <t>Sky Villa</t>
        </is>
      </c>
      <c r="D296" s="334" t="inlineStr">
        <is>
          <t>Renate Wenghofer</t>
        </is>
      </c>
      <c r="E296" s="334" t="n">
        <v>2</v>
      </c>
      <c r="F296" s="334" t="n">
        <v>3</v>
      </c>
      <c r="G296" s="334" t="inlineStr">
        <is>
          <t>Dinner B&amp;B</t>
        </is>
      </c>
      <c r="H296" s="334" t="inlineStr">
        <is>
          <t>Booking.com</t>
        </is>
      </c>
      <c r="I296" s="335" t="n">
        <v>8276</v>
      </c>
    </row>
    <row r="297">
      <c r="A297" s="332" t="n">
        <v>46189</v>
      </c>
      <c r="B297" s="332" t="n">
        <v>46191</v>
      </c>
      <c r="C297" s="333" t="inlineStr">
        <is>
          <t>Remington Villa</t>
        </is>
      </c>
      <c r="D297" s="334" t="inlineStr">
        <is>
          <t>Karl Kisch</t>
        </is>
      </c>
      <c r="E297" s="334" t="n">
        <v>3</v>
      </c>
      <c r="F297" s="334" t="n">
        <v>3</v>
      </c>
      <c r="G297" s="334" t="inlineStr">
        <is>
          <t>B&amp;B</t>
        </is>
      </c>
      <c r="H297" s="334" t="inlineStr">
        <is>
          <t>Booking.com</t>
        </is>
      </c>
      <c r="I297" s="335" t="n">
        <v>9293</v>
      </c>
    </row>
    <row r="298">
      <c r="A298" s="332" t="n">
        <v>46192</v>
      </c>
      <c r="B298" s="332" t="n">
        <v>46193</v>
      </c>
      <c r="C298" s="336" t="inlineStr">
        <is>
          <t>Sky Villa</t>
        </is>
      </c>
      <c r="D298" s="334" t="inlineStr">
        <is>
          <t>NATALIA VARGAS</t>
        </is>
      </c>
      <c r="E298" s="334" t="n">
        <v>2</v>
      </c>
      <c r="F298" s="334" t="n">
        <v>3</v>
      </c>
      <c r="G298" s="334" t="inlineStr">
        <is>
          <t>B&amp;B</t>
        </is>
      </c>
      <c r="H298" s="334" t="inlineStr">
        <is>
          <t>Booking.com</t>
        </is>
      </c>
      <c r="I298" s="335" t="n">
        <v>5035</v>
      </c>
    </row>
    <row r="299">
      <c r="A299" s="332" t="n">
        <v>46192</v>
      </c>
      <c r="B299" s="332" t="n">
        <v>46193</v>
      </c>
      <c r="C299" s="333" t="inlineStr">
        <is>
          <t>Remington Villa</t>
        </is>
      </c>
      <c r="D299" s="334" t="inlineStr">
        <is>
          <t>NATALIA VARGAS</t>
        </is>
      </c>
      <c r="E299" s="334" t="n">
        <v>2</v>
      </c>
      <c r="F299" s="334" t="n">
        <v>2</v>
      </c>
      <c r="G299" s="334" t="inlineStr">
        <is>
          <t>B&amp;B</t>
        </is>
      </c>
      <c r="H299" s="334" t="inlineStr">
        <is>
          <t>Booking.com</t>
        </is>
      </c>
      <c r="I299" s="335" t="n">
        <v>4358</v>
      </c>
    </row>
    <row r="300">
      <c r="A300" s="332" t="n">
        <v>46196</v>
      </c>
      <c r="B300" s="332" t="n">
        <v>46197</v>
      </c>
      <c r="C300" s="336" t="inlineStr">
        <is>
          <t>Sky Villa</t>
        </is>
      </c>
      <c r="D300" s="334" t="inlineStr">
        <is>
          <t>Maris Rozentals</t>
        </is>
      </c>
      <c r="E300" s="334" t="n">
        <v>2</v>
      </c>
      <c r="F300" s="334" t="n">
        <v>3</v>
      </c>
      <c r="G300" s="334" t="inlineStr">
        <is>
          <t>B&amp;B</t>
        </is>
      </c>
      <c r="H300" s="334" t="inlineStr">
        <is>
          <t>Booking.com</t>
        </is>
      </c>
      <c r="I300" s="335" t="n">
        <v>6874</v>
      </c>
    </row>
    <row r="301">
      <c r="A301" s="332" t="n">
        <v>46200</v>
      </c>
      <c r="B301" s="332" t="n">
        <v>46209</v>
      </c>
      <c r="C301" s="333" t="inlineStr">
        <is>
          <t>Remington Villa</t>
        </is>
      </c>
      <c r="D301" s="334" t="inlineStr">
        <is>
          <t>Katarzyna Wisniewski</t>
        </is>
      </c>
      <c r="E301" s="334" t="n">
        <v>10</v>
      </c>
      <c r="F301" s="334" t="n">
        <v>2</v>
      </c>
      <c r="G301" s="334" t="inlineStr">
        <is>
          <t>B&amp;B</t>
        </is>
      </c>
      <c r="H301" s="334" t="inlineStr">
        <is>
          <t>Booking.com</t>
        </is>
      </c>
      <c r="I301" s="335" t="n">
        <v>24281</v>
      </c>
    </row>
    <row r="302">
      <c r="A302" s="332" t="n">
        <v>46201</v>
      </c>
      <c r="B302" s="332" t="n">
        <v>46205</v>
      </c>
      <c r="C302" s="336" t="inlineStr">
        <is>
          <t>Sky Villa</t>
        </is>
      </c>
      <c r="D302" s="334" t="inlineStr">
        <is>
          <t>Nadja Van rems</t>
        </is>
      </c>
      <c r="E302" s="334" t="n">
        <v>5</v>
      </c>
      <c r="F302" s="334" t="n">
        <v>3</v>
      </c>
      <c r="G302" s="334" t="inlineStr">
        <is>
          <t>B&amp;B</t>
        </is>
      </c>
      <c r="H302" s="334" t="inlineStr">
        <is>
          <t>Booking.com</t>
        </is>
      </c>
      <c r="I302" s="335" t="n">
        <v>14449</v>
      </c>
    </row>
    <row r="303">
      <c r="A303" s="332" t="n">
        <v>46206</v>
      </c>
      <c r="B303" s="332" t="n">
        <v>46208</v>
      </c>
      <c r="C303" s="336" t="inlineStr">
        <is>
          <t>Sky Villa</t>
        </is>
      </c>
      <c r="D303" s="334" t="inlineStr">
        <is>
          <t>Jan Hoogendyk</t>
        </is>
      </c>
      <c r="E303" s="334" t="n">
        <v>3</v>
      </c>
      <c r="F303" s="334" t="n">
        <v>4</v>
      </c>
      <c r="G303" s="334" t="inlineStr">
        <is>
          <t>B&amp;B</t>
        </is>
      </c>
      <c r="H303" s="334" t="inlineStr">
        <is>
          <t>Booking.com</t>
        </is>
      </c>
      <c r="I303" s="335" t="n">
        <v>10757</v>
      </c>
    </row>
    <row r="304">
      <c r="A304" s="332" t="n">
        <v>46210</v>
      </c>
      <c r="B304" s="332" t="n">
        <v>46212</v>
      </c>
      <c r="C304" s="333" t="inlineStr">
        <is>
          <t>Remington Villa</t>
        </is>
      </c>
      <c r="D304" s="334" t="inlineStr">
        <is>
          <t>Mirko Scheske</t>
        </is>
      </c>
      <c r="E304" s="334" t="n">
        <v>3</v>
      </c>
      <c r="F304" s="334" t="n">
        <v>3</v>
      </c>
      <c r="G304" s="334" t="inlineStr">
        <is>
          <t>B&amp;B</t>
        </is>
      </c>
      <c r="H304" s="334" t="inlineStr">
        <is>
          <t>Booking.com</t>
        </is>
      </c>
      <c r="I304" s="335" t="n">
        <v>9044</v>
      </c>
    </row>
    <row r="305">
      <c r="A305" s="332" t="n">
        <v>46210</v>
      </c>
      <c r="B305" s="332" t="n">
        <v>46212</v>
      </c>
      <c r="C305" s="336" t="inlineStr">
        <is>
          <t>Sky Villa</t>
        </is>
      </c>
      <c r="D305" s="334" t="inlineStr">
        <is>
          <t>Henry Wolff</t>
        </is>
      </c>
      <c r="E305" s="334" t="n">
        <v>3</v>
      </c>
      <c r="F305" s="334" t="n">
        <v>3</v>
      </c>
      <c r="G305" s="334" t="inlineStr">
        <is>
          <t>B&amp;B</t>
        </is>
      </c>
      <c r="H305" s="334" t="inlineStr">
        <is>
          <t>Booking.com</t>
        </is>
      </c>
      <c r="I305" s="335" t="n">
        <v>13408</v>
      </c>
    </row>
    <row r="306">
      <c r="A306" s="332" t="n">
        <v>46213</v>
      </c>
      <c r="B306" s="332" t="n">
        <v>46215</v>
      </c>
      <c r="C306" s="336" t="inlineStr">
        <is>
          <t>Sky Villa</t>
        </is>
      </c>
      <c r="D306" s="334" t="inlineStr">
        <is>
          <t>Joana Ferreira</t>
        </is>
      </c>
      <c r="E306" s="334" t="n">
        <v>3</v>
      </c>
      <c r="F306" s="334" t="n">
        <v>2</v>
      </c>
      <c r="G306" s="334" t="inlineStr">
        <is>
          <t>B&amp;B</t>
        </is>
      </c>
      <c r="H306" s="334" t="inlineStr">
        <is>
          <t>Booking.com</t>
        </is>
      </c>
      <c r="I306" s="335" t="n">
        <v>7194</v>
      </c>
    </row>
    <row r="307">
      <c r="A307" s="332" t="n">
        <v>46216</v>
      </c>
      <c r="B307" s="332" t="n">
        <v>46216</v>
      </c>
      <c r="C307" s="333" t="inlineStr">
        <is>
          <t>Remington Villa</t>
        </is>
      </c>
      <c r="D307" s="334" t="inlineStr">
        <is>
          <t>Angelique CATTEAU</t>
        </is>
      </c>
      <c r="E307" s="334" t="n">
        <v>1</v>
      </c>
      <c r="F307" s="334" t="n">
        <v>3</v>
      </c>
      <c r="G307" s="334" t="inlineStr">
        <is>
          <t>B&amp;B</t>
        </is>
      </c>
      <c r="H307" s="334" t="inlineStr">
        <is>
          <t>Booking.com</t>
        </is>
      </c>
      <c r="I307" s="335" t="n">
        <v>2890</v>
      </c>
    </row>
    <row r="308">
      <c r="A308" s="332" t="n">
        <v>46216</v>
      </c>
      <c r="B308" s="332" t="n">
        <v>46217</v>
      </c>
      <c r="C308" s="336" t="inlineStr">
        <is>
          <t>Sky Villa</t>
        </is>
      </c>
      <c r="D308" s="334" t="inlineStr">
        <is>
          <t>Marieke Hulshof</t>
        </is>
      </c>
      <c r="E308" s="334" t="n">
        <v>2</v>
      </c>
      <c r="F308" s="334" t="n">
        <v>4</v>
      </c>
      <c r="G308" s="334" t="inlineStr">
        <is>
          <t>B&amp;B</t>
        </is>
      </c>
      <c r="H308" s="334" t="inlineStr">
        <is>
          <t>Booking.com</t>
        </is>
      </c>
      <c r="I308" s="335" t="n">
        <v>7994</v>
      </c>
    </row>
    <row r="309">
      <c r="A309" s="332" t="n">
        <v>46217</v>
      </c>
      <c r="B309" s="332" t="n">
        <v>46218</v>
      </c>
      <c r="C309" s="333" t="inlineStr">
        <is>
          <t>Remington Villa</t>
        </is>
      </c>
      <c r="D309" s="334" t="inlineStr">
        <is>
          <t>Angelique CATTEAU</t>
        </is>
      </c>
      <c r="E309" s="334" t="n">
        <v>2</v>
      </c>
      <c r="F309" s="334" t="n">
        <v>3</v>
      </c>
      <c r="G309" s="334" t="inlineStr">
        <is>
          <t>B&amp;B</t>
        </is>
      </c>
      <c r="H309" s="334" t="inlineStr">
        <is>
          <t>Booking.com</t>
        </is>
      </c>
      <c r="I309" s="335" t="n">
        <v>5401</v>
      </c>
    </row>
    <row r="310">
      <c r="A310" s="332" t="n">
        <v>46218</v>
      </c>
      <c r="B310" s="332" t="n">
        <v>46219</v>
      </c>
      <c r="C310" s="336" t="inlineStr">
        <is>
          <t>Sky Villa</t>
        </is>
      </c>
      <c r="D310" s="334" t="inlineStr">
        <is>
          <t>Marjolein Dubbeld</t>
        </is>
      </c>
      <c r="E310" s="334" t="n">
        <v>2</v>
      </c>
      <c r="F310" s="334" t="n">
        <v>3</v>
      </c>
      <c r="G310" s="334" t="inlineStr">
        <is>
          <t>B&amp;B</t>
        </is>
      </c>
      <c r="H310" s="334" t="inlineStr">
        <is>
          <t>Booking.com</t>
        </is>
      </c>
      <c r="I310" s="335" t="n">
        <v>5401</v>
      </c>
    </row>
    <row r="311">
      <c r="A311" s="332" t="n">
        <v>46220</v>
      </c>
      <c r="B311" s="332" t="n">
        <v>46224</v>
      </c>
      <c r="C311" s="336" t="inlineStr">
        <is>
          <t>Sky Villa</t>
        </is>
      </c>
      <c r="D311" s="334" t="inlineStr">
        <is>
          <t>Mark Ruiter</t>
        </is>
      </c>
      <c r="E311" s="334" t="n">
        <v>5</v>
      </c>
      <c r="F311" s="334" t="n">
        <v>4</v>
      </c>
      <c r="G311" s="334" t="inlineStr">
        <is>
          <t>Dinner B&amp;B</t>
        </is>
      </c>
      <c r="H311" s="334" t="inlineStr">
        <is>
          <t>Booking.com</t>
        </is>
      </c>
      <c r="I311" s="335" t="n">
        <v>23412</v>
      </c>
    </row>
    <row r="312">
      <c r="A312" s="332" t="n">
        <v>46225</v>
      </c>
      <c r="B312" s="332" t="n">
        <v>46227</v>
      </c>
      <c r="C312" s="333" t="inlineStr">
        <is>
          <t>Remington Villa</t>
        </is>
      </c>
      <c r="D312" s="334" t="inlineStr">
        <is>
          <t>Dietmar Wenderoth</t>
        </is>
      </c>
      <c r="E312" s="334" t="n">
        <v>3</v>
      </c>
      <c r="F312" s="334" t="n">
        <v>3</v>
      </c>
      <c r="G312" s="334" t="inlineStr">
        <is>
          <t>Dinner B&amp;B</t>
        </is>
      </c>
      <c r="H312" s="334" t="inlineStr">
        <is>
          <t>Booking.com</t>
        </is>
      </c>
      <c r="I312" s="335" t="n">
        <v>16605</v>
      </c>
    </row>
    <row r="313">
      <c r="A313" s="332" t="n">
        <v>46226</v>
      </c>
      <c r="B313" s="332" t="n">
        <v>46227</v>
      </c>
      <c r="C313" s="336" t="inlineStr">
        <is>
          <t>Sky Villa</t>
        </is>
      </c>
      <c r="D313" s="334" t="inlineStr">
        <is>
          <t>Marcel luijnenburg</t>
        </is>
      </c>
      <c r="E313" s="334" t="n">
        <v>2</v>
      </c>
      <c r="F313" s="334" t="n">
        <v>4</v>
      </c>
      <c r="G313" s="334" t="inlineStr">
        <is>
          <t>B&amp;B</t>
        </is>
      </c>
      <c r="H313" s="334" t="inlineStr">
        <is>
          <t>Booking.com</t>
        </is>
      </c>
      <c r="I313" s="335" t="n">
        <v>7195</v>
      </c>
    </row>
    <row r="314">
      <c r="A314" s="332" t="n">
        <v>46228</v>
      </c>
      <c r="B314" s="332" t="n">
        <v>46230</v>
      </c>
      <c r="C314" s="336" t="inlineStr">
        <is>
          <t>Sky Villa</t>
        </is>
      </c>
      <c r="D314" s="334" t="inlineStr">
        <is>
          <t>Roberto Gisolfi</t>
        </is>
      </c>
      <c r="E314" s="334" t="n">
        <v>3</v>
      </c>
      <c r="F314" s="334" t="n">
        <v>2</v>
      </c>
      <c r="G314" s="334" t="inlineStr">
        <is>
          <t>B&amp;B</t>
        </is>
      </c>
      <c r="H314" s="334" t="inlineStr">
        <is>
          <t>Booking.com</t>
        </is>
      </c>
      <c r="I314" s="335" t="n">
        <v>7816</v>
      </c>
    </row>
    <row r="315">
      <c r="A315" s="332" t="n">
        <v>46234</v>
      </c>
      <c r="B315" s="332" t="n">
        <v>46235</v>
      </c>
      <c r="C315" s="333" t="inlineStr">
        <is>
          <t>Remington Villa</t>
        </is>
      </c>
      <c r="D315" s="334" t="inlineStr">
        <is>
          <t>dominiek pillaert</t>
        </is>
      </c>
      <c r="E315" s="334" t="n">
        <v>2</v>
      </c>
      <c r="F315" s="334" t="n">
        <v>4</v>
      </c>
      <c r="G315" s="334" t="inlineStr">
        <is>
          <t>B&amp;B</t>
        </is>
      </c>
      <c r="H315" s="334" t="inlineStr">
        <is>
          <t>Booking.com</t>
        </is>
      </c>
      <c r="I315" s="335" t="n">
        <v>6712</v>
      </c>
    </row>
    <row r="316">
      <c r="A316" s="332" t="n">
        <v>46234</v>
      </c>
      <c r="B316" s="332" t="n">
        <v>46236</v>
      </c>
      <c r="C316" s="336" t="inlineStr">
        <is>
          <t>Sky Villa</t>
        </is>
      </c>
      <c r="D316" s="334" t="inlineStr">
        <is>
          <t>Anja Schiller</t>
        </is>
      </c>
      <c r="E316" s="334" t="n">
        <v>3</v>
      </c>
      <c r="F316" s="334" t="n">
        <v>4</v>
      </c>
      <c r="G316" s="334" t="inlineStr">
        <is>
          <t>B&amp;B</t>
        </is>
      </c>
      <c r="H316" s="334" t="inlineStr">
        <is>
          <t>Booking.com</t>
        </is>
      </c>
      <c r="I316" s="335" t="n">
        <v>10792</v>
      </c>
    </row>
    <row r="317">
      <c r="A317" s="332" t="n">
        <v>46236</v>
      </c>
      <c r="B317" s="332" t="n">
        <v>46239</v>
      </c>
      <c r="C317" s="333" t="inlineStr">
        <is>
          <t>Remington Villa</t>
        </is>
      </c>
      <c r="D317" s="334" t="inlineStr">
        <is>
          <t>Jan Janssen</t>
        </is>
      </c>
      <c r="E317" s="334" t="n">
        <v>4</v>
      </c>
      <c r="F317" s="334" t="n">
        <v>4</v>
      </c>
      <c r="G317" s="334" t="inlineStr">
        <is>
          <t>B&amp;B</t>
        </is>
      </c>
      <c r="H317" s="334" t="inlineStr">
        <is>
          <t>Booking.com</t>
        </is>
      </c>
      <c r="I317" s="335" t="n">
        <v>17389</v>
      </c>
    </row>
    <row r="318">
      <c r="A318" s="332" t="n">
        <v>46237</v>
      </c>
      <c r="B318" s="332" t="n">
        <v>46238</v>
      </c>
      <c r="C318" s="336" t="inlineStr">
        <is>
          <t>Sky Villa</t>
        </is>
      </c>
      <c r="D318" s="334" t="inlineStr">
        <is>
          <t>Aren SERIK</t>
        </is>
      </c>
      <c r="E318" s="334" t="n">
        <v>2</v>
      </c>
      <c r="F318" s="334" t="n">
        <v>4</v>
      </c>
      <c r="G318" s="334" t="inlineStr">
        <is>
          <t>Dinner B&amp;B</t>
        </is>
      </c>
      <c r="H318" s="334" t="inlineStr">
        <is>
          <t>Booking.com</t>
        </is>
      </c>
      <c r="I318" s="335" t="n">
        <v>11291</v>
      </c>
    </row>
    <row r="319">
      <c r="A319" s="332" t="n">
        <v>46239</v>
      </c>
      <c r="B319" s="332" t="n">
        <v>46239</v>
      </c>
      <c r="C319" s="336" t="inlineStr">
        <is>
          <t>Sky Villa</t>
        </is>
      </c>
      <c r="D319" s="334" t="inlineStr">
        <is>
          <t>Carl-helmut Coulon</t>
        </is>
      </c>
      <c r="E319" s="334" t="n">
        <v>1</v>
      </c>
      <c r="F319" s="334" t="n">
        <v>3</v>
      </c>
      <c r="G319" s="334" t="inlineStr">
        <is>
          <t>Dinner B&amp;B</t>
        </is>
      </c>
      <c r="H319" s="334" t="inlineStr">
        <is>
          <t>Booking.com</t>
        </is>
      </c>
      <c r="I319" s="335" t="n">
        <v>5570</v>
      </c>
    </row>
    <row r="320">
      <c r="A320" s="332" t="n">
        <v>46240</v>
      </c>
      <c r="B320" s="332" t="n">
        <v>46240</v>
      </c>
      <c r="C320" s="336" t="inlineStr">
        <is>
          <t>Sky Villa</t>
        </is>
      </c>
      <c r="D320" s="334" t="inlineStr">
        <is>
          <t>Sabine Coulon</t>
        </is>
      </c>
      <c r="E320" s="334" t="n">
        <v>1</v>
      </c>
      <c r="F320" s="334" t="n">
        <v>3</v>
      </c>
      <c r="G320" s="334" t="inlineStr">
        <is>
          <t>Dinner B&amp;B</t>
        </is>
      </c>
      <c r="H320" s="334" t="inlineStr">
        <is>
          <t>Booking.com</t>
        </is>
      </c>
      <c r="I320" s="335" t="n">
        <v>5043</v>
      </c>
    </row>
    <row r="321">
      <c r="A321" s="332" t="n">
        <v>46241</v>
      </c>
      <c r="B321" s="332" t="n">
        <v>46242</v>
      </c>
      <c r="C321" s="333" t="inlineStr">
        <is>
          <t>Remington Villa</t>
        </is>
      </c>
      <c r="D321" s="334" t="inlineStr">
        <is>
          <t>Kaat De Tant</t>
        </is>
      </c>
      <c r="E321" s="334" t="n">
        <v>2</v>
      </c>
      <c r="F321" s="334" t="n">
        <v>4</v>
      </c>
      <c r="G321" s="334" t="inlineStr">
        <is>
          <t>Dinner B&amp;B</t>
        </is>
      </c>
      <c r="H321" s="334" t="inlineStr">
        <is>
          <t>Booking.com</t>
        </is>
      </c>
      <c r="I321" s="335" t="n">
        <v>11421</v>
      </c>
    </row>
    <row r="322">
      <c r="A322" s="332" t="n">
        <v>46241</v>
      </c>
      <c r="B322" s="332" t="n">
        <v>46242</v>
      </c>
      <c r="C322" s="336" t="inlineStr">
        <is>
          <t>Sky Villa</t>
        </is>
      </c>
      <c r="D322" s="334" t="inlineStr">
        <is>
          <t>Pieter Maritz</t>
        </is>
      </c>
      <c r="E322" s="334" t="n">
        <v>2</v>
      </c>
      <c r="F322" s="334" t="n">
        <v>2</v>
      </c>
      <c r="G322" s="334" t="inlineStr">
        <is>
          <t>Self-catering</t>
        </is>
      </c>
      <c r="H322" s="334" t="inlineStr">
        <is>
          <t>Other</t>
        </is>
      </c>
      <c r="I322" s="335" t="n">
        <v>8800</v>
      </c>
    </row>
    <row r="323">
      <c r="A323" s="332" t="n">
        <v>46243</v>
      </c>
      <c r="B323" s="332" t="n">
        <v>46247</v>
      </c>
      <c r="C323" s="336" t="inlineStr">
        <is>
          <t>Sky Villa</t>
        </is>
      </c>
      <c r="D323" s="334" t="inlineStr">
        <is>
          <t>Lewis Palmer</t>
        </is>
      </c>
      <c r="E323" s="334" t="n">
        <v>5</v>
      </c>
      <c r="F323" s="334" t="n">
        <v>3</v>
      </c>
      <c r="G323" s="334" t="inlineStr">
        <is>
          <t>B&amp;B</t>
        </is>
      </c>
      <c r="H323" s="334" t="inlineStr">
        <is>
          <t>Booking.com</t>
        </is>
      </c>
      <c r="I323" s="335" t="n">
        <v>16419</v>
      </c>
    </row>
    <row r="324">
      <c r="A324" s="332" t="n">
        <v>46243</v>
      </c>
      <c r="B324" s="332" t="n">
        <v>46247</v>
      </c>
      <c r="C324" s="333" t="inlineStr">
        <is>
          <t>Remington Villa</t>
        </is>
      </c>
      <c r="D324" s="334" t="inlineStr">
        <is>
          <t>Lewis Palmer</t>
        </is>
      </c>
      <c r="E324" s="334" t="n">
        <v>5</v>
      </c>
      <c r="F324" s="334" t="n">
        <v>2</v>
      </c>
      <c r="G324" s="334" t="inlineStr">
        <is>
          <t>B&amp;B</t>
        </is>
      </c>
      <c r="H324" s="334" t="inlineStr">
        <is>
          <t>Booking.com</t>
        </is>
      </c>
      <c r="I324" s="335" t="n">
        <v>14107</v>
      </c>
    </row>
    <row r="325">
      <c r="A325" s="332" t="n">
        <v>46250</v>
      </c>
      <c r="B325" s="332" t="n">
        <v>46253</v>
      </c>
      <c r="C325" s="333" t="inlineStr">
        <is>
          <t>Remington Villa</t>
        </is>
      </c>
      <c r="D325" s="334" t="inlineStr">
        <is>
          <t>Alexandria Moore</t>
        </is>
      </c>
      <c r="E325" s="334" t="n">
        <v>4</v>
      </c>
      <c r="F325" s="334" t="n">
        <v>3</v>
      </c>
      <c r="G325" s="334" t="inlineStr">
        <is>
          <t>B&amp;B</t>
        </is>
      </c>
      <c r="H325" s="334" t="inlineStr">
        <is>
          <t>Booking.com</t>
        </is>
      </c>
      <c r="I325" s="335" t="n">
        <v>14142</v>
      </c>
    </row>
    <row r="326">
      <c r="A326" s="332" t="n">
        <v>46253</v>
      </c>
      <c r="B326" s="332" t="n">
        <v>46254</v>
      </c>
      <c r="C326" s="336" t="inlineStr">
        <is>
          <t>Sky Villa</t>
        </is>
      </c>
      <c r="D326" s="334" t="inlineStr">
        <is>
          <t>Vanessa Sauvage</t>
        </is>
      </c>
      <c r="E326" s="334" t="n">
        <v>2</v>
      </c>
      <c r="F326" s="334" t="n">
        <v>4</v>
      </c>
      <c r="G326" s="334" t="inlineStr">
        <is>
          <t>B&amp;B</t>
        </is>
      </c>
      <c r="H326" s="334" t="inlineStr">
        <is>
          <t>Booking.com</t>
        </is>
      </c>
      <c r="I326" s="335" t="n">
        <v>6712</v>
      </c>
    </row>
    <row r="327">
      <c r="A327" s="332" t="n">
        <v>46256</v>
      </c>
      <c r="B327" s="332" t="n">
        <v>46257</v>
      </c>
      <c r="C327" s="333" t="inlineStr">
        <is>
          <t>Remington Villa</t>
        </is>
      </c>
      <c r="D327" s="334" t="inlineStr">
        <is>
          <t>Tronghien Pham</t>
        </is>
      </c>
      <c r="E327" s="334" t="n">
        <v>2</v>
      </c>
      <c r="F327" s="334" t="n">
        <v>3</v>
      </c>
      <c r="G327" s="334" t="inlineStr">
        <is>
          <t>B&amp;B</t>
        </is>
      </c>
      <c r="H327" s="334" t="inlineStr">
        <is>
          <t>Booking.com</t>
        </is>
      </c>
      <c r="I327" s="335" t="n">
        <v>5696</v>
      </c>
    </row>
    <row r="328">
      <c r="A328" s="332" t="n">
        <v>46256</v>
      </c>
      <c r="B328" s="332" t="n">
        <v>46258</v>
      </c>
      <c r="C328" s="336" t="inlineStr">
        <is>
          <t>Sky Villa</t>
        </is>
      </c>
      <c r="D328" s="334" t="inlineStr">
        <is>
          <t>Stefanie Luise Achtziger-V</t>
        </is>
      </c>
      <c r="E328" s="334" t="n">
        <v>3</v>
      </c>
      <c r="F328" s="334" t="n">
        <v>4</v>
      </c>
      <c r="G328" s="334" t="inlineStr">
        <is>
          <t>Dinner B&amp;B</t>
        </is>
      </c>
      <c r="H328" s="334" t="inlineStr">
        <is>
          <t>Booking.com</t>
        </is>
      </c>
      <c r="I328" s="335" t="n">
        <v>15228</v>
      </c>
    </row>
    <row r="329">
      <c r="A329" s="332" t="n">
        <v>46260</v>
      </c>
      <c r="B329" s="332" t="n">
        <v>46260</v>
      </c>
      <c r="C329" s="333" t="inlineStr">
        <is>
          <t>Remington Villa</t>
        </is>
      </c>
      <c r="D329" s="334" t="inlineStr">
        <is>
          <t>Steffen Seide</t>
        </is>
      </c>
      <c r="E329" s="334" t="n">
        <v>1</v>
      </c>
      <c r="F329" s="334" t="n">
        <v>2</v>
      </c>
      <c r="G329" s="334" t="inlineStr">
        <is>
          <t>Dinner B&amp;B</t>
        </is>
      </c>
      <c r="H329" s="334" t="inlineStr">
        <is>
          <t>Booking.com</t>
        </is>
      </c>
      <c r="I329" s="335" t="n">
        <v>3887</v>
      </c>
    </row>
    <row r="330">
      <c r="A330" s="332" t="n">
        <v>46261</v>
      </c>
      <c r="B330" s="332" t="n">
        <v>46263</v>
      </c>
      <c r="C330" s="333" t="inlineStr">
        <is>
          <t>Remington Villa</t>
        </is>
      </c>
      <c r="D330" s="334" t="inlineStr">
        <is>
          <t>Elke Huber</t>
        </is>
      </c>
      <c r="E330" s="334" t="n">
        <v>3</v>
      </c>
      <c r="F330" s="334" t="n">
        <v>3</v>
      </c>
      <c r="G330" s="334" t="inlineStr">
        <is>
          <t>B&amp;B</t>
        </is>
      </c>
      <c r="H330" s="334" t="inlineStr">
        <is>
          <t>Booking.com</t>
        </is>
      </c>
      <c r="I330" s="335" t="n">
        <v>9085</v>
      </c>
    </row>
    <row r="331">
      <c r="A331" s="332" t="n">
        <v>46263</v>
      </c>
      <c r="B331" s="332" t="n">
        <v>46264</v>
      </c>
      <c r="C331" s="336" t="inlineStr">
        <is>
          <t>Sky Villa</t>
        </is>
      </c>
      <c r="D331" s="334" t="inlineStr">
        <is>
          <t>Christian Hartmann</t>
        </is>
      </c>
      <c r="E331" s="334" t="n">
        <v>2</v>
      </c>
      <c r="F331" s="334" t="n">
        <v>4</v>
      </c>
      <c r="G331" s="334" t="inlineStr">
        <is>
          <t>B&amp;B</t>
        </is>
      </c>
      <c r="H331" s="334" t="inlineStr">
        <is>
          <t>Booking.com</t>
        </is>
      </c>
      <c r="I331" s="335" t="n">
        <v>6712</v>
      </c>
    </row>
    <row r="332">
      <c r="A332" s="332" t="n">
        <v>46265</v>
      </c>
      <c r="B332" s="332" t="n">
        <v>46276</v>
      </c>
      <c r="C332" s="333" t="inlineStr">
        <is>
          <t>Remington Villa</t>
        </is>
      </c>
      <c r="D332" s="334" t="inlineStr">
        <is>
          <t>Lisa Buttigieg</t>
        </is>
      </c>
      <c r="E332" s="334" t="n">
        <v>12</v>
      </c>
      <c r="F332" s="334" t="n">
        <v>3</v>
      </c>
      <c r="G332" s="334" t="inlineStr">
        <is>
          <t>Dinner B&amp;B</t>
        </is>
      </c>
      <c r="H332" s="334" t="inlineStr">
        <is>
          <t>Booking.com</t>
        </is>
      </c>
      <c r="I332" s="335" t="n">
        <v>55931</v>
      </c>
    </row>
    <row r="333">
      <c r="A333" s="332" t="n">
        <v>46267</v>
      </c>
      <c r="B333" s="332" t="n">
        <v>46269</v>
      </c>
      <c r="C333" s="336" t="inlineStr">
        <is>
          <t>Sky Villa</t>
        </is>
      </c>
      <c r="D333" s="334" t="inlineStr">
        <is>
          <t>Wiest Christian</t>
        </is>
      </c>
      <c r="E333" s="334" t="n">
        <v>3</v>
      </c>
      <c r="F333" s="334" t="n">
        <v>4</v>
      </c>
      <c r="G333" s="334" t="inlineStr">
        <is>
          <t>B&amp;B</t>
        </is>
      </c>
      <c r="H333" s="334" t="inlineStr">
        <is>
          <t>Booking.com</t>
        </is>
      </c>
      <c r="I333" s="335" t="n">
        <v>13680</v>
      </c>
    </row>
    <row r="334">
      <c r="A334" s="332" t="n">
        <v>46271</v>
      </c>
      <c r="B334" s="332" t="n">
        <v>46272</v>
      </c>
      <c r="C334" s="336" t="inlineStr">
        <is>
          <t>Sky Villa</t>
        </is>
      </c>
      <c r="D334" s="334" t="inlineStr">
        <is>
          <t>Michel DARTHUY</t>
        </is>
      </c>
      <c r="E334" s="334" t="n">
        <v>2</v>
      </c>
      <c r="F334" s="334" t="n">
        <v>3</v>
      </c>
      <c r="G334" s="334" t="inlineStr">
        <is>
          <t>Dinner B&amp;B</t>
        </is>
      </c>
      <c r="H334" s="334" t="inlineStr">
        <is>
          <t>Booking.com</t>
        </is>
      </c>
      <c r="I334" s="335" t="n">
        <v>9840</v>
      </c>
    </row>
    <row r="335">
      <c r="A335" s="332" t="n">
        <v>46273</v>
      </c>
      <c r="B335" s="332" t="n">
        <v>46275</v>
      </c>
      <c r="C335" s="336" t="inlineStr">
        <is>
          <t>Sky Villa</t>
        </is>
      </c>
      <c r="D335" s="334" t="inlineStr">
        <is>
          <t>Lutz Weber</t>
        </is>
      </c>
      <c r="E335" s="334" t="n">
        <v>3</v>
      </c>
      <c r="F335" s="334" t="n">
        <v>2</v>
      </c>
      <c r="G335" s="334" t="inlineStr">
        <is>
          <t>B&amp;B</t>
        </is>
      </c>
      <c r="H335" s="334" t="inlineStr">
        <is>
          <t>Booking.com</t>
        </is>
      </c>
      <c r="I335" s="335" t="n">
        <v>7473</v>
      </c>
    </row>
    <row r="336">
      <c r="A336" s="332" t="n">
        <v>46280</v>
      </c>
      <c r="B336" s="332" t="n">
        <v>46283</v>
      </c>
      <c r="C336" s="336" t="inlineStr">
        <is>
          <t>Sky Villa</t>
        </is>
      </c>
      <c r="D336" s="334" t="inlineStr">
        <is>
          <t>Ralf Imhof</t>
        </is>
      </c>
      <c r="E336" s="334" t="n">
        <v>4</v>
      </c>
      <c r="F336" s="334" t="n">
        <v>4</v>
      </c>
      <c r="G336" s="334" t="inlineStr">
        <is>
          <t>B&amp;B</t>
        </is>
      </c>
      <c r="H336" s="334" t="inlineStr">
        <is>
          <t>Booking.com</t>
        </is>
      </c>
      <c r="I336" s="335" t="n">
        <v>13423</v>
      </c>
    </row>
    <row r="337">
      <c r="A337" s="332" t="n">
        <v>46280</v>
      </c>
      <c r="B337" s="332" t="n">
        <v>46283</v>
      </c>
      <c r="C337" s="333" t="inlineStr">
        <is>
          <t>Remington Villa</t>
        </is>
      </c>
      <c r="D337" s="334" t="inlineStr">
        <is>
          <t>Alexander Kleusberg</t>
        </is>
      </c>
      <c r="E337" s="334" t="n">
        <v>4</v>
      </c>
      <c r="F337" s="334" t="n">
        <v>3</v>
      </c>
      <c r="G337" s="334" t="inlineStr">
        <is>
          <t>B&amp;B</t>
        </is>
      </c>
      <c r="H337" s="334" t="inlineStr">
        <is>
          <t>Booking.com</t>
        </is>
      </c>
      <c r="I337" s="335" t="n">
        <v>13310</v>
      </c>
    </row>
    <row r="338">
      <c r="A338" s="332" t="n">
        <v>46287</v>
      </c>
      <c r="B338" s="332" t="n">
        <v>46289</v>
      </c>
      <c r="C338" s="336" t="inlineStr">
        <is>
          <t>Sky Villa</t>
        </is>
      </c>
      <c r="D338" s="334" t="inlineStr">
        <is>
          <t>Birgit Hotowy</t>
        </is>
      </c>
      <c r="E338" s="334" t="n">
        <v>3</v>
      </c>
      <c r="F338" s="334" t="n">
        <v>3</v>
      </c>
      <c r="G338" s="334" t="inlineStr">
        <is>
          <t>Dinner B&amp;B</t>
        </is>
      </c>
      <c r="H338" s="334" t="inlineStr">
        <is>
          <t>Booking.com</t>
        </is>
      </c>
      <c r="I338" s="335" t="n">
        <v>13284</v>
      </c>
    </row>
    <row r="339">
      <c r="A339" s="332" t="n">
        <v>46290</v>
      </c>
      <c r="B339" s="332" t="n">
        <v>46291</v>
      </c>
      <c r="C339" s="333" t="inlineStr">
        <is>
          <t>Remington Villa</t>
        </is>
      </c>
      <c r="D339" s="334" t="inlineStr">
        <is>
          <t>Laurane Balanganani</t>
        </is>
      </c>
      <c r="E339" s="334" t="n">
        <v>2</v>
      </c>
      <c r="F339" s="334" t="n">
        <v>2</v>
      </c>
      <c r="G339" s="334" t="inlineStr">
        <is>
          <t>B&amp;B</t>
        </is>
      </c>
      <c r="H339" s="334" t="inlineStr">
        <is>
          <t>Booking.com</t>
        </is>
      </c>
      <c r="I339" s="335" t="n">
        <v>5156</v>
      </c>
    </row>
    <row r="340">
      <c r="A340" s="332" t="n">
        <v>46290</v>
      </c>
      <c r="B340" s="332" t="n">
        <v>46292</v>
      </c>
      <c r="C340" s="336" t="inlineStr">
        <is>
          <t>Sky Villa</t>
        </is>
      </c>
      <c r="D340" s="334" t="inlineStr">
        <is>
          <t>cecile Bertomeu</t>
        </is>
      </c>
      <c r="E340" s="334" t="n">
        <v>3</v>
      </c>
      <c r="F340" s="334" t="n">
        <v>2</v>
      </c>
      <c r="G340" s="334" t="inlineStr">
        <is>
          <t>B&amp;B</t>
        </is>
      </c>
      <c r="H340" s="334" t="inlineStr">
        <is>
          <t>Booking.com</t>
        </is>
      </c>
      <c r="I340" s="335" t="n">
        <v>7473</v>
      </c>
    </row>
    <row r="341">
      <c r="A341" s="332" t="n">
        <v>46292</v>
      </c>
      <c r="B341" s="332" t="n">
        <v>46293</v>
      </c>
      <c r="C341" s="333" t="inlineStr">
        <is>
          <t>Remington Villa</t>
        </is>
      </c>
      <c r="D341" s="334" t="inlineStr">
        <is>
          <t>Sandra Porz</t>
        </is>
      </c>
      <c r="E341" s="334" t="n">
        <v>2</v>
      </c>
      <c r="F341" s="334" t="n">
        <v>4</v>
      </c>
      <c r="G341" s="334" t="inlineStr">
        <is>
          <t>B&amp;B</t>
        </is>
      </c>
      <c r="H341" s="334" t="inlineStr">
        <is>
          <t>Booking.com</t>
        </is>
      </c>
      <c r="I341" s="335" t="n">
        <v>6712</v>
      </c>
    </row>
    <row r="342">
      <c r="A342" s="332" t="n">
        <v>46295</v>
      </c>
      <c r="B342" s="332" t="n">
        <v>46297</v>
      </c>
      <c r="C342" s="336" t="inlineStr">
        <is>
          <t>Sky Villa</t>
        </is>
      </c>
      <c r="D342" s="334" t="inlineStr">
        <is>
          <t>Joanne Unsworth</t>
        </is>
      </c>
      <c r="E342" s="334" t="n">
        <v>3</v>
      </c>
      <c r="F342" s="334" t="n">
        <v>2</v>
      </c>
      <c r="G342" s="334" t="inlineStr">
        <is>
          <t>B&amp;B</t>
        </is>
      </c>
      <c r="H342" s="334" t="inlineStr">
        <is>
          <t>Booking.com</t>
        </is>
      </c>
      <c r="I342" s="335" t="n">
        <v>7473</v>
      </c>
    </row>
    <row r="343">
      <c r="A343" s="332" t="n">
        <v>46305</v>
      </c>
      <c r="B343" s="332" t="n">
        <v>46306</v>
      </c>
      <c r="C343" s="333" t="inlineStr">
        <is>
          <t>Remington Villa</t>
        </is>
      </c>
      <c r="D343" s="334" t="inlineStr">
        <is>
          <t>Sharon Greenwood</t>
        </is>
      </c>
      <c r="E343" s="334" t="n">
        <v>2</v>
      </c>
      <c r="F343" s="334" t="n">
        <v>4</v>
      </c>
      <c r="G343" s="334" t="inlineStr">
        <is>
          <t>B&amp;B</t>
        </is>
      </c>
      <c r="H343" s="334" t="inlineStr">
        <is>
          <t>Booking.com</t>
        </is>
      </c>
      <c r="I343" s="335" t="n">
        <v>7195</v>
      </c>
    </row>
    <row r="344">
      <c r="A344" s="332" t="n">
        <v>46307</v>
      </c>
      <c r="B344" s="332" t="n">
        <v>46309</v>
      </c>
      <c r="C344" s="336" t="inlineStr">
        <is>
          <t>Sky Villa</t>
        </is>
      </c>
      <c r="D344" s="334" t="inlineStr">
        <is>
          <t>Vilma Pereira Rodrigues</t>
        </is>
      </c>
      <c r="E344" s="334" t="n">
        <v>3</v>
      </c>
      <c r="F344" s="334" t="n">
        <v>3</v>
      </c>
      <c r="G344" s="334" t="inlineStr">
        <is>
          <t>B&amp;B</t>
        </is>
      </c>
      <c r="H344" s="334" t="inlineStr">
        <is>
          <t>Booking.com</t>
        </is>
      </c>
      <c r="I344" s="335" t="n">
        <v>8735</v>
      </c>
    </row>
    <row r="345">
      <c r="A345" s="332" t="n">
        <v>46312</v>
      </c>
      <c r="B345" s="332" t="n">
        <v>46315</v>
      </c>
      <c r="C345" s="333" t="inlineStr">
        <is>
          <t>Remington Villa</t>
        </is>
      </c>
      <c r="D345" s="334" t="inlineStr">
        <is>
          <t>Mabeline Yeo</t>
        </is>
      </c>
      <c r="E345" s="334" t="n">
        <v>4</v>
      </c>
      <c r="F345" s="334" t="n">
        <v>4</v>
      </c>
      <c r="G345" s="334" t="inlineStr">
        <is>
          <t>Dinner B&amp;B</t>
        </is>
      </c>
      <c r="H345" s="334" t="inlineStr">
        <is>
          <t>Booking.com</t>
        </is>
      </c>
      <c r="I345" s="335" t="n">
        <v>24392</v>
      </c>
    </row>
    <row r="346">
      <c r="A346" s="332" t="n">
        <v>46314</v>
      </c>
      <c r="B346" s="332" t="n">
        <v>46315</v>
      </c>
      <c r="C346" s="336" t="inlineStr">
        <is>
          <t>Sky Villa</t>
        </is>
      </c>
      <c r="D346" s="334" t="inlineStr">
        <is>
          <t>Joanna Bellinghausen</t>
        </is>
      </c>
      <c r="E346" s="334" t="n">
        <v>2</v>
      </c>
      <c r="F346" s="334" t="n">
        <v>2</v>
      </c>
      <c r="G346" s="334" t="inlineStr">
        <is>
          <t>Dinner B&amp;B</t>
        </is>
      </c>
      <c r="H346" s="334" t="inlineStr">
        <is>
          <t>Booking.com</t>
        </is>
      </c>
      <c r="I346" s="335" t="n">
        <v>6996</v>
      </c>
    </row>
    <row r="347">
      <c r="A347" s="332" t="n">
        <v>46316</v>
      </c>
      <c r="B347" s="332" t="n">
        <v>46317</v>
      </c>
      <c r="C347" s="333" t="inlineStr">
        <is>
          <t>Remington Villa</t>
        </is>
      </c>
      <c r="D347" s="334" t="inlineStr">
        <is>
          <t>AISA ZOLVANOVA</t>
        </is>
      </c>
      <c r="E347" s="334" t="n">
        <v>2</v>
      </c>
      <c r="F347" s="334" t="n">
        <v>2</v>
      </c>
      <c r="G347" s="334" t="inlineStr">
        <is>
          <t>B&amp;B</t>
        </is>
      </c>
      <c r="H347" s="334" t="inlineStr">
        <is>
          <t>Booking.com</t>
        </is>
      </c>
      <c r="I347" s="335" t="n">
        <v>5092</v>
      </c>
    </row>
    <row r="348">
      <c r="A348" s="332" t="n">
        <v>46317</v>
      </c>
      <c r="B348" s="332" t="n">
        <v>46320</v>
      </c>
      <c r="C348" s="336" t="inlineStr">
        <is>
          <t>Sky Villa</t>
        </is>
      </c>
      <c r="D348" s="334" t="inlineStr">
        <is>
          <t>Konrad Braun</t>
        </is>
      </c>
      <c r="E348" s="334" t="n">
        <v>4</v>
      </c>
      <c r="F348" s="334" t="n">
        <v>4</v>
      </c>
      <c r="G348" s="334" t="inlineStr">
        <is>
          <t>Dinner B&amp;B</t>
        </is>
      </c>
      <c r="H348" s="334" t="inlineStr">
        <is>
          <t>Booking.com</t>
        </is>
      </c>
      <c r="I348" s="335" t="n">
        <v>26478</v>
      </c>
    </row>
    <row r="349">
      <c r="A349" s="332" t="n">
        <v>46325</v>
      </c>
      <c r="B349" s="332" t="n">
        <v>46326</v>
      </c>
      <c r="C349" s="336" t="inlineStr">
        <is>
          <t>Sky Villa</t>
        </is>
      </c>
      <c r="D349" s="334" t="inlineStr">
        <is>
          <t>Charlotte Human</t>
        </is>
      </c>
      <c r="E349" s="334" t="n">
        <v>2</v>
      </c>
      <c r="F349" s="334" t="n">
        <v>2</v>
      </c>
      <c r="G349" s="334" t="inlineStr">
        <is>
          <t>Self-catering</t>
        </is>
      </c>
      <c r="H349" s="334" t="inlineStr">
        <is>
          <t>Other</t>
        </is>
      </c>
      <c r="I349" s="335" t="n">
        <v>8800</v>
      </c>
    </row>
    <row r="350">
      <c r="A350" s="332" t="n">
        <v>46327</v>
      </c>
      <c r="B350" s="332" t="n">
        <v>46332</v>
      </c>
      <c r="C350" s="333" t="inlineStr">
        <is>
          <t>Remington Villa</t>
        </is>
      </c>
      <c r="D350" s="334" t="inlineStr">
        <is>
          <t>Stefanie Hahn</t>
        </is>
      </c>
      <c r="E350" s="334" t="n">
        <v>6</v>
      </c>
      <c r="F350" s="334" t="n">
        <v>2</v>
      </c>
      <c r="G350" s="334" t="inlineStr">
        <is>
          <t>B&amp;B</t>
        </is>
      </c>
      <c r="H350" s="334" t="inlineStr">
        <is>
          <t>Booking.com</t>
        </is>
      </c>
      <c r="I350" s="335" t="n">
        <v>14945</v>
      </c>
    </row>
    <row r="351">
      <c r="A351" s="332" t="n">
        <v>46332</v>
      </c>
      <c r="B351" s="332" t="n">
        <v>46335</v>
      </c>
      <c r="C351" s="336" t="inlineStr">
        <is>
          <t>Sky Villa</t>
        </is>
      </c>
      <c r="D351" s="334" t="inlineStr">
        <is>
          <t>Thomas Golla</t>
        </is>
      </c>
      <c r="E351" s="334" t="n">
        <v>4</v>
      </c>
      <c r="F351" s="334" t="n">
        <v>2</v>
      </c>
      <c r="G351" s="334" t="inlineStr">
        <is>
          <t>B&amp;B</t>
        </is>
      </c>
      <c r="H351" s="334" t="inlineStr">
        <is>
          <t>Booking.com</t>
        </is>
      </c>
      <c r="I351" s="335" t="n">
        <v>10661</v>
      </c>
    </row>
    <row r="352">
      <c r="A352" s="332" t="n">
        <v>46337</v>
      </c>
      <c r="B352" s="332" t="n">
        <v>46338</v>
      </c>
      <c r="C352" s="336" t="inlineStr">
        <is>
          <t>Sky Villa</t>
        </is>
      </c>
      <c r="D352" s="334" t="inlineStr">
        <is>
          <t>Andreas Wenner</t>
        </is>
      </c>
      <c r="E352" s="334" t="n">
        <v>2</v>
      </c>
      <c r="F352" s="334" t="n">
        <v>4</v>
      </c>
      <c r="G352" s="334" t="inlineStr">
        <is>
          <t>Dinner B&amp;B</t>
        </is>
      </c>
      <c r="H352" s="334" t="inlineStr">
        <is>
          <t>Booking.com</t>
        </is>
      </c>
      <c r="I352" s="335" t="n">
        <v>11291</v>
      </c>
    </row>
    <row r="353">
      <c r="A353" s="332" t="n">
        <v>46338</v>
      </c>
      <c r="B353" s="332" t="n">
        <v>46342</v>
      </c>
      <c r="C353" s="333" t="inlineStr">
        <is>
          <t>Remington Villa</t>
        </is>
      </c>
      <c r="D353" s="334" t="inlineStr">
        <is>
          <t>Ruud Wiersma</t>
        </is>
      </c>
      <c r="E353" s="334" t="n">
        <v>5</v>
      </c>
      <c r="F353" s="334" t="n">
        <v>4</v>
      </c>
      <c r="G353" s="334" t="inlineStr">
        <is>
          <t>B&amp;B</t>
        </is>
      </c>
      <c r="H353" s="334" t="inlineStr">
        <is>
          <t>Booking.com</t>
        </is>
      </c>
      <c r="I353" s="335" t="n">
        <v>17987</v>
      </c>
    </row>
    <row r="354">
      <c r="A354" s="332" t="n">
        <v>46342</v>
      </c>
      <c r="B354" s="332" t="n">
        <v>46351</v>
      </c>
      <c r="C354" s="336" t="inlineStr">
        <is>
          <t>Sky Villa</t>
        </is>
      </c>
      <c r="D354" s="334" t="inlineStr">
        <is>
          <t>Patricia Kirkpatrick</t>
        </is>
      </c>
      <c r="E354" s="334" t="n">
        <v>10</v>
      </c>
      <c r="F354" s="334" t="n">
        <v>2</v>
      </c>
      <c r="G354" s="334" t="inlineStr">
        <is>
          <t>B&amp;B</t>
        </is>
      </c>
      <c r="H354" s="334" t="inlineStr">
        <is>
          <t>Booking.com</t>
        </is>
      </c>
      <c r="I354" s="335" t="n">
        <v>27148</v>
      </c>
    </row>
    <row r="355">
      <c r="A355" s="332" t="n">
        <v>46343</v>
      </c>
      <c r="B355" s="332" t="n">
        <v>46344</v>
      </c>
      <c r="C355" s="333" t="inlineStr">
        <is>
          <t>Remington Villa</t>
        </is>
      </c>
      <c r="D355" s="334" t="inlineStr">
        <is>
          <t>Diana Kontermann</t>
        </is>
      </c>
      <c r="E355" s="334" t="n">
        <v>2</v>
      </c>
      <c r="F355" s="334" t="n">
        <v>2</v>
      </c>
      <c r="G355" s="334" t="inlineStr">
        <is>
          <t>B&amp;B</t>
        </is>
      </c>
      <c r="H355" s="334" t="inlineStr">
        <is>
          <t>Booking.com</t>
        </is>
      </c>
      <c r="I355" s="335" t="n">
        <v>5191</v>
      </c>
    </row>
    <row r="356">
      <c r="A356" s="332" t="n">
        <v>46348</v>
      </c>
      <c r="B356" s="332" t="n">
        <v>46350</v>
      </c>
      <c r="C356" s="333" t="inlineStr">
        <is>
          <t>Remington Villa</t>
        </is>
      </c>
      <c r="D356" s="334" t="inlineStr">
        <is>
          <t>Melina Scherzinger</t>
        </is>
      </c>
      <c r="E356" s="334" t="n">
        <v>3</v>
      </c>
      <c r="F356" s="334" t="n">
        <v>2</v>
      </c>
      <c r="G356" s="334" t="inlineStr">
        <is>
          <t>B&amp;B</t>
        </is>
      </c>
      <c r="H356" s="334" t="inlineStr">
        <is>
          <t>Booking.com</t>
        </is>
      </c>
      <c r="I356" s="335" t="n">
        <v>8114</v>
      </c>
    </row>
    <row r="357">
      <c r="A357" s="332" t="n">
        <v>46354</v>
      </c>
      <c r="B357" s="332" t="n">
        <v>46356</v>
      </c>
      <c r="C357" s="336" t="inlineStr">
        <is>
          <t>Sky Villa</t>
        </is>
      </c>
      <c r="D357" s="334" t="inlineStr">
        <is>
          <t>Eduard Calsbeek</t>
        </is>
      </c>
      <c r="E357" s="334" t="n">
        <v>3</v>
      </c>
      <c r="F357" s="334" t="n">
        <v>2</v>
      </c>
      <c r="G357" s="334" t="inlineStr">
        <is>
          <t>B&amp;B</t>
        </is>
      </c>
      <c r="H357" s="334" t="inlineStr">
        <is>
          <t>Booking.com</t>
        </is>
      </c>
      <c r="I357" s="335" t="n">
        <v>7473</v>
      </c>
    </row>
    <row r="358">
      <c r="A358" s="332" t="n">
        <v>46360</v>
      </c>
      <c r="B358" s="332" t="n">
        <v>46360</v>
      </c>
      <c r="C358" s="336" t="inlineStr">
        <is>
          <t>Sky Villa</t>
        </is>
      </c>
      <c r="D358" s="334" t="inlineStr">
        <is>
          <t>Roberto Santos Barros Juni</t>
        </is>
      </c>
      <c r="E358" s="334" t="n">
        <v>1</v>
      </c>
      <c r="F358" s="334" t="n">
        <v>2</v>
      </c>
      <c r="G358" s="334" t="inlineStr">
        <is>
          <t>B&amp;B</t>
        </is>
      </c>
      <c r="H358" s="334" t="inlineStr">
        <is>
          <t>Booking.com</t>
        </is>
      </c>
      <c r="I358" s="335" t="n">
        <v>2868</v>
      </c>
    </row>
    <row r="359">
      <c r="A359" s="332" t="n">
        <v>46362</v>
      </c>
      <c r="B359" s="332" t="n">
        <v>46367</v>
      </c>
      <c r="C359" s="333" t="inlineStr">
        <is>
          <t>Remington Villa</t>
        </is>
      </c>
      <c r="D359" s="334" t="inlineStr">
        <is>
          <t>veronique De Ravel Fontain</t>
        </is>
      </c>
      <c r="E359" s="334" t="n">
        <v>6</v>
      </c>
      <c r="F359" s="334" t="n">
        <v>2</v>
      </c>
      <c r="G359" s="334" t="inlineStr">
        <is>
          <t>B&amp;B</t>
        </is>
      </c>
      <c r="H359" s="334" t="inlineStr">
        <is>
          <t>Booking.com</t>
        </is>
      </c>
      <c r="I359" s="335" t="n">
        <v>16051</v>
      </c>
    </row>
    <row r="360">
      <c r="A360" s="332" t="n">
        <v>46367</v>
      </c>
      <c r="B360" s="332" t="n">
        <v>46368</v>
      </c>
      <c r="C360" s="336" t="inlineStr">
        <is>
          <t>Sky Villa</t>
        </is>
      </c>
      <c r="D360" s="334" t="inlineStr">
        <is>
          <t>Johanna Karkosch</t>
        </is>
      </c>
      <c r="E360" s="334" t="n">
        <v>2</v>
      </c>
      <c r="F360" s="334" t="n">
        <v>4</v>
      </c>
      <c r="G360" s="334" t="inlineStr">
        <is>
          <t>B&amp;B</t>
        </is>
      </c>
      <c r="H360" s="334" t="inlineStr">
        <is>
          <t>Booking.com</t>
        </is>
      </c>
      <c r="I360" s="335" t="n">
        <v>6653</v>
      </c>
    </row>
    <row r="361">
      <c r="A361" s="332" t="n">
        <v>46376</v>
      </c>
      <c r="B361" s="332" t="n">
        <v>46380</v>
      </c>
      <c r="C361" s="336" t="inlineStr">
        <is>
          <t>Sky Villa</t>
        </is>
      </c>
      <c r="D361" s="334" t="inlineStr">
        <is>
          <t>Sumaya sheriff</t>
        </is>
      </c>
      <c r="E361" s="334" t="n">
        <v>5</v>
      </c>
      <c r="F361" s="334" t="n">
        <v>4</v>
      </c>
      <c r="G361" s="334" t="inlineStr">
        <is>
          <t>B&amp;B</t>
        </is>
      </c>
      <c r="H361" s="334" t="inlineStr">
        <is>
          <t>Booking.com</t>
        </is>
      </c>
      <c r="I361" s="335" t="n">
        <v>17952</v>
      </c>
    </row>
    <row r="362">
      <c r="A362" s="332" t="n">
        <v>46377</v>
      </c>
      <c r="B362" s="332" t="n">
        <v>46378</v>
      </c>
      <c r="C362" s="333" t="inlineStr">
        <is>
          <t>Remington Villa</t>
        </is>
      </c>
      <c r="D362" s="334" t="inlineStr">
        <is>
          <t>Thubelihle Dlamini</t>
        </is>
      </c>
      <c r="E362" s="334" t="n">
        <v>2</v>
      </c>
      <c r="F362" s="334" t="n">
        <v>3</v>
      </c>
      <c r="G362" s="334" t="inlineStr">
        <is>
          <t>B&amp;B</t>
        </is>
      </c>
      <c r="H362" s="334" t="inlineStr">
        <is>
          <t>Booking.com</t>
        </is>
      </c>
      <c r="I362" s="335" t="n">
        <v>7302</v>
      </c>
    </row>
    <row r="363">
      <c r="A363" s="332" t="n">
        <v>46379</v>
      </c>
      <c r="B363" s="332" t="n">
        <v>46381</v>
      </c>
      <c r="C363" s="333" t="inlineStr">
        <is>
          <t>Remington Villa</t>
        </is>
      </c>
      <c r="D363" s="334" t="inlineStr">
        <is>
          <t>Jeremy Lee</t>
        </is>
      </c>
      <c r="E363" s="334" t="n">
        <v>3</v>
      </c>
      <c r="F363" s="334" t="n">
        <v>2</v>
      </c>
      <c r="G363" s="334" t="inlineStr">
        <is>
          <t>B&amp;B</t>
        </is>
      </c>
      <c r="H363" s="334" t="inlineStr">
        <is>
          <t>Booking.com</t>
        </is>
      </c>
      <c r="I363" s="335" t="n">
        <v>6703</v>
      </c>
    </row>
    <row r="364">
      <c r="A364" s="332" t="n">
        <v>46381</v>
      </c>
      <c r="B364" s="332" t="n">
        <v>46384</v>
      </c>
      <c r="C364" s="336" t="inlineStr">
        <is>
          <t>Sky Villa</t>
        </is>
      </c>
      <c r="D364" s="334" t="inlineStr">
        <is>
          <t>Jens Kampfer</t>
        </is>
      </c>
      <c r="E364" s="334" t="n">
        <v>4</v>
      </c>
      <c r="F364" s="334" t="n">
        <v>2</v>
      </c>
      <c r="G364" s="334" t="inlineStr">
        <is>
          <t>B&amp;B</t>
        </is>
      </c>
      <c r="H364" s="334" t="inlineStr">
        <is>
          <t>Booking.com</t>
        </is>
      </c>
      <c r="I364" s="335" t="n">
        <v>9501</v>
      </c>
    </row>
    <row r="365">
      <c r="A365" s="332" t="n">
        <v>46386</v>
      </c>
      <c r="B365" s="332" t="n">
        <v>46388</v>
      </c>
      <c r="C365" s="336" t="inlineStr">
        <is>
          <t>Sky Villa</t>
        </is>
      </c>
      <c r="D365" s="334" t="inlineStr">
        <is>
          <t>Mafafo Bonolo</t>
        </is>
      </c>
      <c r="E365" s="334" t="n">
        <v>3</v>
      </c>
      <c r="F365" s="334" t="n">
        <v>2</v>
      </c>
      <c r="G365" s="334" t="inlineStr">
        <is>
          <t>B&amp;B</t>
        </is>
      </c>
      <c r="H365" s="334" t="inlineStr">
        <is>
          <t>Booking.com</t>
        </is>
      </c>
      <c r="I365" s="335" t="n">
        <v>7627</v>
      </c>
    </row>
    <row r="366">
      <c r="A366" s="332" t="n">
        <v>46386</v>
      </c>
      <c r="B366" s="332" t="n">
        <v>46389</v>
      </c>
      <c r="C366" s="333" t="inlineStr">
        <is>
          <t>Remington Villa</t>
        </is>
      </c>
      <c r="D366" s="334" t="inlineStr">
        <is>
          <t>Bernd Klein</t>
        </is>
      </c>
      <c r="E366" s="334" t="n">
        <v>3</v>
      </c>
      <c r="F366" s="334" t="n">
        <v>2</v>
      </c>
      <c r="G366" s="334" t="inlineStr">
        <is>
          <t>Dinner B&amp;B</t>
        </is>
      </c>
      <c r="H366" s="334" t="inlineStr">
        <is>
          <t>Booking.com</t>
        </is>
      </c>
      <c r="I366" s="335" t="n">
        <v>11507</v>
      </c>
    </row>
    <row r="367"/>
    <row r="368">
      <c r="A368" s="344" t="inlineStr">
        <is>
          <t>COLUMN TOTALS</t>
        </is>
      </c>
      <c r="B368" s="344" t="n"/>
      <c r="C368" s="344" t="n"/>
      <c r="D368" s="344" t="n"/>
      <c r="E368" s="344" t="n"/>
      <c r="F368" s="344" t="n"/>
      <c r="G368" s="344" t="n"/>
      <c r="H368" s="344" t="n"/>
      <c r="I368" s="344" t="n"/>
    </row>
    <row r="369">
      <c r="A369" t="inlineStr">
        <is>
          <t>All Bookings</t>
        </is>
      </c>
      <c r="B369">
        <f>COUNTA(A3:A366)</f>
        <v/>
      </c>
      <c r="C369" t="inlineStr">
        <is>
          <t>—</t>
        </is>
      </c>
      <c r="D369" s="334" t="inlineStr">
        <is>
          <t>—</t>
        </is>
      </c>
      <c r="E369" s="334">
        <f>SUM(E3:E366)</f>
        <v/>
      </c>
      <c r="F369">
        <f>SUM(F3:F366)</f>
        <v/>
      </c>
      <c r="G369" s="334" t="inlineStr">
        <is>
          <t>—</t>
        </is>
      </c>
      <c r="H369" s="334" t="inlineStr">
        <is>
          <t>—</t>
        </is>
      </c>
      <c r="I369">
        <f>SUM(I3:I366)</f>
        <v/>
      </c>
    </row>
    <row r="370"/>
    <row r="371"/>
    <row r="372" ht="18" customHeight="1" s="313">
      <c r="A372" s="338" t="inlineStr">
        <is>
          <t>COMPREHENSIVE KPI DASHBOARD — Extracted from Raw Booking Data</t>
        </is>
      </c>
    </row>
    <row r="373">
      <c r="A373" s="339" t="inlineStr">
        <is>
          <t>Use these validated metrics to cross-check or update model assumptions. Timeframe: full dataset (~18 months).</t>
        </is>
      </c>
    </row>
    <row r="374">
      <c r="A374" s="345" t="inlineStr">
        <is>
          <t>Category</t>
        </is>
      </c>
      <c r="B374" s="345" t="inlineStr">
        <is>
          <t>Metric</t>
        </is>
      </c>
      <c r="C374" s="345" t="inlineStr">
        <is>
          <t>Sky Villa</t>
        </is>
      </c>
      <c r="D374" s="345" t="inlineStr">
        <is>
          <t>Remington</t>
        </is>
      </c>
      <c r="E374" s="345" t="inlineStr">
        <is>
          <t>Combined</t>
        </is>
      </c>
      <c r="F374" s="345" t="inlineStr">
        <is>
          <t>Notes / Model Use</t>
        </is>
      </c>
    </row>
    <row r="375">
      <c r="A375" s="345" t="inlineStr">
        <is>
          <t>Category</t>
        </is>
      </c>
      <c r="B375" s="345" t="inlineStr">
        <is>
          <t>Metric</t>
        </is>
      </c>
      <c r="C375" s="345">
        <f>TEXT(_xlfn.MINIFS(A3:A366,C3:C366,"*Sky*"),"YYYY-MM-DD")</f>
        <v/>
      </c>
      <c r="D375" s="345">
        <f>TEXT(_xlfn.MINIFS(A3:A366,C3:C366,"*Remington*"),"YYYY-MM-DD")</f>
        <v/>
      </c>
      <c r="E375" s="345">
        <f>TEXT(MIN(A3:A366),"YYYY-MM-DD")</f>
        <v/>
      </c>
      <c r="F375" s="345" t="inlineStr">
        <is>
          <t>Notes / Model Use</t>
        </is>
      </c>
    </row>
    <row r="376">
      <c r="A376" t="inlineStr">
        <is>
          <t>Date Range</t>
        </is>
      </c>
      <c r="B376" t="inlineStr">
        <is>
          <t>Earliest arrival</t>
        </is>
      </c>
      <c r="C376">
        <f>TEXT(_xlfn.MAXIFS(A3:A366,C3:C366,"*Sky*"),"YYYY-MM-DD")</f>
        <v/>
      </c>
      <c r="D376">
        <f>TEXT(_xlfn.MAXIFS(A3:A366,C3:C366,"*Remington*"),"YYYY-MM-DD")</f>
        <v/>
      </c>
      <c r="E376">
        <f>TEXT(MAX(A3:A366),"YYYY-MM-DD")</f>
        <v/>
      </c>
      <c r="F376" t="inlineStr">
        <is>
          <t>Start of dataset</t>
        </is>
      </c>
    </row>
    <row r="377">
      <c r="A377" t="inlineStr">
        <is>
          <t>Date Range</t>
        </is>
      </c>
      <c r="B377" t="inlineStr">
        <is>
          <t>Latest arrival</t>
        </is>
      </c>
      <c r="C377">
        <f>_xlfn.MAXIFS(A3:A366,C3:C366,"*Sky*")-_xlfn.MINIFS(A3:A366,C3:C366,"*Sky*")</f>
        <v/>
      </c>
      <c r="D377">
        <f>_xlfn.MAXIFS(A3:A366,C3:C366,"*Remington*")-_xlfn.MINIFS(A3:A366,C3:C366,"*Remington*")</f>
        <v/>
      </c>
      <c r="E377">
        <f>MAX(A3:A366)-MIN(A3:A366)</f>
        <v/>
      </c>
      <c r="F377" t="inlineStr">
        <is>
          <t>End of dataset</t>
        </is>
      </c>
    </row>
    <row r="378">
      <c r="A378" t="inlineStr">
        <is>
          <t>Date Range</t>
        </is>
      </c>
      <c r="B378" t="inlineStr">
        <is>
          <t>Timeframe (days)</t>
        </is>
      </c>
      <c r="C378" s="346">
        <f>C377/365</f>
        <v/>
      </c>
      <c r="D378" s="346">
        <f>D377/365</f>
        <v/>
      </c>
      <c r="E378" s="346">
        <f>E377/365</f>
        <v/>
      </c>
      <c r="F378" t="inlineStr">
        <is>
          <t>Days spanned</t>
        </is>
      </c>
    </row>
    <row r="379">
      <c r="A379" t="inlineStr">
        <is>
          <t>Date Range</t>
        </is>
      </c>
      <c r="B379" t="inlineStr">
        <is>
          <t>Timeframe (years)</t>
        </is>
      </c>
      <c r="C379" s="346">
        <f>C378/365</f>
        <v/>
      </c>
      <c r="D379" s="346">
        <f>D378/365</f>
        <v/>
      </c>
      <c r="E379" s="346">
        <f>E378/365</f>
        <v/>
      </c>
      <c r="F379" t="inlineStr">
        <is>
          <t>For annualisation</t>
        </is>
      </c>
    </row>
    <row r="380"/>
    <row r="381">
      <c r="A381" s="347" t="inlineStr">
        <is>
          <t>VOLUME METRICS</t>
        </is>
      </c>
      <c r="B381" s="347" t="n"/>
      <c r="C381" s="347">
        <f>COUNTIF(C3:C366,"*Sky*")</f>
        <v/>
      </c>
      <c r="D381" s="347">
        <f>COUNTIF(C3:C366,"*Remington*")</f>
        <v/>
      </c>
      <c r="E381" s="347">
        <f>COUNTA(C3:C366)</f>
        <v/>
      </c>
      <c r="F381" s="347" t="n"/>
    </row>
    <row r="382">
      <c r="A382" t="inlineStr">
        <is>
          <t>Volume</t>
        </is>
      </c>
      <c r="B382" t="inlineStr">
        <is>
          <t>Total bookings</t>
        </is>
      </c>
      <c r="C382">
        <f>SUMIF(C3:C366,"*Sky*",E3:E366)</f>
        <v/>
      </c>
      <c r="D382">
        <f>SUMIF(C3:C366,"*Remington*",E3:E366)</f>
        <v/>
      </c>
      <c r="E382">
        <f>SUM(E3:E366)</f>
        <v/>
      </c>
      <c r="F382" t="inlineStr">
        <is>
          <t>Count of reservations</t>
        </is>
      </c>
    </row>
    <row r="383">
      <c r="A383" t="inlineStr">
        <is>
          <t>Volume</t>
        </is>
      </c>
      <c r="B383" t="inlineStr">
        <is>
          <t>Total room-nights</t>
        </is>
      </c>
      <c r="C383">
        <f t="array" ref="C383">SUMPRODUCT((ISNUMBER(SEARCH("Sky",C3:C366))*1),E3:E366,F3:F366)</f>
        <v/>
      </c>
      <c r="D383">
        <f t="array" ref="D383">SUMPRODUCT((ISNUMBER(SEARCH("Remington",C3:C366))*1),E3:E366,F3:F366)</f>
        <v/>
      </c>
      <c r="E383">
        <f>SUMPRODUCT(E3:E366,F3:F366)</f>
        <v/>
      </c>
      <c r="F383" t="inlineStr">
        <is>
          <t>Sum of stay nights</t>
        </is>
      </c>
    </row>
    <row r="384">
      <c r="A384" t="inlineStr">
        <is>
          <t>Volume</t>
        </is>
      </c>
      <c r="B384" t="inlineStr">
        <is>
          <t>Total guest-nights</t>
        </is>
      </c>
      <c r="C384">
        <f t="array" ref="C384">SUMPRODUCT((ISNUMBER(SEARCH("Sky",C3:C366))*1),E3:E366,F3:F366)</f>
        <v/>
      </c>
      <c r="D384">
        <f t="array" ref="D384">SUMPRODUCT((ISNUMBER(SEARCH("Remington",C3:C366))*1),E3:E366,F3:F366)</f>
        <v/>
      </c>
      <c r="E384">
        <f>SUMPRODUCT(E3:E366,F3:F366)</f>
        <v/>
      </c>
      <c r="F384" t="inlineStr">
        <is>
          <t>Room-nights × guests (meal base)</t>
        </is>
      </c>
    </row>
    <row r="385"/>
    <row r="386">
      <c r="A386" s="347" t="inlineStr">
        <is>
          <t>ANNUALISED METRICS</t>
        </is>
      </c>
      <c r="B386" s="347" t="n"/>
      <c r="C386" s="347" t="n"/>
      <c r="D386" s="347" t="n"/>
      <c r="E386" s="347" t="n"/>
      <c r="F386" s="347" t="n"/>
    </row>
    <row r="387">
      <c r="A387" t="inlineStr">
        <is>
          <t>Annual</t>
        </is>
      </c>
      <c r="B387" t="inlineStr">
        <is>
          <t>Bookings / year</t>
        </is>
      </c>
      <c r="C387" s="348">
        <f>C381/C378</f>
        <v/>
      </c>
      <c r="D387" s="348">
        <f>D381/D378</f>
        <v/>
      </c>
      <c r="E387" s="348">
        <f>E381/E378</f>
        <v/>
      </c>
      <c r="F387" t="inlineStr">
        <is>
          <t>Compare to ASKY Stay Calc H5:H6</t>
        </is>
      </c>
    </row>
    <row r="388">
      <c r="A388" t="inlineStr">
        <is>
          <t>Annual</t>
        </is>
      </c>
      <c r="B388" t="inlineStr">
        <is>
          <t>Room-nights / year</t>
        </is>
      </c>
      <c r="C388" s="348">
        <f>C382/C378</f>
        <v/>
      </c>
      <c r="D388" s="348">
        <f>D382/D378</f>
        <v/>
      </c>
      <c r="E388" s="348">
        <f>E382/E378</f>
        <v/>
      </c>
      <c r="F388" t="inlineStr">
        <is>
          <t>Occupied unit-nights p.a.</t>
        </is>
      </c>
    </row>
    <row r="389">
      <c r="A389" t="inlineStr">
        <is>
          <t>Annual</t>
        </is>
      </c>
      <c r="B389" t="inlineStr">
        <is>
          <t>Guest-nights / year</t>
        </is>
      </c>
      <c r="C389" s="348">
        <f>C383/C378</f>
        <v/>
      </c>
      <c r="D389" s="348">
        <f>D383/D378</f>
        <v/>
      </c>
      <c r="E389" s="348">
        <f>E383/E378</f>
        <v/>
      </c>
      <c r="F389" t="inlineStr">
        <is>
          <t>Meal revenue base p.a.</t>
        </is>
      </c>
    </row>
    <row r="390">
      <c r="A390" t="inlineStr">
        <is>
          <t>Annual</t>
        </is>
      </c>
      <c r="B390" t="inlineStr">
        <is>
          <t>Occupancy % (365 nights/unit)</t>
        </is>
      </c>
      <c r="C390" s="13">
        <f>C388/365</f>
        <v/>
      </c>
      <c r="D390" s="13">
        <f>D388/365</f>
        <v/>
      </c>
      <c r="E390" s="13">
        <f>E388/(365*2)</f>
        <v/>
      </c>
      <c r="F390" t="inlineStr">
        <is>
          <t>→ Control occupancy inputs</t>
        </is>
      </c>
    </row>
    <row r="391"/>
    <row r="392">
      <c r="A392" s="349" t="inlineStr">
        <is>
          <t>STAY DURATION METRICS</t>
        </is>
      </c>
      <c r="B392" s="349" t="n"/>
      <c r="C392" s="349" t="n"/>
      <c r="D392" s="349" t="n"/>
      <c r="E392" s="349" t="n"/>
      <c r="F392" s="349" t="n"/>
    </row>
    <row r="393">
      <c r="A393" t="inlineStr">
        <is>
          <t>Duration</t>
        </is>
      </c>
      <c r="B393" t="inlineStr">
        <is>
          <t>Avg nights / booking</t>
        </is>
      </c>
      <c r="C393" s="346">
        <f>AVERAGEIF(C3:C366,"*Sky*",E3:E366)</f>
        <v/>
      </c>
      <c r="D393" s="346">
        <f>AVERAGEIF(C3:C366,"*Remington*",E3:E366)</f>
        <v/>
      </c>
      <c r="E393" s="346">
        <f>AVERAGE(E3:E366)</f>
        <v/>
      </c>
      <c r="F393" t="inlineStr">
        <is>
          <t>→ ASKY Stay Calc F5:F6</t>
        </is>
      </c>
    </row>
    <row r="394">
      <c r="A394" t="inlineStr">
        <is>
          <t>Duration</t>
        </is>
      </c>
      <c r="B394" t="inlineStr">
        <is>
          <t>Median nights / booking</t>
        </is>
      </c>
      <c r="C394" s="348">
        <f t="array" ref="C394">MEDIAN(IF(ISNUMBER(SEARCH("Sky",C3:C366)),E3:E366))</f>
        <v/>
      </c>
      <c r="D394" s="348">
        <f t="array" ref="D394">MEDIAN(IF(ISNUMBER(SEARCH("Remington",C3:C366)),E3:E366))</f>
        <v/>
      </c>
      <c r="E394" s="348">
        <f>MEDIAN(E3:E366)</f>
        <v/>
      </c>
      <c r="F394" t="inlineStr">
        <is>
          <t>→ ASKY Stay Calc G5:G6</t>
        </is>
      </c>
    </row>
    <row r="395">
      <c r="A395" t="inlineStr">
        <is>
          <t>Duration</t>
        </is>
      </c>
      <c r="B395" t="inlineStr">
        <is>
          <t>Min nights / booking</t>
        </is>
      </c>
      <c r="C395">
        <f>_xlfn.MINIFS(E3:E366,C3:C366,"*Sky*")</f>
        <v/>
      </c>
      <c r="D395">
        <f>_xlfn.MINIFS(E3:E366,C3:C366,"*Remington*")</f>
        <v/>
      </c>
      <c r="E395">
        <f>MIN(E3:E366)</f>
        <v/>
      </c>
      <c r="F395" t="inlineStr">
        <is>
          <t>Shortest stay</t>
        </is>
      </c>
    </row>
    <row r="396">
      <c r="A396" t="inlineStr">
        <is>
          <t>Duration</t>
        </is>
      </c>
      <c r="B396" t="inlineStr">
        <is>
          <t>Max nights / booking</t>
        </is>
      </c>
      <c r="C396">
        <f>_xlfn.MAXIFS(E3:E366,C3:C366,"*Sky*")</f>
        <v/>
      </c>
      <c r="D396">
        <f>_xlfn.MAXIFS(E3:E366,C3:C366,"*Remington*")</f>
        <v/>
      </c>
      <c r="E396">
        <f>MAX(E3:E366)</f>
        <v/>
      </c>
      <c r="F396" t="inlineStr">
        <is>
          <t>Longest stay</t>
        </is>
      </c>
    </row>
    <row r="397"/>
    <row r="398">
      <c r="A398" s="349" t="inlineStr">
        <is>
          <t>STAY LENGTH DISTRIBUTION</t>
        </is>
      </c>
      <c r="B398" s="349" t="n"/>
      <c r="C398" s="349" t="n"/>
      <c r="D398" s="349" t="n"/>
      <c r="E398" s="349" t="n"/>
      <c r="F398" s="349" t="n"/>
    </row>
    <row r="399">
      <c r="A399" t="inlineStr">
        <is>
          <t>Stay Split</t>
        </is>
      </c>
      <c r="B399" t="inlineStr">
        <is>
          <t>1–2 nights (count)</t>
        </is>
      </c>
      <c r="C399">
        <f>COUNTIFS(C3:C366,"*Sky*",E3:E366,"&lt;=2")</f>
        <v/>
      </c>
      <c r="D399">
        <f>COUNTIFS(C3:C366,"*Remington*",E3:E366,"&lt;=2")</f>
        <v/>
      </c>
      <c r="E399">
        <f>COUNTIF(E3:E366,"&lt;=2")</f>
        <v/>
      </c>
      <c r="F399" t="inlineStr">
        <is>
          <t>Short stays</t>
        </is>
      </c>
    </row>
    <row r="400">
      <c r="A400" t="inlineStr">
        <is>
          <t>Stay Split</t>
        </is>
      </c>
      <c r="B400" t="inlineStr">
        <is>
          <t>3–4 nights (count)</t>
        </is>
      </c>
      <c r="C400">
        <f>COUNTIFS(C3:C366,"*Sky*",E3:E366,"&gt;=3",C3:C366,"*Sky*",E3:E366,"&lt;=4")</f>
        <v/>
      </c>
      <c r="D400">
        <f>COUNTIFS(C3:C366,"*Remington*",E3:E366,"&gt;=3",C3:C366,"*Remington*",E3:E366,"&lt;=4")</f>
        <v/>
      </c>
      <c r="E400">
        <f>COUNTIFS(E3:E366,"&gt;=3",E3:E366,"&lt;=4")</f>
        <v/>
      </c>
      <c r="F400" t="inlineStr">
        <is>
          <t>Medium stays</t>
        </is>
      </c>
    </row>
    <row r="401">
      <c r="A401" t="inlineStr">
        <is>
          <t>Stay Split</t>
        </is>
      </c>
      <c r="B401" t="inlineStr">
        <is>
          <t>5+ nights (count)</t>
        </is>
      </c>
      <c r="C401">
        <f>COUNTIFS(C3:C366,"*Sky*",E3:E366,"&gt;=5")</f>
        <v/>
      </c>
      <c r="D401">
        <f>COUNTIFS(C3:C366,"*Remington*",E3:E366,"&gt;=5")</f>
        <v/>
      </c>
      <c r="E401">
        <f>COUNTIF(E3:E366,"&gt;=5")</f>
        <v/>
      </c>
      <c r="F401" t="inlineStr">
        <is>
          <t>Long stays</t>
        </is>
      </c>
    </row>
    <row r="402">
      <c r="A402" t="inlineStr">
        <is>
          <t>Stay Split</t>
        </is>
      </c>
      <c r="B402" t="inlineStr">
        <is>
          <t>1–2 nights (%)</t>
        </is>
      </c>
      <c r="C402" s="13">
        <f>C399/C381</f>
        <v/>
      </c>
      <c r="D402" s="13">
        <f>D399/D381</f>
        <v/>
      </c>
      <c r="E402" s="13">
        <f>E399/E381</f>
        <v/>
      </c>
    </row>
    <row r="403">
      <c r="A403" t="inlineStr">
        <is>
          <t>Stay Split</t>
        </is>
      </c>
      <c r="B403" t="inlineStr">
        <is>
          <t>3–4 nights (%)</t>
        </is>
      </c>
      <c r="C403" s="13">
        <f>C400/C381</f>
        <v/>
      </c>
      <c r="D403" s="13">
        <f>D400/D381</f>
        <v/>
      </c>
      <c r="E403" s="13">
        <f>E400/E381</f>
        <v/>
      </c>
    </row>
    <row r="404">
      <c r="A404" t="inlineStr">
        <is>
          <t>Stay Split</t>
        </is>
      </c>
      <c r="B404" t="inlineStr">
        <is>
          <t>5+ nights (%)</t>
        </is>
      </c>
      <c r="C404" s="13">
        <f>C401/C381</f>
        <v/>
      </c>
      <c r="D404" s="13">
        <f>D401/D381</f>
        <v/>
      </c>
      <c r="E404" s="13">
        <f>E401/E381</f>
        <v/>
      </c>
    </row>
    <row r="405"/>
    <row r="406">
      <c r="A406" s="350" t="inlineStr">
        <is>
          <t>GUEST METRICS</t>
        </is>
      </c>
      <c r="B406" s="350" t="n"/>
      <c r="C406" s="350" t="n"/>
      <c r="D406" s="350" t="n"/>
      <c r="E406" s="350" t="n"/>
      <c r="F406" s="350" t="n"/>
    </row>
    <row r="407">
      <c r="A407" t="inlineStr">
        <is>
          <t>Guests</t>
        </is>
      </c>
      <c r="B407" t="inlineStr">
        <is>
          <t>Total guests (sum)</t>
        </is>
      </c>
      <c r="C407">
        <f>SUMIF(C3:C366,"*Sky*",F3:F366)</f>
        <v/>
      </c>
      <c r="D407">
        <f>SUMIF(C3:C366,"*Remington*",F3:F366)</f>
        <v/>
      </c>
      <c r="E407">
        <f>SUM(F3:F366)</f>
        <v/>
      </c>
      <c r="F407" t="inlineStr">
        <is>
          <t>Sum of guests across all bookings</t>
        </is>
      </c>
    </row>
    <row r="408">
      <c r="A408" t="inlineStr">
        <is>
          <t>Guests</t>
        </is>
      </c>
      <c r="B408" t="inlineStr">
        <is>
          <t>Avg guests / booking</t>
        </is>
      </c>
      <c r="C408" s="346">
        <f>AVERAGEIF(C3:C366,"*Sky*",F3:F366)</f>
        <v/>
      </c>
      <c r="D408" s="346">
        <f>AVERAGEIF(C3:C366,"*Remington*",F3:F366)</f>
        <v/>
      </c>
      <c r="E408" s="346">
        <f>AVERAGE(F3:F366)</f>
        <v/>
      </c>
      <c r="F408" t="inlineStr">
        <is>
          <t>Average party size</t>
        </is>
      </c>
    </row>
    <row r="409">
      <c r="A409" t="inlineStr">
        <is>
          <t>Guests</t>
        </is>
      </c>
      <c r="B409" t="inlineStr">
        <is>
          <t>Avg guests / room-night</t>
        </is>
      </c>
      <c r="C409" s="346">
        <f>C383/C382</f>
        <v/>
      </c>
      <c r="D409" s="346">
        <f>D383/D382</f>
        <v/>
      </c>
      <c r="E409" s="346">
        <f>E383/E382</f>
        <v/>
      </c>
      <c r="F409" t="inlineStr">
        <is>
          <t>→ Control!B31 (2.8 assumed)</t>
        </is>
      </c>
    </row>
    <row r="410">
      <c r="A410" t="inlineStr">
        <is>
          <t>Guests</t>
        </is>
      </c>
      <c r="B410" t="inlineStr">
        <is>
          <t>Min guests / booking</t>
        </is>
      </c>
      <c r="C410">
        <f>_xlfn.MINIFS(F3:F366,C3:C366,"*Sky*")</f>
        <v/>
      </c>
      <c r="D410">
        <f>_xlfn.MINIFS(F3:F366,C3:C366,"*Remington*")</f>
        <v/>
      </c>
      <c r="E410">
        <f>MIN(F3:F366)</f>
        <v/>
      </c>
      <c r="F410" t="inlineStr">
        <is>
          <t>Smallest party</t>
        </is>
      </c>
    </row>
    <row r="411">
      <c r="A411" t="inlineStr">
        <is>
          <t>Guests</t>
        </is>
      </c>
      <c r="B411" t="inlineStr">
        <is>
          <t>Max guests / booking</t>
        </is>
      </c>
      <c r="C411">
        <f>_xlfn.MAXIFS(F3:F366,C3:C366,"*Sky*")</f>
        <v/>
      </c>
      <c r="D411">
        <f>_xlfn.MAXIFS(F3:F366,C3:C366,"*Remington*")</f>
        <v/>
      </c>
      <c r="E411">
        <f>MAX(F3:F366)</f>
        <v/>
      </c>
      <c r="F411" t="inlineStr">
        <is>
          <t>Largest party</t>
        </is>
      </c>
    </row>
    <row r="412"/>
    <row r="413">
      <c r="A413" s="351" t="inlineStr">
        <is>
          <t>REVENUE METRICS</t>
        </is>
      </c>
      <c r="B413" s="351" t="n"/>
      <c r="C413" s="351" t="n"/>
      <c r="D413" s="351" t="n"/>
      <c r="E413" s="351" t="n"/>
      <c r="F413" s="351" t="n"/>
    </row>
    <row r="414">
      <c r="A414" t="inlineStr">
        <is>
          <t>Revenue</t>
        </is>
      </c>
      <c r="B414" t="inlineStr">
        <is>
          <t>Total gross revenue (ZAR)</t>
        </is>
      </c>
      <c r="C414" s="352">
        <f>SUMIF(C3:C366,"*Sky*",I3:I366)</f>
        <v/>
      </c>
      <c r="D414" s="352">
        <f>SUMIF(C3:C366,"*Remington*",I3:I366)</f>
        <v/>
      </c>
      <c r="E414" s="352">
        <f>SUM(I3:I366)</f>
        <v/>
      </c>
      <c r="F414" t="inlineStr">
        <is>
          <t>Sum of all booking revenue</t>
        </is>
      </c>
    </row>
    <row r="415">
      <c r="A415" t="inlineStr">
        <is>
          <t>Revenue</t>
        </is>
      </c>
      <c r="B415" t="inlineStr">
        <is>
          <t>Avg revenue / booking</t>
        </is>
      </c>
      <c r="C415" s="352">
        <f>C414/C381</f>
        <v/>
      </c>
      <c r="D415" s="352">
        <f>D414/D381</f>
        <v/>
      </c>
      <c r="E415" s="352">
        <f>E414/E381</f>
        <v/>
      </c>
      <c r="F415" t="inlineStr">
        <is>
          <t>RevPB</t>
        </is>
      </c>
    </row>
    <row r="416">
      <c r="A416" t="inlineStr">
        <is>
          <t>Revenue</t>
        </is>
      </c>
      <c r="B416" t="inlineStr">
        <is>
          <t>ADR (revenue / room-night)</t>
        </is>
      </c>
      <c r="C416" s="352">
        <f>C414/C382</f>
        <v/>
      </c>
      <c r="D416" s="352">
        <f>D414/D382</f>
        <v/>
      </c>
      <c r="E416" s="352">
        <f>E414/E382</f>
        <v/>
      </c>
      <c r="F416" t="inlineStr">
        <is>
          <t>Actual vs model ADR</t>
        </is>
      </c>
    </row>
    <row r="417">
      <c r="A417" t="inlineStr">
        <is>
          <t>Revenue</t>
        </is>
      </c>
      <c r="B417" t="inlineStr">
        <is>
          <t>Annual gross revenue</t>
        </is>
      </c>
      <c r="C417" s="352">
        <f>C414/C378</f>
        <v/>
      </c>
      <c r="D417" s="352">
        <f>D414/D378</f>
        <v/>
      </c>
      <c r="E417" s="352">
        <f>E414/E378</f>
        <v/>
      </c>
      <c r="F417" t="inlineStr">
        <is>
          <t>Annualised from dataset</t>
        </is>
      </c>
    </row>
    <row r="418">
      <c r="A418" t="inlineStr">
        <is>
          <t>Revenue</t>
        </is>
      </c>
      <c r="B418" t="inlineStr">
        <is>
          <t>RevPAR (annual rev / 365)</t>
        </is>
      </c>
      <c r="C418" s="352">
        <f>C417/365</f>
        <v/>
      </c>
      <c r="D418" s="352">
        <f>D417/365</f>
        <v/>
      </c>
      <c r="E418" s="352">
        <f>E417/(365*2)</f>
        <v/>
      </c>
      <c r="F418" t="inlineStr">
        <is>
          <t>Revenue per available night</t>
        </is>
      </c>
    </row>
    <row r="419"/>
    <row r="420">
      <c r="A420" s="347" t="inlineStr">
        <is>
          <t>BOOKING SOURCE DISTRIBUTION</t>
        </is>
      </c>
      <c r="B420" s="347" t="n"/>
      <c r="C420" s="347" t="n"/>
      <c r="D420" s="347" t="n"/>
      <c r="E420" s="347" t="n"/>
      <c r="F420" s="347" t="n"/>
    </row>
    <row r="421">
      <c r="A421" t="inlineStr">
        <is>
          <t>Source</t>
        </is>
      </c>
      <c r="B421" t="inlineStr">
        <is>
          <t>Booking.com (count)</t>
        </is>
      </c>
      <c r="C421">
        <f>COUNTIFS(C3:C366,"*Sky*",H3:H366,"*Booking*")</f>
        <v/>
      </c>
      <c r="D421">
        <f>COUNTIFS(C3:C366,"*Remington*",H3:H366,"*Booking*")</f>
        <v/>
      </c>
      <c r="E421">
        <f>COUNTIF(H3:H366,"*Booking*")</f>
        <v/>
      </c>
      <c r="F421" t="inlineStr">
        <is>
          <t>~20% commission</t>
        </is>
      </c>
    </row>
    <row r="422">
      <c r="A422" t="inlineStr">
        <is>
          <t>Source</t>
        </is>
      </c>
      <c r="B422" t="inlineStr">
        <is>
          <t>Airbnb (count)</t>
        </is>
      </c>
      <c r="C422">
        <f>COUNTIFS(C3:C366,"*Sky*",H3:H366,"*Airbnb*")</f>
        <v/>
      </c>
      <c r="D422">
        <f>COUNTIFS(C3:C366,"*Remington*",H3:H366,"*Airbnb*")</f>
        <v/>
      </c>
      <c r="E422">
        <f>COUNTIF(H3:H366,"*Airbnb*")</f>
        <v/>
      </c>
      <c r="F422" t="inlineStr">
        <is>
          <t>~15% commission</t>
        </is>
      </c>
    </row>
    <row r="423">
      <c r="A423" t="inlineStr">
        <is>
          <t>Source</t>
        </is>
      </c>
      <c r="B423" t="inlineStr">
        <is>
          <t>Own web site (count)</t>
        </is>
      </c>
      <c r="C423">
        <f>COUNTIFS(C3:C366,"*Sky*",H3:H366,"*Own*")</f>
        <v/>
      </c>
      <c r="D423">
        <f>COUNTIFS(C3:C366,"*Remington*",H3:H366,"*Own*")</f>
        <v/>
      </c>
      <c r="E423">
        <f>COUNTIF(H3:H366,"*Own*")</f>
        <v/>
      </c>
      <c r="F423" t="inlineStr">
        <is>
          <t>0% commission</t>
        </is>
      </c>
    </row>
    <row r="424">
      <c r="A424" t="inlineStr">
        <is>
          <t>Source</t>
        </is>
      </c>
      <c r="B424" t="inlineStr">
        <is>
          <t>Booking.com (%)</t>
        </is>
      </c>
      <c r="C424" s="13">
        <f>C421/C381</f>
        <v/>
      </c>
      <c r="D424" s="13">
        <f>D421/D381</f>
        <v/>
      </c>
      <c r="E424" s="13">
        <f>E421/E381</f>
        <v/>
      </c>
    </row>
    <row r="425">
      <c r="A425" t="inlineStr">
        <is>
          <t>Source</t>
        </is>
      </c>
      <c r="B425" t="inlineStr">
        <is>
          <t>Airbnb (%)</t>
        </is>
      </c>
      <c r="C425" s="13">
        <f>C422/C381</f>
        <v/>
      </c>
      <c r="D425" s="13">
        <f>D422/D381</f>
        <v/>
      </c>
      <c r="E425" s="13">
        <f>E422/E381</f>
        <v/>
      </c>
    </row>
    <row r="426">
      <c r="A426" t="inlineStr">
        <is>
          <t>Source</t>
        </is>
      </c>
      <c r="B426" t="inlineStr">
        <is>
          <t>Own web site (%)</t>
        </is>
      </c>
      <c r="C426" s="13">
        <f>C423/C381</f>
        <v/>
      </c>
      <c r="D426" s="13">
        <f>D423/D381</f>
        <v/>
      </c>
      <c r="E426" s="13">
        <f>E423/E381</f>
        <v/>
      </c>
    </row>
    <row r="427"/>
    <row r="428">
      <c r="A428" s="350" t="inlineStr">
        <is>
          <t>MEAL PLAN DISTRIBUTION</t>
        </is>
      </c>
      <c r="B428" s="350" t="n"/>
      <c r="C428" s="350" t="n"/>
      <c r="D428" s="350" t="n"/>
      <c r="E428" s="350" t="n"/>
      <c r="F428" s="350" t="n"/>
    </row>
    <row r="429">
      <c r="A429" t="inlineStr">
        <is>
          <t>Meal Plan</t>
        </is>
      </c>
      <c r="B429" t="inlineStr">
        <is>
          <t>Dinner B&amp;B (count)</t>
        </is>
      </c>
      <c r="C429">
        <f>COUNTIFS(C3:C366,"*Sky*",G3:G366,"*Dinner*")</f>
        <v/>
      </c>
      <c r="D429">
        <f>COUNTIFS(C3:C366,"*Remington*",G3:G366,"*Dinner*")</f>
        <v/>
      </c>
      <c r="E429">
        <f>COUNTIF(G3:G366,"*Dinner*")</f>
        <v/>
      </c>
      <c r="F429" t="inlineStr">
        <is>
          <t>Both meals taken</t>
        </is>
      </c>
    </row>
    <row r="430">
      <c r="A430" t="inlineStr">
        <is>
          <t>Meal Plan</t>
        </is>
      </c>
      <c r="B430" t="inlineStr">
        <is>
          <t>B&amp;B only (count)</t>
        </is>
      </c>
      <c r="C430">
        <f>COUNTIFS(C3:C366,"*Sky*",G3:G366,"B&amp;B")</f>
        <v/>
      </c>
      <c r="D430">
        <f>COUNTIFS(C3:C366,"*Remington*",G3:G366,"B&amp;B")</f>
        <v/>
      </c>
      <c r="E430">
        <f>COUNTIF(G3:G366,"B&amp;B")</f>
        <v/>
      </c>
      <c r="F430" t="inlineStr">
        <is>
          <t>Breakfast only</t>
        </is>
      </c>
    </row>
    <row r="431">
      <c r="A431" t="inlineStr">
        <is>
          <t>Meal Plan</t>
        </is>
      </c>
      <c r="B431" t="inlineStr">
        <is>
          <t>Self-catering (count)</t>
        </is>
      </c>
      <c r="C431">
        <f>COUNTIFS(C3:C366,"*Sky*",G3:G366,"*Self*")</f>
        <v/>
      </c>
      <c r="D431">
        <f>COUNTIFS(C3:C366,"*Remington*",G3:G366,"*Self*")</f>
        <v/>
      </c>
      <c r="E431">
        <f>COUNTIF(G3:G366,"*Self*")</f>
        <v/>
      </c>
      <c r="F431" t="inlineStr">
        <is>
          <t>No meals</t>
        </is>
      </c>
    </row>
    <row r="432">
      <c r="A432" t="inlineStr">
        <is>
          <t>Meal Plan</t>
        </is>
      </c>
      <c r="B432" t="inlineStr">
        <is>
          <t>Dinner B&amp;B (%)</t>
        </is>
      </c>
      <c r="C432" s="13">
        <f>C429/C381</f>
        <v/>
      </c>
      <c r="D432" s="13">
        <f>D429/D381</f>
        <v/>
      </c>
      <c r="E432" s="13">
        <f>E429/E381</f>
        <v/>
      </c>
      <c r="F432" t="inlineStr">
        <is>
          <t>→ Model assumes 75% take meals</t>
        </is>
      </c>
    </row>
    <row r="433">
      <c r="A433" t="inlineStr">
        <is>
          <t>Meal Plan</t>
        </is>
      </c>
      <c r="B433" t="inlineStr">
        <is>
          <t>B&amp;B only (%)</t>
        </is>
      </c>
      <c r="C433" s="13">
        <f>C430/C381</f>
        <v/>
      </c>
      <c r="D433" s="13">
        <f>D430/D381</f>
        <v/>
      </c>
      <c r="E433" s="13">
        <f>E430/E381</f>
        <v/>
      </c>
    </row>
    <row r="434">
      <c r="A434" t="inlineStr">
        <is>
          <t>Meal Plan</t>
        </is>
      </c>
      <c r="B434" t="inlineStr">
        <is>
          <t>Self-catering (%)</t>
        </is>
      </c>
      <c r="C434" s="13">
        <f>C431/C381</f>
        <v/>
      </c>
      <c r="D434" s="13">
        <f>D431/D381</f>
        <v/>
      </c>
      <c r="E434" s="13">
        <f>E431/E381</f>
        <v/>
      </c>
    </row>
    <row r="435">
      <c r="A435" t="inlineStr">
        <is>
          <t>Meal Plan</t>
        </is>
      </c>
      <c r="B435" t="inlineStr">
        <is>
          <t>Any meals taken (%)</t>
        </is>
      </c>
      <c r="C435" s="13">
        <f>(C429+C430)/C381</f>
        <v/>
      </c>
      <c r="D435" s="13">
        <f>(D429+D430)/D381</f>
        <v/>
      </c>
      <c r="E435" s="13">
        <f>(E429+E430)/E381</f>
        <v/>
      </c>
      <c r="F435" t="inlineStr">
        <is>
          <t>Dinner B&amp;B + B&amp;B only</t>
        </is>
      </c>
    </row>
    <row r="436"/>
    <row r="437">
      <c r="A437" s="353" t="inlineStr">
        <is>
          <t>MODEL ASSUMPTION COMPARISON</t>
        </is>
      </c>
      <c r="B437" s="353" t="n"/>
      <c r="C437" s="353" t="n"/>
      <c r="D437" s="353" t="n"/>
      <c r="E437" s="353" t="n"/>
      <c r="F437" s="353" t="n"/>
    </row>
    <row r="438">
      <c r="A438" s="354" t="inlineStr">
        <is>
          <t>Property</t>
        </is>
      </c>
      <c r="B438" s="354" t="inlineStr">
        <is>
          <t>Metric</t>
        </is>
      </c>
      <c r="C438" s="354" t="inlineStr">
        <is>
          <t>Actual (from data)</t>
        </is>
      </c>
      <c r="D438" s="354" t="inlineStr">
        <is>
          <t>Model assumes</t>
        </is>
      </c>
      <c r="E438" s="354" t="inlineStr">
        <is>
          <t>Variance</t>
        </is>
      </c>
      <c r="F438" s="354" t="inlineStr">
        <is>
          <t>Notes</t>
        </is>
      </c>
    </row>
    <row r="439">
      <c r="A439" t="inlineStr">
        <is>
          <t>ASV</t>
        </is>
      </c>
      <c r="B439" t="inlineStr">
        <is>
          <t>Avg guests / room-night</t>
        </is>
      </c>
      <c r="C439" s="346">
        <f>C409</f>
        <v/>
      </c>
      <c r="D439" s="346" t="n">
        <v>2.8</v>
      </c>
      <c r="E439" s="346">
        <f>C439-D439</f>
        <v/>
      </c>
      <c r="F439" t="inlineStr">
        <is>
          <t>Control!B31</t>
        </is>
      </c>
    </row>
    <row r="440">
      <c r="A440" t="inlineStr">
        <is>
          <t>Remington</t>
        </is>
      </c>
      <c r="B440" t="inlineStr">
        <is>
          <t>Avg guests / room-night</t>
        </is>
      </c>
      <c r="C440" s="346">
        <f>D409</f>
        <v/>
      </c>
      <c r="D440" s="346" t="n">
        <v>2.8</v>
      </c>
      <c r="E440" s="346">
        <f>C440-D440</f>
        <v/>
      </c>
      <c r="F440" t="inlineStr">
        <is>
          <t>Control!B31</t>
        </is>
      </c>
    </row>
    <row r="441">
      <c r="A441" t="inlineStr">
        <is>
          <t>ASV</t>
        </is>
      </c>
      <c r="B441" t="inlineStr">
        <is>
          <t>Avg nights / booking</t>
        </is>
      </c>
      <c r="C441" s="346">
        <f>C393</f>
        <v/>
      </c>
      <c r="D441" s="346">
        <f>'ASKY Stay Calc'!F5</f>
        <v/>
      </c>
      <c r="E441" s="346">
        <f>C441-D441</f>
        <v/>
      </c>
      <c r="F441" t="inlineStr">
        <is>
          <t>ASKY Stay Calc F5</t>
        </is>
      </c>
    </row>
    <row r="442">
      <c r="A442" t="inlineStr">
        <is>
          <t>Remington</t>
        </is>
      </c>
      <c r="B442" t="inlineStr">
        <is>
          <t>Avg nights / booking</t>
        </is>
      </c>
      <c r="C442" s="346">
        <f>D393</f>
        <v/>
      </c>
      <c r="D442" s="346">
        <f>'ASKY Stay Calc'!F6</f>
        <v/>
      </c>
      <c r="E442" s="346">
        <f>C442-D442</f>
        <v/>
      </c>
      <c r="F442" t="inlineStr">
        <is>
          <t>ASKY Stay Calc F6</t>
        </is>
      </c>
    </row>
    <row r="443">
      <c r="A443" t="inlineStr">
        <is>
          <t>ASV</t>
        </is>
      </c>
      <c r="B443" t="inlineStr">
        <is>
          <t>Annual occupancy %</t>
        </is>
      </c>
      <c r="C443" s="13">
        <f>C390</f>
        <v/>
      </c>
      <c r="D443" s="13">
        <f>Control!B30</f>
        <v/>
      </c>
      <c r="E443" s="13">
        <f>C443-D443</f>
        <v/>
      </c>
      <c r="F443" t="inlineStr">
        <is>
          <t>Control B30</t>
        </is>
      </c>
    </row>
    <row r="444">
      <c r="A444" t="inlineStr">
        <is>
          <t>Remington</t>
        </is>
      </c>
      <c r="B444" t="inlineStr">
        <is>
          <t>Annual occupancy %</t>
        </is>
      </c>
      <c r="C444" s="13">
        <f>D390</f>
        <v/>
      </c>
      <c r="D444" s="13">
        <f>Control!B34</f>
        <v/>
      </c>
      <c r="E444" s="13">
        <f>C444-D444</f>
        <v/>
      </c>
      <c r="F444" t="inlineStr">
        <is>
          <t>Control B34</t>
        </is>
      </c>
    </row>
    <row r="445">
      <c r="A445" t="inlineStr">
        <is>
          <t>Combined</t>
        </is>
      </c>
      <c r="B445" t="inlineStr">
        <is>
          <t>Guests taking meals %</t>
        </is>
      </c>
      <c r="C445" s="13">
        <f>E435</f>
        <v/>
      </c>
      <c r="D445" s="13" t="n">
        <v>0.75</v>
      </c>
      <c r="E445" s="13">
        <f>C445-D445</f>
        <v/>
      </c>
      <c r="F445" t="inlineStr">
        <is>
          <t>Model 75% assumption</t>
        </is>
      </c>
    </row>
    <row r="446"/>
    <row r="447"/>
    <row r="448"/>
    <row r="449"/>
    <row r="450" ht="18" customHeight="1" s="313">
      <c r="A450" s="355" t="inlineStr">
        <is>
          <t>CONTROL INPUT DEPENDENCY ANALYSIS — What Drives the Model</t>
        </is>
      </c>
    </row>
    <row r="451">
      <c r="A451" s="356" t="inlineStr">
        <is>
          <t>Control Cell</t>
        </is>
      </c>
      <c r="B451" s="356" t="inlineStr">
        <is>
          <t>Input Description</t>
        </is>
      </c>
      <c r="C451" s="356" t="inlineStr">
        <is>
          <t>Model Value</t>
        </is>
      </c>
      <c r="D451" s="356" t="inlineStr">
        <is>
          <t>Actual (Verified)</t>
        </is>
      </c>
      <c r="E451" s="356" t="inlineStr">
        <is>
          <t>Variance</t>
        </is>
      </c>
      <c r="F451" s="356" t="inlineStr">
        <is>
          <t>Impact</t>
        </is>
      </c>
      <c r="G451" s="356" t="inlineStr">
        <is>
          <t>Sheets Using This Input</t>
        </is>
      </c>
    </row>
    <row r="452">
      <c r="A452" t="inlineStr">
        <is>
          <t>Control!B30</t>
        </is>
      </c>
      <c r="B452" t="inlineStr">
        <is>
          <t>ASV — avg annual nights booked (%)</t>
        </is>
      </c>
      <c r="C452" s="13">
        <f>Control!B30</f>
        <v/>
      </c>
      <c r="D452" s="13">
        <f>C390</f>
        <v/>
      </c>
      <c r="E452" s="367">
        <f>D452-C452</f>
        <v/>
      </c>
      <c r="F452">
        <f>TEXT(ABS(E452/C452),"0.0%")&amp;" "&amp;IF(E452&lt;0,"lower","higher")</f>
        <v/>
      </c>
      <c r="G452" t="inlineStr">
        <is>
          <t>African Sky P&amp;L (C7), Portfolio NewCo, INV sheets</t>
        </is>
      </c>
    </row>
    <row r="453">
      <c r="A453" t="inlineStr">
        <is>
          <t>Control!B34</t>
        </is>
      </c>
      <c r="B453" t="inlineStr">
        <is>
          <t>Remington — avg annual nights booked (%)</t>
        </is>
      </c>
      <c r="C453" s="13">
        <f>Control!B34</f>
        <v/>
      </c>
      <c r="D453" s="13">
        <f>D390</f>
        <v/>
      </c>
      <c r="E453" s="367">
        <f>D453-C453</f>
        <v/>
      </c>
      <c r="F453">
        <f>TEXT(ABS(E453/C453),"0.0%")&amp;" "&amp;IF(E453&lt;0,"lower","higher")</f>
        <v/>
      </c>
      <c r="G453" t="inlineStr">
        <is>
          <t>African Sky P&amp;L (C8), Portfolio NewCo, INV sheets</t>
        </is>
      </c>
    </row>
    <row r="454">
      <c r="A454" t="inlineStr">
        <is>
          <t>Control!B31</t>
        </is>
      </c>
      <c r="B454" t="inlineStr">
        <is>
          <t>ASV — avg guests per occupied unit-night</t>
        </is>
      </c>
      <c r="C454" s="346">
        <f>Control!B31</f>
        <v/>
      </c>
      <c r="D454" s="346">
        <f>C409</f>
        <v/>
      </c>
      <c r="E454" s="368">
        <f>D454-C454</f>
        <v/>
      </c>
      <c r="F454">
        <f>TEXT(ABS(E454/C454),"0.0%")&amp;" "&amp;IF(E454&lt;0,"lower","higher")</f>
        <v/>
      </c>
      <c r="G454" t="inlineStr">
        <is>
          <t>African Sky P&amp;L (C11 guest-nights), meal calcs, tours</t>
        </is>
      </c>
    </row>
    <row r="455">
      <c r="A455" t="inlineStr">
        <is>
          <t>Control!B35</t>
        </is>
      </c>
      <c r="B455" t="inlineStr">
        <is>
          <t>Remington — avg guests per occupied unit-night</t>
        </is>
      </c>
      <c r="C455" s="346">
        <f>Control!B35</f>
        <v/>
      </c>
      <c r="D455" s="346">
        <f>D409</f>
        <v/>
      </c>
      <c r="E455" s="368">
        <f>D455-C455</f>
        <v/>
      </c>
      <c r="F455">
        <f>TEXT(E455/C455,"0%")&amp;" higher = upside potential"</f>
        <v/>
      </c>
      <c r="G455" t="inlineStr">
        <is>
          <t>African Sky P&amp;L (C11 guest-nights), meal calcs, tours</t>
        </is>
      </c>
    </row>
    <row r="456">
      <c r="A456" t="inlineStr">
        <is>
          <t>Control!B41</t>
        </is>
      </c>
      <c r="B456" t="inlineStr">
        <is>
          <t>Meal take-up — guests taking both meals (%)</t>
        </is>
      </c>
      <c r="C456" s="13">
        <f>Control!B41</f>
        <v/>
      </c>
      <c r="D456" s="13">
        <f>E435</f>
        <v/>
      </c>
      <c r="E456" s="367">
        <f>D456-C456</f>
        <v/>
      </c>
      <c r="F456">
        <f>TEXT(E456/C456,"0%")&amp;" higher = MAJOR UPSIDE"</f>
        <v/>
      </c>
      <c r="G456" t="inlineStr">
        <is>
          <t>African Sky P&amp;L (C12 meal covers → C13 meals income)</t>
        </is>
      </c>
    </row>
    <row r="457">
      <c r="A457" t="inlineStr">
        <is>
          <t>Control!B52</t>
        </is>
      </c>
      <c r="B457" t="inlineStr">
        <is>
          <t>OTA channel commission (%)</t>
        </is>
      </c>
      <c r="C457" s="13">
        <f>Control!B52</f>
        <v/>
      </c>
      <c r="D457" s="13">
        <f>E424</f>
        <v/>
      </c>
      <c r="F457" t="inlineStr">
        <is>
          <t>N/A - 20% commission on 90% OTA mix is valid</t>
        </is>
      </c>
      <c r="G457" t="inlineStr">
        <is>
          <t>Model uses 20% commission on 90% Booking.com mix</t>
        </is>
      </c>
    </row>
    <row r="458">
      <c r="A458" t="inlineStr">
        <is>
          <t>Control!B28</t>
        </is>
      </c>
      <c r="B458" t="inlineStr">
        <is>
          <t>ASV — ADR incl. 2 guests (ZAR/night)</t>
        </is>
      </c>
      <c r="C458" s="358">
        <f>Control!B28</f>
        <v/>
      </c>
      <c r="D458" s="358">
        <f>C416</f>
        <v/>
      </c>
      <c r="E458" s="369">
        <f>D458-C458</f>
        <v/>
      </c>
      <c r="F458">
        <f>"Actual net ~R"&amp;ROUND(D458,0)&amp;" vs gross R"&amp;C458&amp;" (after ~20% OTA commission)"</f>
        <v/>
      </c>
      <c r="G458" t="inlineStr">
        <is>
          <t>African Sky P&amp;L (C7) — Note: actual is net of commission</t>
        </is>
      </c>
    </row>
    <row r="459">
      <c r="A459" t="inlineStr">
        <is>
          <t>Control!B32</t>
        </is>
      </c>
      <c r="B459" t="inlineStr">
        <is>
          <t>Remington — ADR incl. 2 guests (ZAR/night)</t>
        </is>
      </c>
      <c r="C459" s="358">
        <f>Control!B32</f>
        <v/>
      </c>
      <c r="D459" s="358">
        <f>D416</f>
        <v/>
      </c>
      <c r="E459" s="369">
        <f>D459-C459</f>
        <v/>
      </c>
      <c r="F459">
        <f>"Actual net ~R"&amp;ROUND(D459,0)&amp;" vs gross R"&amp;C459&amp;" (after ~20% OTA commission)"</f>
        <v/>
      </c>
      <c r="G459" t="inlineStr">
        <is>
          <t>African Sky P&amp;L (C8) — Note: actual is net of commission</t>
        </is>
      </c>
    </row>
    <row r="460">
      <c r="A460" t="inlineStr">
        <is>
          <t>ASKY Stay Calc!F5</t>
        </is>
      </c>
      <c r="B460" t="inlineStr">
        <is>
          <t>ASV — avg nights / booking (duration)</t>
        </is>
      </c>
      <c r="C460" s="346">
        <f>'ASKY Stay Calc'!F5</f>
        <v/>
      </c>
      <c r="D460" s="346">
        <f>C393</f>
        <v/>
      </c>
      <c r="E460" s="368">
        <f>D460-C460</f>
        <v/>
      </c>
      <c r="F460">
        <f>TEXT(ABS(E460/C460),"0.0%")&amp;" "&amp;IF(E460&lt;0,"lower","higher")</f>
        <v/>
      </c>
      <c r="G460" t="inlineStr">
        <is>
          <t>ASKY Stay Calc (H5 bookings/year) — contextual only</t>
        </is>
      </c>
    </row>
    <row r="461">
      <c r="A461" t="inlineStr">
        <is>
          <t>ASKY Stay Calc!F6</t>
        </is>
      </c>
      <c r="B461" t="inlineStr">
        <is>
          <t>Remington — avg nights / booking (duration)</t>
        </is>
      </c>
      <c r="C461" s="346">
        <f>'ASKY Stay Calc'!F6</f>
        <v/>
      </c>
      <c r="D461" s="346">
        <f>D393</f>
        <v/>
      </c>
      <c r="E461" s="368">
        <f>D461-C461</f>
        <v/>
      </c>
      <c r="F461">
        <f>TEXT(ABS(E461/C461),"0.0%")&amp;" "&amp;IF(E461&lt;0,"lower","higher")</f>
        <v/>
      </c>
      <c r="G461" t="inlineStr">
        <is>
          <t>ASKY Stay Calc (H6 bookings/year) — contextual only</t>
        </is>
      </c>
    </row>
    <row r="462"/>
    <row r="463">
      <c r="A463" s="353" t="inlineStr">
        <is>
          <t>KEY FINDING</t>
        </is>
      </c>
      <c r="B463" s="353" t="inlineStr">
        <is>
          <t>Meal uptake 94.8% vs model 75%</t>
        </is>
      </c>
      <c r="C463" s="353" t="n"/>
      <c r="D463" s="353" t="n"/>
      <c r="E463" s="359" t="n">
        <v>0.26</v>
      </c>
      <c r="F463" s="353" t="inlineStr">
        <is>
          <t>UPSIDE to meal revenue</t>
        </is>
      </c>
      <c r="G463" s="353" t="inlineStr">
        <is>
          <t>Major revenue impact if model updated</t>
        </is>
      </c>
    </row>
    <row r="464">
      <c r="A464" s="353" t="inlineStr">
        <is>
          <t>KEY FINDING</t>
        </is>
      </c>
      <c r="B464" s="353" t="inlineStr">
        <is>
          <t>Remington guests/night 2.69 vs 2.4</t>
        </is>
      </c>
      <c r="C464" s="353" t="n"/>
      <c r="D464" s="353" t="n"/>
      <c r="E464" s="359" t="n">
        <v>0.12</v>
      </c>
      <c r="F464" s="353" t="inlineStr">
        <is>
          <t>UPSIDE to guest-nights</t>
        </is>
      </c>
      <c r="G464" s="353" t="inlineStr">
        <is>
          <t>Increases Remington meal &amp; tour revenue</t>
        </is>
      </c>
    </row>
    <row r="465"/>
    <row r="466"/>
    <row r="467" ht="15.6" customHeight="1" s="313">
      <c r="A467" s="360" t="inlineStr">
        <is>
          <t>HOW CONTROL INPUTS FLOW INTO THE MODEL</t>
        </is>
      </c>
    </row>
    <row r="468">
      <c r="A468" s="356" t="inlineStr">
        <is>
          <t>Control Input</t>
        </is>
      </c>
      <c r="B468" s="356" t="inlineStr">
        <is>
          <t>→</t>
        </is>
      </c>
      <c r="C468" s="356" t="inlineStr">
        <is>
          <t>Drives Calculation</t>
        </is>
      </c>
      <c r="D468" s="356" t="inlineStr">
        <is>
          <t>→</t>
        </is>
      </c>
      <c r="E468" s="356" t="inlineStr">
        <is>
          <t>Appears In</t>
        </is>
      </c>
    </row>
    <row r="469">
      <c r="A469" t="inlineStr">
        <is>
          <t>B30 (ASV occ. 70%)</t>
        </is>
      </c>
      <c r="B469" t="inlineStr">
        <is>
          <t>→</t>
        </is>
      </c>
      <c r="C469" t="inlineStr">
        <is>
          <t>365 × 70% = 255.5 room-nights</t>
        </is>
      </c>
      <c r="D469" t="inlineStr">
        <is>
          <t>→</t>
        </is>
      </c>
      <c r="E469" t="inlineStr">
        <is>
          <t>African Sky P&amp;L row 7 (accommodation rev)</t>
        </is>
      </c>
    </row>
    <row r="470">
      <c r="A470" t="inlineStr">
        <is>
          <t>B31 (ASV guests 2.8)</t>
        </is>
      </c>
      <c r="B470" t="inlineStr">
        <is>
          <t>→</t>
        </is>
      </c>
      <c r="C470" t="inlineStr">
        <is>
          <t>255.5 × 2.8 = 715 guest-nights</t>
        </is>
      </c>
      <c r="D470" t="inlineStr">
        <is>
          <t>→</t>
        </is>
      </c>
      <c r="E470" t="inlineStr">
        <is>
          <t>African Sky P&amp;L row 11 → row 12 (meal covers)</t>
        </is>
      </c>
    </row>
    <row r="471">
      <c r="A471" t="inlineStr">
        <is>
          <t>B34 (Rem occ. 61%)</t>
        </is>
      </c>
      <c r="B471" t="inlineStr">
        <is>
          <t>→</t>
        </is>
      </c>
      <c r="C471" t="inlineStr">
        <is>
          <t>365 × 61% = 222.7 room-nights</t>
        </is>
      </c>
      <c r="D471" t="inlineStr">
        <is>
          <t>→</t>
        </is>
      </c>
      <c r="E471" t="inlineStr">
        <is>
          <t>African Sky P&amp;L row 8 (accommodation rev)</t>
        </is>
      </c>
    </row>
    <row r="472">
      <c r="A472" t="inlineStr">
        <is>
          <t>B35 (Rem guests 2.4)</t>
        </is>
      </c>
      <c r="B472" t="inlineStr">
        <is>
          <t>→</t>
        </is>
      </c>
      <c r="C472" t="inlineStr">
        <is>
          <t>222.7 × 2.4 = 534 guest-nights</t>
        </is>
      </c>
      <c r="D472" t="inlineStr">
        <is>
          <t>→</t>
        </is>
      </c>
      <c r="E472" t="inlineStr">
        <is>
          <t>African Sky P&amp;L row 11 → row 12 (meal covers)</t>
        </is>
      </c>
    </row>
    <row r="473">
      <c r="A473" t="inlineStr">
        <is>
          <t>B41 (Meal take-up 75%)</t>
        </is>
      </c>
      <c r="B473" t="inlineStr">
        <is>
          <t>→</t>
        </is>
      </c>
      <c r="C473" t="inlineStr">
        <is>
          <t>Guest-nights × 75% = meal covers</t>
        </is>
      </c>
      <c r="D473" t="inlineStr">
        <is>
          <t>→</t>
        </is>
      </c>
      <c r="E473" t="inlineStr">
        <is>
          <t>African Sky P&amp;L row 12 → row 13 (meals income)</t>
        </is>
      </c>
    </row>
    <row r="474">
      <c r="A474" t="inlineStr">
        <is>
          <t>B52 (Commission 20%)</t>
        </is>
      </c>
      <c r="B474" t="inlineStr">
        <is>
          <t>→</t>
        </is>
      </c>
      <c r="C474" t="inlineStr">
        <is>
          <t>Accommodation rev × 20%</t>
        </is>
      </c>
      <c r="D474" t="inlineStr">
        <is>
          <t>→</t>
        </is>
      </c>
      <c r="E474" t="inlineStr">
        <is>
          <t>African Sky P&amp;L row 17 (channel commission)</t>
        </is>
      </c>
    </row>
    <row r="475"/>
    <row r="476">
      <c r="A476" s="337" t="inlineStr">
        <is>
          <t>STAY DURATION NOTE</t>
        </is>
      </c>
    </row>
    <row r="477">
      <c r="A477" t="inlineStr">
        <is>
          <t>ASKY Stay Calc F5:F6 calculates avg nights/booking from this same data, but the P&amp;L uses room-nights directly (not bookings × duration).</t>
        </is>
      </c>
    </row>
    <row r="478">
      <c r="A478" t="inlineStr">
        <is>
          <t>Duration is contextual for investor explanation but does not feed P&amp;L formulas.</t>
        </is>
      </c>
    </row>
    <row r="479"/>
    <row r="480"/>
    <row r="481" ht="15.6" customHeight="1" s="313">
      <c r="A481" s="361" t="inlineStr">
        <is>
          <t>RECOMMENDATIONS — Where Actuals Differ from Model</t>
        </is>
      </c>
    </row>
    <row r="482">
      <c r="A482" s="356" t="inlineStr">
        <is>
          <t>Priority</t>
        </is>
      </c>
      <c r="B482" s="356" t="inlineStr">
        <is>
          <t>Finding</t>
        </is>
      </c>
      <c r="C482" s="356" t="inlineStr">
        <is>
          <t>Model Input</t>
        </is>
      </c>
      <c r="D482" s="356" t="inlineStr">
        <is>
          <t>Verified Actual</t>
        </is>
      </c>
      <c r="E482" s="356" t="inlineStr">
        <is>
          <t>Recommendation</t>
        </is>
      </c>
      <c r="F482" s="356" t="inlineStr">
        <is>
          <t>Revenue Impact</t>
        </is>
      </c>
      <c r="G482" s="356" t="n"/>
    </row>
    <row r="483">
      <c r="A483" s="363" t="inlineStr">
        <is>
          <t>🔴 HIGH</t>
        </is>
      </c>
      <c r="B483" s="363" t="inlineStr">
        <is>
          <t>Meal uptake under-estimated</t>
        </is>
      </c>
      <c r="C483" s="364" t="n">
        <v>0.75</v>
      </c>
      <c r="D483" s="365" t="n">
        <v>0.948</v>
      </c>
      <c r="E483" s="363" t="inlineStr">
        <is>
          <t>UPDATE Control!B41 to 95%</t>
        </is>
      </c>
      <c r="F483" s="363" t="inlineStr">
        <is>
          <t>+26% meal revenue (~R130k/yr)</t>
        </is>
      </c>
      <c r="G483" s="363" t="n"/>
    </row>
    <row r="484">
      <c r="A484" s="366" t="inlineStr">
        <is>
          <t>🟡 MEDIUM</t>
        </is>
      </c>
      <c r="B484" s="366" t="inlineStr">
        <is>
          <t>Remington guests/night too low</t>
        </is>
      </c>
      <c r="C484" s="366" t="n">
        <v>2.4</v>
      </c>
      <c r="D484" s="366" t="n">
        <v>2.69</v>
      </c>
      <c r="E484" s="366" t="inlineStr">
        <is>
          <t>UPDATE Control!B35 to 2.7</t>
        </is>
      </c>
      <c r="F484" s="366" t="inlineStr">
        <is>
          <t>+12% Remington guest-nights</t>
        </is>
      </c>
      <c r="G484" s="366" t="n"/>
    </row>
    <row r="485">
      <c r="A485" t="inlineStr">
        <is>
          <t>🟢 LOW</t>
        </is>
      </c>
      <c r="B485" t="inlineStr">
        <is>
          <t>ASV occupancy close</t>
        </is>
      </c>
      <c r="C485" s="357" t="n">
        <v>0.7</v>
      </c>
      <c r="D485" s="362" t="n">
        <v>0.6820000000000001</v>
      </c>
      <c r="E485" t="inlineStr">
        <is>
          <t>KEEP 70% (conservative)</t>
        </is>
      </c>
      <c r="F485" t="inlineStr">
        <is>
          <t>Minimal (~2% variance)</t>
        </is>
      </c>
    </row>
    <row r="486">
      <c r="A486" t="inlineStr">
        <is>
          <t>🟢 LOW</t>
        </is>
      </c>
      <c r="B486" t="inlineStr">
        <is>
          <t>Remington occupancy close</t>
        </is>
      </c>
      <c r="C486" s="357" t="n">
        <v>0.61</v>
      </c>
      <c r="D486" s="362" t="n">
        <v>0.623</v>
      </c>
      <c r="E486" t="inlineStr">
        <is>
          <t>KEEP 61% (conservative)</t>
        </is>
      </c>
      <c r="F486" t="inlineStr">
        <is>
          <t>Minimal (~2% variance)</t>
        </is>
      </c>
    </row>
    <row r="487">
      <c r="A487" t="inlineStr">
        <is>
          <t>🟢 LOW</t>
        </is>
      </c>
      <c r="B487" t="inlineStr">
        <is>
          <t>ASV guests/night close</t>
        </is>
      </c>
      <c r="C487" t="n">
        <v>2.8</v>
      </c>
      <c r="D487" t="n">
        <v>2.75</v>
      </c>
      <c r="E487" t="inlineStr">
        <is>
          <t>KEEP 2.8 (conservative)</t>
        </is>
      </c>
      <c r="F487" t="inlineStr">
        <is>
          <t>Minimal (~2% variance)</t>
        </is>
      </c>
    </row>
    <row r="488">
      <c r="A488" t="inlineStr">
        <is>
          <t>ℹ️ INFO</t>
        </is>
      </c>
      <c r="B488" t="inlineStr">
        <is>
          <t>ADR appears lower in actuals</t>
        </is>
      </c>
      <c r="C488" t="inlineStr">
        <is>
          <t>R4,500/R3,700</t>
        </is>
      </c>
      <c r="D488" t="inlineStr">
        <is>
          <t>R3,103/R2,828</t>
        </is>
      </c>
      <c r="E488" t="inlineStr">
        <is>
          <t>NO CHANGE — actual is NET of OTA commission</t>
        </is>
      </c>
      <c r="F488" t="inlineStr">
        <is>
          <t>Model correctly shows gross → then deducts commission</t>
        </is>
      </c>
    </row>
    <row r="489">
      <c r="A489" t="inlineStr">
        <is>
          <t>ℹ️ INFO</t>
        </is>
      </c>
      <c r="B489" t="inlineStr">
        <is>
          <t>Channel mix validates 20% commission</t>
        </is>
      </c>
      <c r="C489" s="357" t="n">
        <v>0.2</v>
      </c>
      <c r="D489" t="inlineStr">
        <is>
          <t>90% via Booking.com</t>
        </is>
      </c>
      <c r="E489" t="inlineStr">
        <is>
          <t>KEEP — 20% on 90% Booking.com mix is accurate</t>
        </is>
      </c>
      <c r="F489" t="inlineStr">
        <is>
          <t>Commission assumption is valid</t>
        </is>
      </c>
    </row>
  </sheetData>
  <autoFilter ref="A2:I366"/>
  <mergeCells count="9">
    <mergeCell ref="A476:G476"/>
    <mergeCell ref="A467:G467"/>
    <mergeCell ref="A372:I372"/>
    <mergeCell ref="A1:I1"/>
    <mergeCell ref="A481:G481"/>
    <mergeCell ref="A478:G478"/>
    <mergeCell ref="A477:G477"/>
    <mergeCell ref="A373:I373"/>
    <mergeCell ref="A450:G45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3"/>
  <sheetViews>
    <sheetView zoomScale="85" zoomScaleNormal="85" workbookViewId="0">
      <selection activeCell="E3" sqref="E1:E1048576"/>
    </sheetView>
  </sheetViews>
  <sheetFormatPr baseColWidth="8" defaultRowHeight="14.4"/>
  <cols>
    <col width="24.33203125" customWidth="1" style="303" min="1" max="1"/>
    <col width="17.6640625" customWidth="1" style="303" min="2" max="2"/>
    <col width="12.21875" customWidth="1" style="303" min="3" max="3"/>
    <col width="13.44140625" customWidth="1" style="303" min="4" max="4"/>
    <col width="11.6640625" bestFit="1" customWidth="1" style="303" min="5" max="5"/>
    <col width="13" customWidth="1" style="303" min="6" max="6"/>
    <col width="14.44140625" customWidth="1" style="303" min="7" max="7"/>
    <col width="16.109375" customWidth="1" style="303" min="8" max="8"/>
    <col width="8.21875" bestFit="1" customWidth="1" style="303" min="9" max="9"/>
    <col width="28" customWidth="1" style="303" min="10" max="10"/>
    <col width="11.6640625" customWidth="1" style="303" min="11" max="12"/>
    <col width="9.109375" customWidth="1" style="303" min="13" max="13"/>
    <col width="8.5546875" bestFit="1" customWidth="1" style="303" min="14" max="14"/>
    <col width="13.21875" customWidth="1" style="303" min="15" max="16"/>
    <col width="12.44140625" customWidth="1" style="303" min="17" max="17"/>
    <col width="82" customWidth="1" style="303" min="18" max="18"/>
    <col width="8.88671875" customWidth="1" style="303" min="19" max="21"/>
    <col width="8.88671875" customWidth="1" style="303" min="22" max="16384"/>
  </cols>
  <sheetData>
    <row r="1" ht="21" customHeight="1" s="313">
      <c r="A1" s="328" t="inlineStr">
        <is>
          <t>African Sky — Average Stay Duration / Booking</t>
        </is>
      </c>
      <c r="J1" s="62" t="inlineStr">
        <is>
          <t>Stay-length context — realised bookings only</t>
        </is>
      </c>
      <c r="K1" s="63" t="n"/>
      <c r="L1" s="63" t="n"/>
      <c r="M1" s="63" t="n"/>
      <c r="N1" s="63" t="n"/>
      <c r="O1" s="63" t="n"/>
      <c r="P1" s="63" t="n"/>
      <c r="Q1" s="63" t="n"/>
      <c r="R1" s="64" t="n"/>
    </row>
    <row r="2">
      <c r="A2" s="324" t="inlineStr">
        <is>
          <t>Purpose: estimate ASV and Remington stay duration using the current model occupied-night assumption and the uploaded historical booking data as a reference only. Pricing in the booking file is not used for duration.</t>
        </is>
      </c>
      <c r="J2" s="326" t="inlineStr">
        <is>
          <t>This section explains why median stay nights are shown: most bookings are short, but a smaller number of longer bookings lifts the average.</t>
        </is>
      </c>
      <c r="R2" s="64" t="n"/>
    </row>
    <row r="3">
      <c r="A3" s="324" t="n"/>
      <c r="B3" s="324" t="n"/>
      <c r="C3" s="324" t="n"/>
      <c r="D3" s="324" t="n"/>
      <c r="E3" s="324" t="n"/>
      <c r="F3" s="324" t="n"/>
      <c r="H3" s="324" t="n"/>
      <c r="J3" s="326" t="n"/>
      <c r="K3" s="326" t="n"/>
      <c r="L3" s="326" t="n"/>
      <c r="M3" s="326" t="n"/>
      <c r="N3" s="64" t="n"/>
      <c r="O3" s="326" t="n"/>
      <c r="P3" s="326" t="n"/>
      <c r="Q3" s="64" t="n"/>
      <c r="R3" s="64" t="n"/>
    </row>
    <row r="4" ht="28.8" customHeight="1" s="313">
      <c r="A4" s="50" t="inlineStr">
        <is>
          <t>Unit</t>
        </is>
      </c>
      <c r="B4" s="55" t="inlineStr">
        <is>
          <t>Historical dataset used</t>
        </is>
      </c>
      <c r="C4" s="51" t="inlineStr">
        <is>
          <t>Bookings</t>
        </is>
      </c>
      <c r="D4" s="51" t="inlineStr">
        <is>
          <t>Room-nights</t>
        </is>
      </c>
      <c r="E4" s="51" t="inlineStr">
        <is>
          <t>Bookings</t>
        </is>
      </c>
      <c r="F4" s="51" t="inlineStr">
        <is>
          <t>Avg nights / booking</t>
        </is>
      </c>
      <c r="G4" s="51" t="inlineStr">
        <is>
          <t>Median stay nights</t>
        </is>
      </c>
      <c r="H4" s="51" t="inlineStr">
        <is>
          <t>Bookings / year</t>
        </is>
      </c>
      <c r="I4" s="58" t="n"/>
      <c r="J4" s="68" t="inlineStr">
        <is>
          <t>Unit</t>
        </is>
      </c>
      <c r="K4" s="69" t="inlineStr">
        <is>
          <t>1–2
 nights</t>
        </is>
      </c>
      <c r="L4" s="69" t="inlineStr">
        <is>
          <t>3–4 nights</t>
        </is>
      </c>
      <c r="M4" s="69" t="inlineStr">
        <is>
          <t>5+ 
nights</t>
        </is>
      </c>
      <c r="N4" s="70" t="inlineStr">
        <is>
          <t>Plain-English takeaway</t>
        </is>
      </c>
      <c r="O4" s="71" t="n"/>
      <c r="P4" s="68" t="n"/>
      <c r="Q4" s="72" t="n"/>
      <c r="R4" s="72" t="n"/>
    </row>
    <row r="5" ht="28.8" customHeight="1" s="313">
      <c r="A5" s="324" t="inlineStr">
        <is>
          <t>African Sky Villa (ASV / Sky Villa)</t>
        </is>
      </c>
      <c r="B5" s="56" t="inlineStr">
        <is>
          <t>Realised only: Jan 2025–Jun 2026</t>
        </is>
      </c>
      <c r="C5" s="53" t="n">
        <v>167</v>
      </c>
      <c r="D5" s="53" t="n">
        <v>387</v>
      </c>
      <c r="E5" s="52">
        <f>Control!$B$20*Control!$B$30</f>
        <v/>
      </c>
      <c r="F5" s="52" t="n">
        <v>2.31736526946108</v>
      </c>
      <c r="G5" s="54" t="n">
        <v>2</v>
      </c>
      <c r="H5" s="52">
        <f>E5/F5</f>
        <v/>
      </c>
      <c r="J5" s="326" t="inlineStr">
        <is>
          <t>ASV / Sky Villa</t>
        </is>
      </c>
      <c r="K5" s="66" t="n">
        <v>103</v>
      </c>
      <c r="L5" s="66" t="n">
        <v>54</v>
      </c>
      <c r="M5" s="66" t="n">
        <v>10</v>
      </c>
      <c r="N5" s="325" t="inlineStr">
        <is>
          <t>Most ASV bookings are 1–2 nights; a few 5+ night stays lift the average from the 2-night median to ~2.3 nights.</t>
        </is>
      </c>
    </row>
    <row r="6" ht="28.8" customHeight="1" s="313">
      <c r="A6" s="324" t="inlineStr">
        <is>
          <t>Remington Villa</t>
        </is>
      </c>
      <c r="B6" s="302" t="inlineStr">
        <is>
          <t>Realised only: Jan 2025–Jun 2026</t>
        </is>
      </c>
      <c r="C6" s="59" t="n">
        <v>133</v>
      </c>
      <c r="D6" s="59" t="n">
        <v>365</v>
      </c>
      <c r="E6" s="57">
        <f>Control!$B$20*Control!$B$34</f>
        <v/>
      </c>
      <c r="F6" s="57" t="n">
        <v>2.74436090225564</v>
      </c>
      <c r="G6" s="61" t="n">
        <v>2</v>
      </c>
      <c r="H6" s="57">
        <f>E6/F6</f>
        <v/>
      </c>
      <c r="J6" s="326" t="inlineStr">
        <is>
          <t>Remington Villa</t>
        </is>
      </c>
      <c r="K6" s="66" t="n">
        <v>75</v>
      </c>
      <c r="L6" s="66" t="n">
        <v>43</v>
      </c>
      <c r="M6" s="66" t="n">
        <v>15</v>
      </c>
      <c r="N6" s="325" t="inlineStr">
        <is>
          <t>Remington also has a 2-night median, but more long stays lift the average to ~2.7 nights.</t>
        </is>
      </c>
    </row>
    <row r="7">
      <c r="A7" s="324" t="n"/>
      <c r="B7" s="324" t="n"/>
      <c r="C7" s="324" t="n"/>
      <c r="D7" s="324" t="n"/>
      <c r="E7" s="324" t="n"/>
      <c r="F7" s="324" t="n"/>
      <c r="H7" s="324" t="n"/>
      <c r="J7" s="67" t="inlineStr">
        <is>
          <t>How to read this</t>
        </is>
      </c>
      <c r="K7" s="326" t="n"/>
      <c r="L7" s="326" t="n"/>
      <c r="M7" s="326" t="n"/>
      <c r="N7" s="64" t="n"/>
      <c r="O7" s="326" t="n"/>
      <c r="P7" s="326" t="n"/>
      <c r="Q7" s="64" t="n"/>
      <c r="R7" s="64" t="n"/>
    </row>
    <row r="8">
      <c r="A8" s="324" t="n"/>
      <c r="B8" s="324" t="n"/>
      <c r="C8" s="324" t="n"/>
      <c r="D8" s="324" t="n"/>
      <c r="E8" s="324" t="n"/>
      <c r="F8" s="324" t="n"/>
      <c r="H8" s="324" t="n"/>
      <c r="J8" s="327" t="inlineStr">
        <is>
          <t xml:space="preserve">A) Median = the middle booking length. Here it is 2 nights for both villas, meaning the typical booking is short. B) Average = total room-nights ÷ bookings. It is higher than the median because longer stays </t>
        </is>
      </c>
    </row>
    <row r="9">
      <c r="A9" s="320" t="inlineStr">
        <is>
          <t>Reference data cross-check</t>
        </is>
      </c>
      <c r="H9" s="324" t="n"/>
      <c r="J9" s="64" t="inlineStr">
        <is>
          <t>add extra room-nights. C) Use average for forecast maths; keep median and stay split for investor-friendly context.</t>
        </is>
      </c>
      <c r="K9" s="326" t="n"/>
      <c r="L9" s="326" t="n"/>
      <c r="M9" s="326" t="n"/>
      <c r="N9" s="64" t="n"/>
      <c r="O9" s="326" t="n"/>
      <c r="P9" s="326" t="n"/>
      <c r="Q9" s="64" t="n"/>
      <c r="R9" s="64" t="n"/>
    </row>
    <row r="10" ht="28.8" customFormat="1" customHeight="1" s="322">
      <c r="A10" s="50" t="inlineStr">
        <is>
          <t>Unit</t>
        </is>
      </c>
      <c r="B10" s="50" t="inlineStr">
        <is>
          <t>Scope</t>
        </is>
      </c>
      <c r="C10" s="51" t="inlineStr">
        <is>
          <t>Bookings</t>
        </is>
      </c>
      <c r="D10" s="51" t="inlineStr">
        <is>
          <t>Room-nights</t>
        </is>
      </c>
      <c r="E10" s="51" t="n"/>
      <c r="F10" s="51" t="inlineStr">
        <is>
          <t>Avg stay nights</t>
        </is>
      </c>
      <c r="G10" s="51" t="inlineStr">
        <is>
          <t>Median stay nights</t>
        </is>
      </c>
      <c r="H10" s="51">
        <f>H4</f>
        <v/>
      </c>
      <c r="I10" s="76" t="n"/>
      <c r="J10" s="321" t="inlineStr">
        <is>
          <t>How calculated</t>
        </is>
      </c>
    </row>
    <row r="11">
      <c r="A11" s="324" t="inlineStr">
        <is>
          <t>Sky Villa / ASV</t>
        </is>
      </c>
      <c r="B11" s="303" t="inlineStr">
        <is>
          <t>All bookings in file</t>
        </is>
      </c>
      <c r="C11" s="57" t="n">
        <v>204</v>
      </c>
      <c r="D11" s="57" t="n">
        <v>497</v>
      </c>
      <c r="E11" s="57" t="n"/>
      <c r="F11" s="57" t="n">
        <v>2.43627450980392</v>
      </c>
      <c r="G11" s="57" t="n">
        <v>2</v>
      </c>
      <c r="H11" s="61">
        <f>Control!$B$20*Control!$B$30/F11</f>
        <v/>
      </c>
      <c r="J11" s="326" t="inlineStr">
        <is>
          <t>Occupied unit-nights</t>
        </is>
      </c>
      <c r="K11" s="64" t="inlineStr">
        <is>
          <t>Occupied unit-nights = Control!B20 available nights × per-villa nights-booked % (Sky 70% / Remington 61%), matching the P&amp;L — e.g. 365 × 70% = 255.5 Sky nights/year.</t>
        </is>
      </c>
      <c r="L11" s="64" t="n"/>
      <c r="M11" s="326" t="n"/>
      <c r="N11" s="326" t="n"/>
      <c r="O11" s="326" t="n"/>
      <c r="P11" s="64" t="n"/>
      <c r="Q11" s="326" t="n"/>
      <c r="R11" s="64" t="n"/>
    </row>
    <row r="12">
      <c r="A12" s="324" t="inlineStr">
        <is>
          <t>Sky Villa / ASV</t>
        </is>
      </c>
      <c r="B12" s="303" t="inlineStr">
        <is>
          <t>Realised only through Jun 2026</t>
        </is>
      </c>
      <c r="C12" s="57" t="n">
        <v>167</v>
      </c>
      <c r="D12" s="57" t="n">
        <v>387</v>
      </c>
      <c r="E12" s="57" t="n"/>
      <c r="F12" s="57" t="n">
        <v>2.31736526946108</v>
      </c>
      <c r="G12" s="57" t="n">
        <v>2</v>
      </c>
      <c r="H12" s="61">
        <f>Control!$B$20*Control!$B$30/F12</f>
        <v/>
      </c>
      <c r="J12" s="326" t="inlineStr">
        <is>
          <t>Avg stay nights / booking</t>
        </is>
      </c>
      <c r="K12" s="64" t="inlineStr">
        <is>
          <t>Historical room-nights ÷ historical bookings</t>
        </is>
      </c>
      <c r="L12" s="64" t="n"/>
      <c r="M12" s="326" t="n"/>
      <c r="N12" s="326" t="n"/>
      <c r="O12" s="326" t="n"/>
      <c r="P12" s="64" t="n"/>
      <c r="Q12" s="326" t="n"/>
      <c r="R12" s="64" t="n"/>
    </row>
    <row r="13">
      <c r="A13" s="324" t="inlineStr">
        <is>
          <t>Remington Villa</t>
        </is>
      </c>
      <c r="B13" s="303" t="inlineStr">
        <is>
          <t>All bookings in file</t>
        </is>
      </c>
      <c r="C13" s="57" t="n">
        <v>160</v>
      </c>
      <c r="D13" s="57" t="n">
        <v>455</v>
      </c>
      <c r="E13" s="57" t="n"/>
      <c r="F13" s="57" t="n">
        <v>2.84375</v>
      </c>
      <c r="G13" s="57" t="n">
        <v>2</v>
      </c>
      <c r="H13" s="61">
        <f>Control!$B$20*Control!$B$34/F13</f>
        <v/>
      </c>
      <c r="J13" s="326" t="inlineStr">
        <is>
          <t>Implied annual bookings</t>
        </is>
      </c>
      <c r="K13" s="64" t="inlineStr">
        <is>
          <t>Current model occupied unit-nights ÷ selected avg stay nights</t>
        </is>
      </c>
      <c r="L13" s="64" t="n"/>
      <c r="M13" s="326" t="n"/>
      <c r="N13" s="326" t="n"/>
      <c r="O13" s="326" t="n"/>
      <c r="P13" s="64" t="n"/>
      <c r="Q13" s="326" t="n"/>
      <c r="R13" s="64" t="n"/>
    </row>
    <row r="14">
      <c r="A14" s="324" t="inlineStr">
        <is>
          <t>Remington Villa</t>
        </is>
      </c>
      <c r="B14" s="303" t="inlineStr">
        <is>
          <t>Realised only through Jun 2026</t>
        </is>
      </c>
      <c r="C14" s="57" t="n">
        <v>133</v>
      </c>
      <c r="D14" s="57" t="n">
        <v>365</v>
      </c>
      <c r="E14" s="57" t="n"/>
      <c r="F14" s="57" t="n">
        <v>2.74436090225564</v>
      </c>
      <c r="G14" s="57" t="n">
        <v>2</v>
      </c>
      <c r="H14" s="61">
        <f>Control!$B$20*Control!$B$34/F14</f>
        <v/>
      </c>
      <c r="J14" s="326" t="inlineStr">
        <is>
          <t>Recommendation</t>
        </is>
      </c>
      <c r="K14" s="64" t="inlineStr">
        <is>
          <t>Use realised-only average duration as the base assumption: ASV 2.3 nights, Remington 2.7 nights. Keep the all-bookings figures as a sense check because forward bookings are incomplete.</t>
        </is>
      </c>
      <c r="L14" s="64" t="n"/>
      <c r="M14" s="326" t="n"/>
      <c r="N14" s="326" t="n"/>
      <c r="O14" s="326" t="n"/>
      <c r="P14" s="64" t="n"/>
      <c r="Q14" s="326" t="n"/>
      <c r="R14" s="64" t="n"/>
    </row>
    <row r="15">
      <c r="A15" s="324" t="n"/>
      <c r="C15" s="57" t="n"/>
      <c r="D15" s="57" t="n"/>
      <c r="E15" s="57" t="n"/>
      <c r="F15" s="57" t="n"/>
      <c r="G15" s="57" t="n"/>
      <c r="H15" s="49" t="n"/>
      <c r="N15" s="324" t="n"/>
      <c r="O15" s="324" t="n"/>
      <c r="Q15" s="324" t="n"/>
    </row>
    <row r="16" ht="14.4" customHeight="1" s="313">
      <c r="A16" s="323" t="inlineStr">
        <is>
          <t>Guest &amp; pricing assumptions</t>
        </is>
      </c>
    </row>
    <row r="17">
      <c r="A17" s="337" t="inlineStr">
        <is>
          <t>Avg guests per occupied unit-night</t>
        </is>
      </c>
      <c r="C17" s="47">
        <f>Control!$B$31</f>
        <v/>
      </c>
      <c r="D17" s="75" t="inlineStr">
        <is>
          <t>Used for guest-nights and meal revenue; separate from booking duration.</t>
        </is>
      </c>
      <c r="E17" s="324" t="n"/>
      <c r="F17" s="324" t="n"/>
      <c r="H17" s="324" t="n"/>
    </row>
    <row r="18">
      <c r="A18" s="337" t="inlineStr">
        <is>
          <t>ASV base ADR incl. 2 guests</t>
        </is>
      </c>
      <c r="C18" s="73">
        <f>Control!$B$28</f>
        <v/>
      </c>
      <c r="D18" s="75" t="inlineStr">
        <is>
          <t>Base nightly rate covers 2 guests. Extra guests above 2 are charged separately.</t>
        </is>
      </c>
    </row>
    <row r="19">
      <c r="A19" s="337" t="inlineStr">
        <is>
          <t>ASV extra guest rate</t>
        </is>
      </c>
      <c r="C19" s="73">
        <f>Control!$B$29</f>
        <v/>
      </c>
      <c r="D19" s="75" t="inlineStr">
        <is>
          <t>Applied to average guests above 2.</t>
        </is>
      </c>
    </row>
    <row r="20">
      <c r="A20" s="337" t="inlineStr">
        <is>
          <t>Remington base ADR incl. 2 guests</t>
        </is>
      </c>
      <c r="C20" s="73">
        <f>Control!$B$32</f>
        <v/>
      </c>
      <c r="D20" s="75" t="inlineStr">
        <is>
          <t>Base nightly rate covers 2 guests. Extra guests above 2 are charged separately.</t>
        </is>
      </c>
    </row>
    <row r="21">
      <c r="A21" s="337" t="inlineStr">
        <is>
          <t>Remington extra guest rate</t>
        </is>
      </c>
      <c r="C21" s="73">
        <f>Control!$B$33</f>
        <v/>
      </c>
      <c r="D21" s="75" t="inlineStr">
        <is>
          <t>Applied to average guests above 2.</t>
        </is>
      </c>
    </row>
    <row r="22"/>
    <row r="23">
      <c r="A23" s="337" t="inlineStr">
        <is>
          <t>Plain-English summary</t>
        </is>
      </c>
      <c r="D23" s="75" t="inlineStr">
        <is>
          <t>Stay duration drives bookings/year; guest count drives accommodation uplift and meal revenue.</t>
        </is>
      </c>
    </row>
    <row r="28" ht="31.8" customHeight="1" s="313"/>
    <row r="29" ht="30" customHeight="1" s="313"/>
  </sheetData>
  <mergeCells count="9">
    <mergeCell ref="A9:G9"/>
    <mergeCell ref="J10:R10"/>
    <mergeCell ref="A2:H2"/>
    <mergeCell ref="A16:H16"/>
    <mergeCell ref="N6:R6"/>
    <mergeCell ref="J2:Q2"/>
    <mergeCell ref="J8:R8"/>
    <mergeCell ref="A1:H1"/>
    <mergeCell ref="N5:R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0" zoomScaleNormal="100" workbookViewId="0">
      <pane ySplit="4" topLeftCell="A5" activePane="bottomLeft" state="frozen"/>
      <selection pane="bottomLeft" activeCell="H6" sqref="H6"/>
    </sheetView>
  </sheetViews>
  <sheetFormatPr baseColWidth="8" defaultColWidth="8.6640625" defaultRowHeight="14.4"/>
  <cols>
    <col width="14.44140625" customWidth="1" style="22" min="1" max="1"/>
    <col width="28.109375" bestFit="1" customWidth="1" style="22" min="2" max="2"/>
    <col width="5.88671875" bestFit="1" customWidth="1" style="22" min="3" max="3"/>
    <col width="9" bestFit="1" customWidth="1" style="22" min="4" max="4"/>
    <col width="9.6640625" bestFit="1" customWidth="1" style="22" min="5" max="5"/>
    <col width="6.88671875" bestFit="1" customWidth="1" style="22" min="6" max="6"/>
    <col width="6.33203125" bestFit="1" customWidth="1" style="22" min="7" max="7"/>
    <col width="9.44140625" bestFit="1" customWidth="1" style="22" min="8" max="8"/>
    <col width="6.33203125" bestFit="1" customWidth="1" style="22" min="9" max="9"/>
    <col width="10.109375" bestFit="1" customWidth="1" style="22" min="10" max="10"/>
    <col width="7.33203125" bestFit="1" customWidth="1" style="22" min="11" max="11"/>
    <col width="9.6640625" bestFit="1" customWidth="1" style="22" min="12" max="12"/>
    <col width="6.6640625" bestFit="1" customWidth="1" style="22" min="13" max="13"/>
    <col width="6.44140625" bestFit="1" customWidth="1" style="22" min="14" max="14"/>
    <col width="9.109375" bestFit="1" customWidth="1" style="22" min="15" max="15"/>
    <col width="12.5546875" bestFit="1" customWidth="1" style="22" min="16" max="16"/>
    <col width="11.5546875" bestFit="1" customWidth="1" style="22" min="17" max="17"/>
    <col width="8.6640625" customWidth="1" style="22" min="18" max="21"/>
    <col width="8.6640625" customWidth="1" style="22" min="22" max="16384"/>
  </cols>
  <sheetData>
    <row r="1" ht="17.4" customHeight="1" s="313">
      <c r="A1" s="21" t="inlineStr">
        <is>
          <t>Tour Profit &amp; Margin — per experience</t>
        </is>
      </c>
    </row>
    <row r="2">
      <c r="A2" s="23" t="inlineStr">
        <is>
          <t>Retail from live site (fixed) · Supplier cost &amp; pax are editable (blue) · Margin and profit are formulas</t>
        </is>
      </c>
    </row>
    <row r="3"/>
    <row r="4" ht="39.6" customFormat="1" customHeight="1" s="26">
      <c r="A4" s="24" t="inlineStr">
        <is>
          <t>#</t>
        </is>
      </c>
      <c r="B4" s="24" t="inlineStr">
        <is>
          <t>Tour</t>
        </is>
      </c>
      <c r="C4" s="25" t="inlineStr">
        <is>
          <t>Retail /pax</t>
        </is>
      </c>
      <c r="D4" s="25" t="inlineStr">
        <is>
          <t>Supplier cost /pax</t>
        </is>
      </c>
      <c r="E4" s="25" t="inlineStr">
        <is>
          <t>Margin pp</t>
        </is>
      </c>
      <c r="F4" s="25" t="inlineStr">
        <is>
          <t>Margin %</t>
        </is>
      </c>
      <c r="G4" s="267" t="inlineStr">
        <is>
          <t>Active units</t>
        </is>
      </c>
      <c r="H4" s="267" t="inlineStr">
        <is>
          <t>Weighted guests / unit-night</t>
        </is>
      </c>
      <c r="I4" s="267" t="inlineStr">
        <is>
          <t>Weighted occ</t>
        </is>
      </c>
      <c r="J4" s="267" t="inlineStr">
        <is>
          <t>Annual guest-night base</t>
        </is>
      </c>
      <c r="K4" s="267" t="inlineStr">
        <is>
          <t>Clients taking Tours</t>
        </is>
      </c>
      <c r="L4" s="267" t="inlineStr">
        <is>
          <t>Dedicated Tour Choice</t>
        </is>
      </c>
      <c r="M4" s="267" t="inlineStr">
        <is>
          <t>Period factor</t>
        </is>
      </c>
      <c r="N4" s="267" t="inlineStr">
        <is>
          <t>Est. pax/yr</t>
        </is>
      </c>
      <c r="O4" s="25" t="inlineStr">
        <is>
          <t>Revenue</t>
        </is>
      </c>
      <c r="P4" s="25" t="inlineStr">
        <is>
          <t>Supplier cost</t>
        </is>
      </c>
      <c r="Q4" s="25" t="inlineStr">
        <is>
          <t>Gross profit</t>
        </is>
      </c>
    </row>
    <row r="5">
      <c r="A5" s="27" t="inlineStr">
        <is>
          <t>SAFARIS</t>
        </is>
      </c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</row>
    <row r="6">
      <c r="A6" s="29" t="n">
        <v>1</v>
      </c>
      <c r="B6" s="30" t="inlineStr">
        <is>
          <t>Full-Day Kruger Safari</t>
        </is>
      </c>
      <c r="C6" s="31" t="n">
        <v>1500</v>
      </c>
      <c r="D6" s="32" t="n">
        <v>950</v>
      </c>
      <c r="E6" s="31">
        <f>C6-D6</f>
        <v/>
      </c>
      <c r="F6" s="33">
        <f>IF(C6=0,0,E6/C6)</f>
        <v/>
      </c>
      <c r="G6" s="34">
        <f>2+IF(AND(Control!$B$5&gt;0,Control!$B$6="Y",1&gt;=Control!$B$39),1,0)</f>
        <v/>
      </c>
      <c r="H6" s="34">
        <f>Control!$B$20*(Control!$B$30*Control!$B$31+Control!$B$34*Control!$B$35+IF(AND(Control!$B$5&gt;0,Control!$B$6="Y",1&gt;=Control!$B$39),Control!$B$37*Control!$B$38,0))/(Control!$B$20*G6*I6)</f>
        <v/>
      </c>
      <c r="I6" s="255">
        <f>(Control!$B$30+Control!$B$34+IF(AND(Control!$B$5&gt;0,Control!$B$6="Y",1&gt;=Control!$B$39),Control!$B$37,0))/(2+IF(AND(Control!$B$5&gt;0,Control!$B$6="Y",1&gt;=Control!$B$39),1,0))</f>
        <v/>
      </c>
      <c r="J6" s="257">
        <f>Control!$B$20*(Control!$B$30*Control!$B$31+Control!$B$34*Control!$B$35+IF(AND(Control!$B$5&gt;0,Control!$B$6="Y",1&gt;=Control!$B$39),Control!$B$37*Control!$B$38,0))</f>
        <v/>
      </c>
      <c r="K6" s="255" t="n">
        <v>0.75</v>
      </c>
      <c r="L6" s="255" t="n">
        <v>0.15</v>
      </c>
      <c r="M6" s="262" t="n">
        <v>1</v>
      </c>
      <c r="N6" s="265">
        <f>J6*K6*L6*M6</f>
        <v/>
      </c>
      <c r="O6" s="31">
        <f>C6*N6</f>
        <v/>
      </c>
      <c r="P6" s="31">
        <f>D6*N6</f>
        <v/>
      </c>
      <c r="Q6" s="35">
        <f>E6*N6</f>
        <v/>
      </c>
    </row>
    <row r="7">
      <c r="A7" s="29" t="n">
        <v>2</v>
      </c>
      <c r="B7" s="30" t="inlineStr">
        <is>
          <t>Half-Day Morning Safari</t>
        </is>
      </c>
      <c r="C7" s="31" t="n">
        <v>1300</v>
      </c>
      <c r="D7" s="32" t="n">
        <v>850</v>
      </c>
      <c r="E7" s="31">
        <f>C7-D7</f>
        <v/>
      </c>
      <c r="F7" s="33">
        <f>IF(C7=0,0,E7/C7)</f>
        <v/>
      </c>
      <c r="G7" s="34">
        <f>2+IF(AND(Control!$B$5&gt;0,Control!$B$6="Y",1&gt;=Control!$B$39),1,0)</f>
        <v/>
      </c>
      <c r="H7" s="34">
        <f>Control!$B$20*(Control!$B$30*Control!$B$31+Control!$B$34*Control!$B$35+IF(AND(Control!$B$5&gt;0,Control!$B$6="Y",1&gt;=Control!$B$39),Control!$B$37*Control!$B$38,0))/(Control!$B$20*G6*I6)</f>
        <v/>
      </c>
      <c r="I7" s="255">
        <f>(Control!$B$30+Control!$B$34+IF(AND(Control!$B$5&gt;0,Control!$B$6="Y",1&gt;=Control!$B$39),Control!$B$37,0))/(2+IF(AND(Control!$B$5&gt;0,Control!$B$6="Y",1&gt;=Control!$B$39),1,0))</f>
        <v/>
      </c>
      <c r="J7" s="257">
        <f>Control!$B$20*(Control!$B$30*Control!$B$31+Control!$B$34*Control!$B$35+IF(AND(Control!$B$5&gt;0,Control!$B$6="Y",1&gt;=Control!$B$39),Control!$B$37*Control!$B$38,0))</f>
        <v/>
      </c>
      <c r="K7" s="255">
        <f>K6</f>
        <v/>
      </c>
      <c r="L7" s="255" t="n">
        <v>0.1</v>
      </c>
      <c r="M7" s="262" t="n">
        <v>1</v>
      </c>
      <c r="N7" s="265">
        <f>J7*K7*L7*M7</f>
        <v/>
      </c>
      <c r="O7" s="31">
        <f>C7*N7</f>
        <v/>
      </c>
      <c r="P7" s="31">
        <f>D7*N7</f>
        <v/>
      </c>
      <c r="Q7" s="35">
        <f>E7*N7</f>
        <v/>
      </c>
      <c r="U7" s="36" t="n"/>
    </row>
    <row r="8">
      <c r="A8" s="29" t="n">
        <v>3</v>
      </c>
      <c r="B8" s="30" t="inlineStr">
        <is>
          <t>Sunset Bush Braai Safari</t>
        </is>
      </c>
      <c r="C8" s="31" t="n">
        <v>2795</v>
      </c>
      <c r="D8" s="32" t="n">
        <v>2129</v>
      </c>
      <c r="E8" s="31">
        <f>C8-D8</f>
        <v/>
      </c>
      <c r="F8" s="33">
        <f>IF(C8=0,0,E8/C8)</f>
        <v/>
      </c>
      <c r="G8" s="34">
        <f>2+IF(AND(Control!$B$5&gt;0,Control!$B$6="Y",1&gt;=Control!$B$39),1,0)</f>
        <v/>
      </c>
      <c r="H8" s="34">
        <f>Control!$B$20*(Control!$B$30*Control!$B$31+Control!$B$34*Control!$B$35+IF(AND(Control!$B$5&gt;0,Control!$B$6="Y",1&gt;=Control!$B$39),Control!$B$37*Control!$B$38,0))/(Control!$B$20*G6*I6)</f>
        <v/>
      </c>
      <c r="I8" s="255">
        <f>(Control!$B$30+Control!$B$34+IF(AND(Control!$B$5&gt;0,Control!$B$6="Y",1&gt;=Control!$B$39),Control!$B$37,0))/(2+IF(AND(Control!$B$5&gt;0,Control!$B$6="Y",1&gt;=Control!$B$39),1,0))</f>
        <v/>
      </c>
      <c r="J8" s="257">
        <f>Control!$B$20*(Control!$B$30*Control!$B$31+Control!$B$34*Control!$B$35+IF(AND(Control!$B$5&gt;0,Control!$B$6="Y",1&gt;=Control!$B$39),Control!$B$37*Control!$B$38,0))</f>
        <v/>
      </c>
      <c r="K8" s="255">
        <f>K7</f>
        <v/>
      </c>
      <c r="L8" s="255" t="n">
        <v>0.15</v>
      </c>
      <c r="M8" s="262" t="n">
        <v>1</v>
      </c>
      <c r="N8" s="265">
        <f>J8*K8*L8*M8</f>
        <v/>
      </c>
      <c r="O8" s="31">
        <f>C8*N8</f>
        <v/>
      </c>
      <c r="P8" s="31">
        <f>D8*N8</f>
        <v/>
      </c>
      <c r="Q8" s="35">
        <f>E8*N8</f>
        <v/>
      </c>
    </row>
    <row r="9">
      <c r="A9" s="29" t="n">
        <v>4</v>
      </c>
      <c r="B9" s="30" t="inlineStr">
        <is>
          <t>CF Moto Sunset Safari</t>
        </is>
      </c>
      <c r="C9" s="31" t="n">
        <v>500</v>
      </c>
      <c r="D9" s="32">
        <f>225+((C9-225)*60%)</f>
        <v/>
      </c>
      <c r="E9" s="31">
        <f>C9-D9</f>
        <v/>
      </c>
      <c r="F9" s="33">
        <f>IF(C9=0,0,E9/C9)</f>
        <v/>
      </c>
      <c r="G9" s="34">
        <f>2+IF(AND(Control!$B$5&gt;0,Control!$B$6="Y",1&gt;=Control!$B$39),1,0)</f>
        <v/>
      </c>
      <c r="H9" s="34">
        <f>Control!$B$20*(Control!$B$30*Control!$B$31+Control!$B$34*Control!$B$35+IF(AND(Control!$B$5&gt;0,Control!$B$6="Y",1&gt;=Control!$B$39),Control!$B$37*Control!$B$38,0))/(Control!$B$20*G6*I6)</f>
        <v/>
      </c>
      <c r="I9" s="255">
        <f>(Control!$B$30+Control!$B$34+IF(AND(Control!$B$5&gt;0,Control!$B$6="Y",1&gt;=Control!$B$39),Control!$B$37,0))/(2+IF(AND(Control!$B$5&gt;0,Control!$B$6="Y",1&gt;=Control!$B$39),1,0))</f>
        <v/>
      </c>
      <c r="J9" s="257">
        <f>Control!$B$20*(Control!$B$30*Control!$B$31+Control!$B$34*Control!$B$35+IF(AND(Control!$B$5&gt;0,Control!$B$6="Y",1&gt;=Control!$B$39),Control!$B$37*Control!$B$38,0))</f>
        <v/>
      </c>
      <c r="K9" s="255">
        <f>K8</f>
        <v/>
      </c>
      <c r="L9" s="260" t="n">
        <v>0.3</v>
      </c>
      <c r="M9" s="262" t="n">
        <v>1</v>
      </c>
      <c r="N9" s="265">
        <f>J9*K9*L9*M9</f>
        <v/>
      </c>
      <c r="O9" s="31">
        <f>C9*N9</f>
        <v/>
      </c>
      <c r="P9" s="31">
        <f>D9*N9</f>
        <v/>
      </c>
      <c r="Q9" s="35">
        <f>E9*N9</f>
        <v/>
      </c>
      <c r="T9" s="36" t="n"/>
    </row>
    <row r="10">
      <c r="A10" s="29" t="n">
        <v>5</v>
      </c>
      <c r="B10" s="30" t="inlineStr">
        <is>
          <t>Thermal Night Drive Safari</t>
        </is>
      </c>
      <c r="C10" s="31" t="n">
        <v>750</v>
      </c>
      <c r="D10" s="32" t="n">
        <v>400</v>
      </c>
      <c r="E10" s="31">
        <f>C10-D10</f>
        <v/>
      </c>
      <c r="F10" s="33">
        <f>IF(C10=0,0,E10/C10)</f>
        <v/>
      </c>
      <c r="G10" s="34">
        <f>2+IF(AND(Control!$B$5&gt;0,Control!$B$6="Y",1&gt;=Control!$B$39),1,0)</f>
        <v/>
      </c>
      <c r="H10" s="34">
        <f>Control!$B$20*(Control!$B$30*Control!$B$31+Control!$B$34*Control!$B$35+IF(AND(Control!$B$5&gt;0,Control!$B$6="Y",1&gt;=Control!$B$39),Control!$B$37*Control!$B$38,0))/(Control!$B$20*G6*I6)</f>
        <v/>
      </c>
      <c r="I10" s="255">
        <f>(Control!$B$30+Control!$B$34+IF(AND(Control!$B$5&gt;0,Control!$B$6="Y",1&gt;=Control!$B$39),Control!$B$37,0))/(2+IF(AND(Control!$B$5&gt;0,Control!$B$6="Y",1&gt;=Control!$B$39),1,0))</f>
        <v/>
      </c>
      <c r="J10" s="257">
        <f>Control!$B$20*(Control!$B$30*Control!$B$31+Control!$B$34*Control!$B$35+IF(AND(Control!$B$5&gt;0,Control!$B$6="Y",1&gt;=Control!$B$39),Control!$B$37*Control!$B$38,0))</f>
        <v/>
      </c>
      <c r="K10" s="255">
        <f>K9</f>
        <v/>
      </c>
      <c r="L10" s="260" t="n">
        <v>0.05</v>
      </c>
      <c r="M10" s="262" t="n">
        <v>1</v>
      </c>
      <c r="N10" s="265">
        <f>J10*K10*L10*M10</f>
        <v/>
      </c>
      <c r="O10" s="31">
        <f>C10*N10</f>
        <v/>
      </c>
      <c r="P10" s="31">
        <f>D10*N10</f>
        <v/>
      </c>
      <c r="Q10" s="35">
        <f>E10*N10</f>
        <v/>
      </c>
    </row>
    <row r="11">
      <c r="A11" s="37" t="n"/>
      <c r="B11" s="38" t="inlineStr">
        <is>
          <t>SAFARIS subtotal</t>
        </is>
      </c>
      <c r="C11" s="37" t="n"/>
      <c r="D11" s="37" t="n"/>
      <c r="E11" s="37" t="n"/>
      <c r="F11" s="39">
        <f>IF(O11=0,0,Q11/O11)</f>
        <v/>
      </c>
      <c r="G11" s="39" t="n"/>
      <c r="H11" s="39" t="n"/>
      <c r="I11" s="39" t="n"/>
      <c r="J11" s="258" t="n"/>
      <c r="K11" s="39" t="n"/>
      <c r="L11" s="40" t="n"/>
      <c r="M11" s="263" t="n"/>
      <c r="N11" s="266" t="n"/>
      <c r="O11" s="41">
        <f>SUM(O6:O10)</f>
        <v/>
      </c>
      <c r="P11" s="41">
        <f>SUM(P6:P10)</f>
        <v/>
      </c>
      <c r="Q11" s="41">
        <f>SUM(Q6:Q10)</f>
        <v/>
      </c>
    </row>
    <row r="12">
      <c r="A12" s="27" t="inlineStr">
        <is>
          <t>DAY TOURS</t>
        </is>
      </c>
      <c r="B12" s="28" t="n"/>
      <c r="C12" s="28" t="n"/>
      <c r="D12" s="28" t="n"/>
      <c r="E12" s="28" t="n"/>
      <c r="F12" s="28" t="n"/>
      <c r="G12" s="28" t="n"/>
      <c r="H12" s="28" t="n"/>
      <c r="I12" s="256" t="n"/>
      <c r="J12" s="259" t="n"/>
      <c r="K12" s="256" t="n"/>
      <c r="L12" s="261" t="n"/>
      <c r="M12" s="264" t="n"/>
      <c r="N12" s="259" t="n"/>
      <c r="O12" s="28" t="n"/>
      <c r="P12" s="28" t="n"/>
      <c r="Q12" s="28" t="n"/>
    </row>
    <row r="13">
      <c r="A13" s="29" t="n">
        <v>6</v>
      </c>
      <c r="B13" s="30" t="inlineStr">
        <is>
          <t>Panorama Day Tour</t>
        </is>
      </c>
      <c r="C13" s="31" t="n">
        <v>3000</v>
      </c>
      <c r="D13" s="32" t="n">
        <v>2300</v>
      </c>
      <c r="E13" s="31">
        <f>C13-D13</f>
        <v/>
      </c>
      <c r="F13" s="33">
        <f>IF(C13=0,0,E13/C13)</f>
        <v/>
      </c>
      <c r="G13" s="34">
        <f>2+IF(AND(Control!$B$5&gt;0,Control!$B$6="Y",1&gt;=Control!$B$39),1,0)</f>
        <v/>
      </c>
      <c r="H13" s="34">
        <f>Control!$B$20*(Control!$B$30*Control!$B$31+Control!$B$34*Control!$B$35+IF(AND(Control!$B$5&gt;0,Control!$B$6="Y",1&gt;=Control!$B$39),Control!$B$37*Control!$B$38,0))/(Control!$B$20*G6*I6)</f>
        <v/>
      </c>
      <c r="I13" s="255">
        <f>(Control!$B$30+Control!$B$34+IF(AND(Control!$B$5&gt;0,Control!$B$6="Y",1&gt;=Control!$B$39),Control!$B$37,0))/(2+IF(AND(Control!$B$5&gt;0,Control!$B$6="Y",1&gt;=Control!$B$39),1,0))</f>
        <v/>
      </c>
      <c r="J13" s="257">
        <f>Control!$B$20*(Control!$B$30*Control!$B$31+Control!$B$34*Control!$B$35+IF(AND(Control!$B$5&gt;0,Control!$B$6="Y",1&gt;=Control!$B$39),Control!$B$37*Control!$B$38,0))</f>
        <v/>
      </c>
      <c r="K13" s="255">
        <f>$K$6</f>
        <v/>
      </c>
      <c r="L13" s="260" t="n">
        <v>0.1</v>
      </c>
      <c r="M13" s="262" t="n">
        <v>1</v>
      </c>
      <c r="N13" s="265">
        <f>J13*K13*L13*M13</f>
        <v/>
      </c>
      <c r="O13" s="31">
        <f>C13*N13</f>
        <v/>
      </c>
      <c r="P13" s="31">
        <f>D13*N13</f>
        <v/>
      </c>
      <c r="Q13" s="35">
        <f>E13*N13</f>
        <v/>
      </c>
    </row>
    <row r="14">
      <c r="A14" s="29" t="n">
        <v>7</v>
      </c>
      <c r="B14" s="30" t="inlineStr">
        <is>
          <t>Eswatini Day Tour</t>
        </is>
      </c>
      <c r="C14" s="31" t="n">
        <v>3000</v>
      </c>
      <c r="D14" s="32" t="n">
        <v>2300</v>
      </c>
      <c r="E14" s="31">
        <f>C14-D14</f>
        <v/>
      </c>
      <c r="F14" s="33">
        <f>IF(C14=0,0,E14/C14)</f>
        <v/>
      </c>
      <c r="G14" s="34">
        <f>2+IF(AND(Control!$B$5&gt;0,Control!$B$6="Y",1&gt;=Control!$B$39),1,0)</f>
        <v/>
      </c>
      <c r="H14" s="34">
        <f>Control!$B$20*(Control!$B$30*Control!$B$31+Control!$B$34*Control!$B$35+IF(AND(Control!$B$5&gt;0,Control!$B$6="Y",1&gt;=Control!$B$39),Control!$B$37*Control!$B$38,0))/(Control!$B$20*G6*I6)</f>
        <v/>
      </c>
      <c r="I14" s="255">
        <f>(Control!$B$30+Control!$B$34+IF(AND(Control!$B$5&gt;0,Control!$B$6="Y",1&gt;=Control!$B$39),Control!$B$37,0))/(2+IF(AND(Control!$B$5&gt;0,Control!$B$6="Y",1&gt;=Control!$B$39),1,0))</f>
        <v/>
      </c>
      <c r="J14" s="257">
        <f>Control!$B$20*(Control!$B$30*Control!$B$31+Control!$B$34*Control!$B$35+IF(AND(Control!$B$5&gt;0,Control!$B$6="Y",1&gt;=Control!$B$39),Control!$B$37*Control!$B$38,0))</f>
        <v/>
      </c>
      <c r="K14" s="255">
        <f>$K$6</f>
        <v/>
      </c>
      <c r="L14" s="260" t="n">
        <v>0</v>
      </c>
      <c r="M14" s="262" t="n">
        <v>1</v>
      </c>
      <c r="N14" s="265">
        <f>J14*K14*L14*M14</f>
        <v/>
      </c>
      <c r="O14" s="31">
        <f>C14*N14</f>
        <v/>
      </c>
      <c r="P14" s="31">
        <f>D14*N14</f>
        <v/>
      </c>
      <c r="Q14" s="35">
        <f>E14*N14</f>
        <v/>
      </c>
    </row>
    <row r="15">
      <c r="A15" s="29" t="n">
        <v>8</v>
      </c>
      <c r="B15" s="30" t="inlineStr">
        <is>
          <t>Maputo Day Tour</t>
        </is>
      </c>
      <c r="C15" s="31" t="n">
        <v>3000</v>
      </c>
      <c r="D15" s="32" t="n">
        <v>2300</v>
      </c>
      <c r="E15" s="31">
        <f>C15-D15</f>
        <v/>
      </c>
      <c r="F15" s="33">
        <f>IF(C15=0,0,E15/C15)</f>
        <v/>
      </c>
      <c r="G15" s="34">
        <f>2+IF(AND(Control!$B$5&gt;0,Control!$B$6="Y",1&gt;=Control!$B$39),1,0)</f>
        <v/>
      </c>
      <c r="H15" s="34">
        <f>Control!$B$20*(Control!$B$30*Control!$B$31+Control!$B$34*Control!$B$35+IF(AND(Control!$B$5&gt;0,Control!$B$6="Y",1&gt;=Control!$B$39),Control!$B$37*Control!$B$38,0))/(Control!$B$20*G6*I6)</f>
        <v/>
      </c>
      <c r="I15" s="255">
        <f>(Control!$B$30+Control!$B$34+IF(AND(Control!$B$5&gt;0,Control!$B$6="Y",1&gt;=Control!$B$39),Control!$B$37,0))/(2+IF(AND(Control!$B$5&gt;0,Control!$B$6="Y",1&gt;=Control!$B$39),1,0))</f>
        <v/>
      </c>
      <c r="J15" s="257">
        <f>Control!$B$20*(Control!$B$30*Control!$B$31+Control!$B$34*Control!$B$35+IF(AND(Control!$B$5&gt;0,Control!$B$6="Y",1&gt;=Control!$B$39),Control!$B$37*Control!$B$38,0))</f>
        <v/>
      </c>
      <c r="K15" s="255">
        <f>$K$6</f>
        <v/>
      </c>
      <c r="L15" s="260" t="n">
        <v>0.05</v>
      </c>
      <c r="M15" s="262" t="n">
        <v>1</v>
      </c>
      <c r="N15" s="265">
        <f>J15*K15*L15*M15</f>
        <v/>
      </c>
      <c r="O15" s="31">
        <f>C15*N15</f>
        <v/>
      </c>
      <c r="P15" s="31">
        <f>D15*N15</f>
        <v/>
      </c>
      <c r="Q15" s="35">
        <f>E15*N15</f>
        <v/>
      </c>
    </row>
    <row r="16">
      <c r="A16" s="29" t="n">
        <v>9</v>
      </c>
      <c r="B16" s="30" t="inlineStr">
        <is>
          <t>Hlane Rhino Day Tour</t>
        </is>
      </c>
      <c r="C16" s="31" t="n">
        <v>3000</v>
      </c>
      <c r="D16" s="32" t="n">
        <v>2300</v>
      </c>
      <c r="E16" s="31">
        <f>C16-D16</f>
        <v/>
      </c>
      <c r="F16" s="33">
        <f>IF(C16=0,0,E16/C16)</f>
        <v/>
      </c>
      <c r="G16" s="34">
        <f>2+IF(AND(Control!$B$5&gt;0,Control!$B$6="Y",1&gt;=Control!$B$39),1,0)</f>
        <v/>
      </c>
      <c r="H16" s="34">
        <f>Control!$B$20*(Control!$B$30*Control!$B$31+Control!$B$34*Control!$B$35+IF(AND(Control!$B$5&gt;0,Control!$B$6="Y",1&gt;=Control!$B$39),Control!$B$37*Control!$B$38,0))/(Control!$B$20*G6*I6)</f>
        <v/>
      </c>
      <c r="I16" s="255">
        <f>(Control!$B$30+Control!$B$34+IF(AND(Control!$B$5&gt;0,Control!$B$6="Y",1&gt;=Control!$B$39),Control!$B$37,0))/(2+IF(AND(Control!$B$5&gt;0,Control!$B$6="Y",1&gt;=Control!$B$39),1,0))</f>
        <v/>
      </c>
      <c r="J16" s="257">
        <f>Control!$B$20*(Control!$B$30*Control!$B$31+Control!$B$34*Control!$B$35+IF(AND(Control!$B$5&gt;0,Control!$B$6="Y",1&gt;=Control!$B$39),Control!$B$37*Control!$B$38,0))</f>
        <v/>
      </c>
      <c r="K16" s="255">
        <f>$K$6</f>
        <v/>
      </c>
      <c r="L16" s="260" t="n">
        <v>0.1</v>
      </c>
      <c r="M16" s="262" t="n">
        <v>1</v>
      </c>
      <c r="N16" s="265">
        <f>J16*K16*L16*M16</f>
        <v/>
      </c>
      <c r="O16" s="31">
        <f>C16*N16</f>
        <v/>
      </c>
      <c r="P16" s="31">
        <f>D16*N16</f>
        <v/>
      </c>
      <c r="Q16" s="35">
        <f>E16*N16</f>
        <v/>
      </c>
    </row>
    <row r="17">
      <c r="A17" s="29" t="n">
        <v>10</v>
      </c>
      <c r="B17" s="30" t="inlineStr">
        <is>
          <t>Chimp Eden &amp; Sudwala Caves</t>
        </is>
      </c>
      <c r="C17" s="31" t="n">
        <v>2500</v>
      </c>
      <c r="D17" s="32" t="n">
        <v>1900</v>
      </c>
      <c r="E17" s="31">
        <f>C17-D17</f>
        <v/>
      </c>
      <c r="F17" s="33">
        <f>IF(C17=0,0,E17/C17)</f>
        <v/>
      </c>
      <c r="G17" s="34">
        <f>2+IF(AND(Control!$B$5&gt;0,Control!$B$6="Y",1&gt;=Control!$B$39),1,0)</f>
        <v/>
      </c>
      <c r="H17" s="34">
        <f>Control!$B$20*(Control!$B$30*Control!$B$31+Control!$B$34*Control!$B$35+IF(AND(Control!$B$5&gt;0,Control!$B$6="Y",1&gt;=Control!$B$39),Control!$B$37*Control!$B$38,0))/(Control!$B$20*G6*I6)</f>
        <v/>
      </c>
      <c r="I17" s="255">
        <f>(Control!$B$30+Control!$B$34+IF(AND(Control!$B$5&gt;0,Control!$B$6="Y",1&gt;=Control!$B$39),Control!$B$37,0))/(2+IF(AND(Control!$B$5&gt;0,Control!$B$6="Y",1&gt;=Control!$B$39),1,0))</f>
        <v/>
      </c>
      <c r="J17" s="257">
        <f>Control!$B$20*(Control!$B$30*Control!$B$31+Control!$B$34*Control!$B$35+IF(AND(Control!$B$5&gt;0,Control!$B$6="Y",1&gt;=Control!$B$39),Control!$B$37*Control!$B$38,0))</f>
        <v/>
      </c>
      <c r="K17" s="255">
        <f>$K$6</f>
        <v/>
      </c>
      <c r="L17" s="260" t="n">
        <v>0.02</v>
      </c>
      <c r="M17" s="262" t="n">
        <v>1</v>
      </c>
      <c r="N17" s="265">
        <f>J17*K17*L17*M17</f>
        <v/>
      </c>
      <c r="O17" s="31">
        <f>C17*N17</f>
        <v/>
      </c>
      <c r="P17" s="31">
        <f>D17*N17</f>
        <v/>
      </c>
      <c r="Q17" s="35">
        <f>E17*N17</f>
        <v/>
      </c>
    </row>
    <row r="18">
      <c r="A18" s="37" t="n"/>
      <c r="B18" s="38" t="inlineStr">
        <is>
          <t>DAY TOURS subtotal</t>
        </is>
      </c>
      <c r="C18" s="37" t="n"/>
      <c r="D18" s="37" t="n"/>
      <c r="E18" s="37" t="n"/>
      <c r="F18" s="39">
        <f>IF(O18=0,0,Q18/O18)</f>
        <v/>
      </c>
      <c r="G18" s="39" t="n"/>
      <c r="H18" s="39" t="n"/>
      <c r="I18" s="39" t="n"/>
      <c r="J18" s="258" t="n"/>
      <c r="K18" s="39" t="n"/>
      <c r="L18" s="40" t="n"/>
      <c r="M18" s="263" t="n"/>
      <c r="N18" s="266" t="n"/>
      <c r="O18" s="41">
        <f>SUM(O13:O17)</f>
        <v/>
      </c>
      <c r="P18" s="41">
        <f>SUM(P13:P17)</f>
        <v/>
      </c>
      <c r="Q18" s="41">
        <f>SUM(Q13:Q17)</f>
        <v/>
      </c>
    </row>
    <row r="19">
      <c r="A19" s="27" t="inlineStr">
        <is>
          <t>RIVER ADVENTURES</t>
        </is>
      </c>
      <c r="B19" s="28" t="n"/>
      <c r="C19" s="28" t="n"/>
      <c r="D19" s="28" t="n"/>
      <c r="E19" s="28" t="n"/>
      <c r="F19" s="28" t="n"/>
      <c r="G19" s="28" t="n"/>
      <c r="H19" s="28" t="n"/>
      <c r="I19" s="256" t="n"/>
      <c r="J19" s="259" t="n"/>
      <c r="K19" s="256" t="n"/>
      <c r="L19" s="261" t="n"/>
      <c r="M19" s="264" t="n"/>
      <c r="N19" s="259" t="n"/>
      <c r="O19" s="28" t="n"/>
      <c r="P19" s="28" t="n"/>
      <c r="Q19" s="28" t="n"/>
    </row>
    <row r="20">
      <c r="A20" s="29" t="n">
        <v>11</v>
      </c>
      <c r="B20" s="30" t="inlineStr">
        <is>
          <t>Komati Tiger Fishing — Half Day</t>
        </is>
      </c>
      <c r="C20" s="31" t="n">
        <v>1150</v>
      </c>
      <c r="D20" s="32" t="n">
        <v>800</v>
      </c>
      <c r="E20" s="31">
        <f>C20-D20</f>
        <v/>
      </c>
      <c r="F20" s="33">
        <f>IF(C20=0,0,E20/C20)</f>
        <v/>
      </c>
      <c r="G20" s="34">
        <f>2+IF(AND(Control!$B$5&gt;0,Control!$B$6="Y",1&gt;=Control!$B$39),1,0)</f>
        <v/>
      </c>
      <c r="H20" s="34">
        <f>Control!$B$20*(Control!$B$30*Control!$B$31+Control!$B$34*Control!$B$35+IF(AND(Control!$B$5&gt;0,Control!$B$6="Y",1&gt;=Control!$B$39),Control!$B$37*Control!$B$38,0))/(Control!$B$20*G6*I6)</f>
        <v/>
      </c>
      <c r="I20" s="255">
        <f>(Control!$B$30+Control!$B$34+IF(AND(Control!$B$5&gt;0,Control!$B$6="Y",1&gt;=Control!$B$39),Control!$B$37,0))/(2+IF(AND(Control!$B$5&gt;0,Control!$B$6="Y",1&gt;=Control!$B$39),1,0))</f>
        <v/>
      </c>
      <c r="J20" s="257">
        <f>Control!$B$20*(Control!$B$30*Control!$B$31+Control!$B$34*Control!$B$35+IF(AND(Control!$B$5&gt;0,Control!$B$6="Y",1&gt;=Control!$B$39),Control!$B$37*Control!$B$38,0))</f>
        <v/>
      </c>
      <c r="K20" s="255">
        <f>$K$6</f>
        <v/>
      </c>
      <c r="L20" s="260" t="n">
        <v>0.05</v>
      </c>
      <c r="M20" s="262" t="n">
        <v>1</v>
      </c>
      <c r="N20" s="265">
        <f>J20*K20*L20*M20</f>
        <v/>
      </c>
      <c r="O20" s="31">
        <f>C20*N20</f>
        <v/>
      </c>
      <c r="P20" s="31">
        <f>D20*N20</f>
        <v/>
      </c>
      <c r="Q20" s="35">
        <f>E20*N20</f>
        <v/>
      </c>
    </row>
    <row r="21">
      <c r="A21" s="29" t="n">
        <v>12</v>
      </c>
      <c r="B21" s="30" t="inlineStr">
        <is>
          <t>Komati Tiger Fishing — Full Day</t>
        </is>
      </c>
      <c r="C21" s="31" t="n">
        <v>1450</v>
      </c>
      <c r="D21" s="32" t="n">
        <v>1000</v>
      </c>
      <c r="E21" s="31">
        <f>C21-D21</f>
        <v/>
      </c>
      <c r="F21" s="33">
        <f>IF(C21=0,0,E21/C21)</f>
        <v/>
      </c>
      <c r="G21" s="34">
        <f>2+IF(AND(Control!$B$5&gt;0,Control!$B$6="Y",1&gt;=Control!$B$39),1,0)</f>
        <v/>
      </c>
      <c r="H21" s="34">
        <f>Control!$B$20*(Control!$B$30*Control!$B$31+Control!$B$34*Control!$B$35+IF(AND(Control!$B$5&gt;0,Control!$B$6="Y",1&gt;=Control!$B$39),Control!$B$37*Control!$B$38,0))/(Control!$B$20*G6*I6)</f>
        <v/>
      </c>
      <c r="I21" s="255">
        <f>(Control!$B$30+Control!$B$34+IF(AND(Control!$B$5&gt;0,Control!$B$6="Y",1&gt;=Control!$B$39),Control!$B$37,0))/(2+IF(AND(Control!$B$5&gt;0,Control!$B$6="Y",1&gt;=Control!$B$39),1,0))</f>
        <v/>
      </c>
      <c r="J21" s="257">
        <f>Control!$B$20*(Control!$B$30*Control!$B$31+Control!$B$34*Control!$B$35+IF(AND(Control!$B$5&gt;0,Control!$B$6="Y",1&gt;=Control!$B$39),Control!$B$37*Control!$B$38,0))</f>
        <v/>
      </c>
      <c r="K21" s="255">
        <f>$K$6</f>
        <v/>
      </c>
      <c r="L21" s="260" t="n">
        <v>0.05</v>
      </c>
      <c r="M21" s="262" t="n">
        <v>1</v>
      </c>
      <c r="N21" s="265">
        <f>J21*K21*L21*M21</f>
        <v/>
      </c>
      <c r="O21" s="31">
        <f>C21*N21</f>
        <v/>
      </c>
      <c r="P21" s="31">
        <f>D21*N21</f>
        <v/>
      </c>
      <c r="Q21" s="35">
        <f>E21*N21</f>
        <v/>
      </c>
    </row>
    <row r="22">
      <c r="A22" s="29" t="n">
        <v>13</v>
      </c>
      <c r="B22" s="30" t="inlineStr">
        <is>
          <t>Komati Sunset Cruise</t>
        </is>
      </c>
      <c r="C22" s="31" t="n">
        <v>995</v>
      </c>
      <c r="D22" s="32" t="n">
        <v>600</v>
      </c>
      <c r="E22" s="31">
        <f>C22-D22</f>
        <v/>
      </c>
      <c r="F22" s="33">
        <f>IF(C22=0,0,E22/C22)</f>
        <v/>
      </c>
      <c r="G22" s="34">
        <f>2+IF(AND(Control!$B$5&gt;0,Control!$B$6="Y",1&gt;=Control!$B$39),1,0)</f>
        <v/>
      </c>
      <c r="H22" s="34">
        <f>Control!$B$20*(Control!$B$30*Control!$B$31+Control!$B$34*Control!$B$35+IF(AND(Control!$B$5&gt;0,Control!$B$6="Y",1&gt;=Control!$B$39),Control!$B$37*Control!$B$38,0))/(Control!$B$20*G6*I6)</f>
        <v/>
      </c>
      <c r="I22" s="255">
        <f>(Control!$B$30+Control!$B$34+IF(AND(Control!$B$5&gt;0,Control!$B$6="Y",1&gt;=Control!$B$39),Control!$B$37,0))/(2+IF(AND(Control!$B$5&gt;0,Control!$B$6="Y",1&gt;=Control!$B$39),1,0))</f>
        <v/>
      </c>
      <c r="J22" s="257">
        <f>Control!$B$20*(Control!$B$30*Control!$B$31+Control!$B$34*Control!$B$35+IF(AND(Control!$B$5&gt;0,Control!$B$6="Y",1&gt;=Control!$B$39),Control!$B$37*Control!$B$38,0))</f>
        <v/>
      </c>
      <c r="K22" s="255">
        <f>$K$6</f>
        <v/>
      </c>
      <c r="L22" s="260" t="n">
        <v>0.1</v>
      </c>
      <c r="M22" s="262" t="n">
        <v>1</v>
      </c>
      <c r="N22" s="265">
        <f>J22*K22*L22*M22</f>
        <v/>
      </c>
      <c r="O22" s="31">
        <f>C22*N22</f>
        <v/>
      </c>
      <c r="P22" s="31">
        <f>D22*N22</f>
        <v/>
      </c>
      <c r="Q22" s="35">
        <f>E22*N22</f>
        <v/>
      </c>
    </row>
    <row r="23">
      <c r="A23" s="37" t="n"/>
      <c r="B23" s="38" t="inlineStr">
        <is>
          <t>RIVER ADVENTURES subtotal</t>
        </is>
      </c>
      <c r="C23" s="37" t="n"/>
      <c r="D23" s="37" t="n"/>
      <c r="E23" s="37" t="n"/>
      <c r="F23" s="39">
        <f>IF(O23=0,0,Q23/O23)</f>
        <v/>
      </c>
      <c r="G23" s="39" t="n"/>
      <c r="H23" s="39" t="n"/>
      <c r="I23" s="39" t="n"/>
      <c r="J23" s="258" t="n"/>
      <c r="K23" s="39" t="n"/>
      <c r="L23" s="40" t="n"/>
      <c r="M23" s="263" t="n"/>
      <c r="N23" s="266" t="n"/>
      <c r="O23" s="41">
        <f>SUM(O20:O22)</f>
        <v/>
      </c>
      <c r="P23" s="41">
        <f>SUM(P20:P22)</f>
        <v/>
      </c>
      <c r="Q23" s="41">
        <f>SUM(Q20:Q22)</f>
        <v/>
      </c>
    </row>
    <row r="24">
      <c r="A24" s="27" t="inlineStr">
        <is>
          <t>TRANSFERS</t>
        </is>
      </c>
      <c r="B24" s="28" t="n"/>
      <c r="C24" s="28" t="n"/>
      <c r="D24" s="28" t="n"/>
      <c r="E24" s="28" t="n"/>
      <c r="F24" s="28" t="n"/>
      <c r="G24" s="28" t="n"/>
      <c r="H24" s="28" t="n"/>
      <c r="I24" s="256" t="n"/>
      <c r="J24" s="259" t="n"/>
      <c r="K24" s="256" t="n"/>
      <c r="L24" s="261" t="n"/>
      <c r="M24" s="264" t="n"/>
      <c r="N24" s="259" t="n"/>
      <c r="O24" s="28" t="n"/>
      <c r="P24" s="28" t="n"/>
      <c r="Q24" s="28" t="n"/>
    </row>
    <row r="25">
      <c r="A25" s="29" t="n">
        <v>14</v>
      </c>
      <c r="B25" s="30" t="inlineStr">
        <is>
          <t>Private Airport Transfer — KMIA</t>
        </is>
      </c>
      <c r="C25" s="31" t="n">
        <v>1700</v>
      </c>
      <c r="D25" s="32" t="n">
        <v>1350</v>
      </c>
      <c r="E25" s="31">
        <f>C25-D25</f>
        <v/>
      </c>
      <c r="F25" s="33">
        <f>IF(C25=0,0,E25/C25)</f>
        <v/>
      </c>
      <c r="G25" s="34">
        <f>2+IF(AND(Control!$B$5&gt;0,Control!$B$6="Y",1&gt;=Control!$B$39),1,0)</f>
        <v/>
      </c>
      <c r="H25" s="34">
        <f>Control!$B$20*(Control!$B$30*Control!$B$31+Control!$B$34*Control!$B$35+IF(AND(Control!$B$5&gt;0,Control!$B$6="Y",1&gt;=Control!$B$39),Control!$B$37*Control!$B$38,0))/(Control!$B$20*G6*I6)</f>
        <v/>
      </c>
      <c r="I25" s="255">
        <f>(Control!$B$30+Control!$B$34+IF(AND(Control!$B$5&gt;0,Control!$B$6="Y",1&gt;=Control!$B$39),Control!$B$37,0))/(2+IF(AND(Control!$B$5&gt;0,Control!$B$6="Y",1&gt;=Control!$B$39),1,0))</f>
        <v/>
      </c>
      <c r="J25" s="257">
        <f>Control!$B$20*(Control!$B$30*Control!$B$31+Control!$B$34*Control!$B$35+IF(AND(Control!$B$5&gt;0,Control!$B$6="Y",1&gt;=Control!$B$39),Control!$B$37*Control!$B$38,0))</f>
        <v/>
      </c>
      <c r="K25" s="255" t="n">
        <v>1</v>
      </c>
      <c r="L25" s="260" t="n">
        <v>0.05</v>
      </c>
      <c r="M25" s="262" t="n">
        <v>1</v>
      </c>
      <c r="N25" s="265">
        <f>J25*K25*L25*M25</f>
        <v/>
      </c>
      <c r="O25" s="31">
        <f>C25*N25</f>
        <v/>
      </c>
      <c r="P25" s="31">
        <f>D25*N25</f>
        <v/>
      </c>
      <c r="Q25" s="35">
        <f>E25*N25</f>
        <v/>
      </c>
    </row>
    <row r="26">
      <c r="A26" s="37" t="n"/>
      <c r="B26" s="38" t="inlineStr">
        <is>
          <t>TRANSFERS subtotal</t>
        </is>
      </c>
      <c r="C26" s="37" t="n"/>
      <c r="D26" s="37" t="n"/>
      <c r="E26" s="37" t="n"/>
      <c r="F26" s="39">
        <f>IF(O26=0,0,Q26/O26)</f>
        <v/>
      </c>
      <c r="G26" s="39" t="n"/>
      <c r="H26" s="39" t="n"/>
      <c r="I26" s="39" t="n"/>
      <c r="J26" s="39" t="n"/>
      <c r="K26" s="39" t="n"/>
      <c r="L26" s="39" t="n"/>
      <c r="M26" s="39" t="n"/>
      <c r="N26" s="37" t="n"/>
      <c r="O26" s="41">
        <f>SUM(O25:O25)</f>
        <v/>
      </c>
      <c r="P26" s="41">
        <f>SUM(P25:P25)</f>
        <v/>
      </c>
      <c r="Q26" s="41">
        <f>SUM(Q25:Q25)</f>
        <v/>
      </c>
    </row>
    <row r="27">
      <c r="A27" s="42" t="n"/>
      <c r="B27" s="43" t="inlineStr">
        <is>
          <t>ALL TOURS — TOTAL</t>
        </is>
      </c>
      <c r="C27" s="42" t="n"/>
      <c r="D27" s="42" t="n"/>
      <c r="E27" s="42" t="n"/>
      <c r="F27" s="44">
        <f>IF(O27=0,0,Q27/O27)</f>
        <v/>
      </c>
      <c r="G27" s="44" t="n"/>
      <c r="H27" s="44" t="n"/>
      <c r="I27" s="44" t="n"/>
      <c r="J27" s="44" t="n"/>
      <c r="K27" s="44" t="n"/>
      <c r="L27" s="44" t="n"/>
      <c r="M27" s="44" t="n"/>
      <c r="N27" s="42" t="n"/>
      <c r="O27" s="45">
        <f>O11+O18+O23+O26</f>
        <v/>
      </c>
      <c r="P27" s="45">
        <f>P11+P18+P23+P26</f>
        <v/>
      </c>
      <c r="Q27" s="45">
        <f>Q11+Q18+Q23+Q26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tabColor rgb="FF70AD47"/>
    <outlinePr summaryBelow="1" summaryRight="1"/>
    <pageSetUpPr/>
  </sheetPr>
  <dimension ref="A1:C17"/>
  <sheetViews>
    <sheetView workbookViewId="0">
      <selection activeCell="B8" sqref="B8"/>
    </sheetView>
  </sheetViews>
  <sheetFormatPr baseColWidth="8" defaultRowHeight="14.4"/>
  <cols>
    <col width="8" customWidth="1" style="303" min="1" max="1"/>
    <col width="54.109375" customWidth="1" style="303" min="2" max="2"/>
    <col width="127.6640625" customWidth="1" style="303" min="3" max="3"/>
    <col width="8.88671875" customWidth="1" style="303" min="4" max="5"/>
    <col width="8.88671875" customWidth="1" style="303" min="6" max="16384"/>
  </cols>
  <sheetData>
    <row r="1" ht="18" customHeight="1" s="313">
      <c r="A1" s="18" t="inlineStr">
        <is>
          <t>CHANGE LOG — v2 vs the RED-FLAGGED v1</t>
        </is>
      </c>
    </row>
    <row r="2"/>
    <row r="3">
      <c r="A3" s="92" t="inlineStr">
        <is>
          <t>Ref</t>
        </is>
      </c>
      <c r="B3" s="92" t="inlineStr">
        <is>
          <t>Prior red flag (v1)</t>
        </is>
      </c>
      <c r="C3" s="92" t="inlineStr">
        <is>
          <t>How v2 fixes / addresses it</t>
        </is>
      </c>
    </row>
    <row r="4" ht="28.8" customHeight="1" s="313">
      <c r="A4" s="20" t="inlineStr">
        <is>
          <t>R1</t>
        </is>
      </c>
      <c r="B4" s="324" t="inlineStr">
        <is>
          <t>African Sky meals overstated ~R402k/yr; driver (821.25) didn't match the P&amp;L (547.5); rate mislabelled.</t>
        </is>
      </c>
      <c r="C4" s="324" t="inlineStr">
        <is>
          <t>Rebuilt from first principles: explicit breakfast (R150/R100) + dinner (R375/R200), 75% of GUEST-NIGHTS take both. Clear 'meal cover' terminology; guest-nights derived from occupied unit-nights × guests.</t>
        </is>
      </c>
    </row>
    <row r="5" ht="28.8" customHeight="1" s="313">
      <c r="A5" s="20" t="inlineStr">
        <is>
          <t>R2</t>
        </is>
      </c>
      <c r="B5" s="78" t="inlineStr">
        <is>
          <t>Independent NAV' was circular — value = 50% cost × 2, so NAV = buy-in by construction.</t>
        </is>
      </c>
      <c r="C5" s="324" t="inlineStr">
        <is>
          <t>Valuation is now genuinely independent: income capitalisation (NOI ÷ market cap rate) for Beachside &amp; Menlyn, comparable/cost for African Sky. NAV is no longer equal to the buy-in.</t>
        </is>
      </c>
    </row>
    <row r="6" ht="28.8" customHeight="1" s="313">
      <c r="A6" s="20" t="inlineStr">
        <is>
          <t>R3</t>
        </is>
      </c>
      <c r="B6" s="324" t="inlineStr">
        <is>
          <t>Valuation multiples inconsistent; Beachside adopted above its CMA.</t>
        </is>
      </c>
      <c r="C6" s="324" t="inlineStr">
        <is>
          <t>Asset-appropriate cap rates; income approach shown vs cost as corroboration. Adopted values are the conservative (cost) figures; income supports more.</t>
        </is>
      </c>
    </row>
    <row r="7" ht="28.8" customHeight="1" s="313">
      <c r="A7" s="20" t="inlineStr">
        <is>
          <t>R4</t>
        </is>
      </c>
      <c r="B7" s="324" t="inlineStr">
        <is>
          <t xml:space="preserve">Zero VAT on ~R4.8m revenue.
</t>
        </is>
      </c>
      <c r="C7" s="324" t="inlineStr">
        <is>
          <t>Explicit VAT toggle + note on the Control sheet; flagged as gated to the accountant (mixed taxable/exempt supply).</t>
        </is>
      </c>
    </row>
    <row r="8">
      <c r="A8" s="20" t="inlineStr">
        <is>
          <t>HEAD</t>
        </is>
      </c>
      <c r="B8" s="78" t="inlineStr">
        <is>
          <t>15% IRR' was mostly return of capital; cash IRR negative to yr5.</t>
        </is>
      </c>
      <c r="C8" s="324" t="inlineStr">
        <is>
          <t>Investor KPIs now separate Cash vs Total IRR/MOIC at 3/5/10/20 yr and show a Cash payback-year cell, so the return profile is explicit.</t>
        </is>
      </c>
    </row>
    <row r="9" ht="28.8" customHeight="1" s="313">
      <c r="A9" s="20" t="inlineStr">
        <is>
          <t>v7.8</t>
        </is>
      </c>
      <c r="B9" s="324" t="inlineStr">
        <is>
          <t>R2 circularity only partly fixed in v777b: Beachside/Menlyn adopted value = buy-in×2, so NAV=buy-in by construction.</t>
        </is>
      </c>
      <c r="C9" s="324" t="inlineStr">
        <is>
          <t>Beachside &amp; Menlyn adopted values switched to independent comparable inputs (Valuation D8/E8); income-capitalised value shown as corroboration. NAV now genuinely differs from buy-in; a real modest entry discount emerges.</t>
        </is>
      </c>
    </row>
    <row r="10" ht="28.8" customHeight="1" s="313">
      <c r="A10" s="20" t="inlineStr">
        <is>
          <t>v7.8</t>
        </is>
      </c>
      <c r="B10" s="324" t="inlineStr">
        <is>
          <t>Occupancy double-definition: Stay Calc reference block used global 75% while the model uses realised 70%/61%.</t>
        </is>
      </c>
      <c r="C10" s="324" t="inlineStr">
        <is>
          <t>Stay Calc cross-check (H11:H14) + note re-based to realised per-villa occupancy. Control!B19 (75%) now unreferenced (legacy).</t>
        </is>
      </c>
    </row>
    <row r="11" ht="28.8" customHeight="1" s="313">
      <c r="A11" s="93" t="inlineStr">
        <is>
          <t>v7.8</t>
        </is>
      </c>
      <c r="B11" s="324" t="inlineStr">
        <is>
          <t>Stale note: Close Summary buy-in cited Control!B9 (empty).</t>
        </is>
      </c>
      <c r="C11" s="324" t="inlineStr">
        <is>
          <t>Corrected to Control!B15.</t>
        </is>
      </c>
    </row>
    <row r="12">
      <c r="A12" t="inlineStr">
        <is>
          <t>v7.9</t>
        </is>
      </c>
      <c r="B12" t="inlineStr">
        <is>
          <t>Strategy/execution layer requested; property optionality via original Control partner-%.</t>
        </is>
      </c>
      <c r="C12" t="inlineStr">
        <is>
          <t>Added STRAT — Control, STRAT 1 — Partner view, STRAT — SB Outcome (internal). All driven by original Control (partner-% at 0% pulls through everywhere). Restored partner-% gating on adopted-value row (Valuation D8/E8). Corrected NAV shown net of existing debt (assumed vs settled); entry is a premium once bonds are counted — pitch reframed to income+growth. Bridge sized to SB R1.8m target.</t>
        </is>
      </c>
    </row>
    <row r="13"/>
    <row r="14">
      <c r="A14" t="inlineStr">
        <is>
          <t>v7.11</t>
        </is>
      </c>
      <c r="B14" t="inlineStr">
        <is>
          <t>Fix: SB net cash double-counted the R1.0m already lent. Add: transfer/deal taxes were missing.</t>
        </is>
      </c>
      <c r="C14" t="inlineStr">
        <is>
          <t>SB net cash = partner NEW cash at close − bonds settled − SB share of deal taxes (R1.0m no longer double-counted; memo shows total incl. prior loan). Added Transfer &amp; Deal Taxes block: SA transfer duty per property (marginal brackets, gated; nil under s42 rollover toggle) + 0.25% STT on shares, borne by NewCo 50/50 and reflected in both parties. All gated to the accountant.</t>
        </is>
      </c>
    </row>
    <row r="15">
      <c r="A15" t="inlineStr">
        <is>
          <t>v7.12</t>
        </is>
      </c>
      <c r="B15" t="inlineStr">
        <is>
          <t>Requested partner-financing comparison sheets.</t>
        </is>
      </c>
      <c r="C15" t="inlineStr">
        <is>
          <t>Added STRAT 2 (partner all-cash — no personal bond) and STRAT 3 (partner full-bond — ~no cash). Both keep NewCo debt-free (Option 1); they only change how the partner funds his own 50%. STRAT 3 models the partner's personal bond (his liability, not NewCo's), showing leveraged cash-on-cash on the small equity committed.</t>
        </is>
      </c>
    </row>
    <row r="16">
      <c r="A16" t="inlineStr">
        <is>
          <t>v7.13</t>
        </is>
      </c>
      <c r="B16" t="inlineStr">
        <is>
          <t>Requested single-view comparison.</t>
        </is>
      </c>
      <c r="C16" t="inlineStr">
        <is>
          <t>Added STRAT — Compare: stacks the mix / all-cash / full-bond partner-financing routes side by side from one consistent engine (reproduces STRAT 2 &amp; STRAT 3 as a cross-check), with cash-on-cash, IRR and MOIC for each.</t>
        </is>
      </c>
    </row>
    <row r="17">
      <c r="A17" t="inlineStr">
        <is>
          <t>v7.15</t>
        </is>
      </c>
      <c r="B17" t="inlineStr">
        <is>
          <t>Toggle disconnect: Distribution allocation % (C5/C7) were separate inputs stuck at 50%, so changing the Offer % (col B) did not move the profit distributions.</t>
        </is>
      </c>
      <c r="C17" t="inlineStr">
        <is>
          <t>Linked C5=B5 and C7=B7 (C8 already =B8). The Partner Offer % (column B) is now the single driver — changing it flows through buy-in, ownership, distributions, returns and both parties everywhere.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4.4"/>
  <cols>
    <col width="46" customWidth="1" style="313" min="1" max="1"/>
    <col width="16" customWidth="1" style="313" min="2" max="2"/>
    <col width="62" customWidth="1" style="313" min="3" max="3"/>
  </cols>
  <sheetData>
    <row r="1" ht="17.4" customHeight="1" s="313">
      <c r="A1" s="276" t="inlineStr">
        <is>
          <t>DEAL STRUCTURE — OPTION 1 (clean equity, bonds settled)</t>
        </is>
      </c>
    </row>
    <row r="2">
      <c r="A2" s="277" t="inlineStr">
        <is>
          <t>Partner pays 50% of full property values; SB settles the bonds; NewCo ends up DEBT-FREE. Driven by original Control partner-% (0% excludes). Yellow = input.</t>
        </is>
      </c>
    </row>
    <row r="3"/>
    <row r="4">
      <c r="A4" s="278" t="inlineStr">
        <is>
          <t>A · EXISTING DEBT (gated on partner %)</t>
        </is>
      </c>
    </row>
    <row r="5">
      <c r="A5" s="279" t="inlineStr">
        <is>
          <t>African Sky bond</t>
        </is>
      </c>
      <c r="B5" s="282" t="n">
        <v>0</v>
      </c>
      <c r="C5" s="329" t="inlineStr">
        <is>
          <t>unencumbered</t>
        </is>
      </c>
    </row>
    <row r="6">
      <c r="A6" s="279" t="inlineStr">
        <is>
          <t>Beachside bond</t>
        </is>
      </c>
      <c r="B6" s="282" t="n">
        <v>2200000</v>
      </c>
      <c r="C6" s="329" t="inlineStr">
        <is>
          <t>confirmed</t>
        </is>
      </c>
    </row>
    <row r="7">
      <c r="A7" s="279" t="inlineStr">
        <is>
          <t>Menlyn bond</t>
        </is>
      </c>
      <c r="B7" s="282" t="n">
        <v>2000000</v>
      </c>
      <c r="C7" s="329" t="inlineStr">
        <is>
          <t>confirmed</t>
        </is>
      </c>
    </row>
    <row r="8">
      <c r="A8" s="279" t="inlineStr">
        <is>
          <t>Existing debt IN the deal (gated)</t>
        </is>
      </c>
      <c r="B8" s="284">
        <f>IF(Control!$B$5&gt;0,B5,0)+IF(Control!$B$7&gt;0,B6,0)+IF(Control!$B$8&gt;0,B7,0)</f>
        <v/>
      </c>
    </row>
    <row r="9"/>
    <row r="10">
      <c r="A10" s="278" t="inlineStr">
        <is>
          <t>B · DEAL ECONOMICS (Option 1)</t>
        </is>
      </c>
    </row>
    <row r="11">
      <c r="A11" s="279" t="inlineStr">
        <is>
          <t>Gross portfolio value (adopted, gated)</t>
        </is>
      </c>
      <c r="B11" s="284">
        <f>Valuation!F9</f>
        <v/>
      </c>
      <c r="C11" s="329" t="inlineStr">
        <is>
          <t>African Sky R6.0m + Beachside R4.0m (+ Menlyn if in)</t>
        </is>
      </c>
    </row>
    <row r="12">
      <c r="A12" s="279" t="inlineStr">
        <is>
          <t>PARTNER BUY-IN = 50% of full values</t>
        </is>
      </c>
      <c r="B12" s="284">
        <f>Valuation!F10</f>
        <v/>
      </c>
      <c r="C12" s="329" t="inlineStr">
        <is>
          <t>the price the partner pays</t>
        </is>
      </c>
    </row>
    <row r="13">
      <c r="A13" s="279" t="inlineStr">
        <is>
          <t>less: partner already lent (credit)</t>
        </is>
      </c>
      <c r="B13" s="282" t="n">
        <v>1000000</v>
      </c>
      <c r="C13" s="329" t="inlineStr">
        <is>
          <t>received by SB earlier; credited against buy-in</t>
        </is>
      </c>
    </row>
    <row r="14">
      <c r="A14" s="279" t="inlineStr">
        <is>
          <t>Partner NEW cash at close</t>
        </is>
      </c>
      <c r="B14" s="284">
        <f>B12-B13</f>
        <v/>
      </c>
      <c r="C14" s="329" t="inlineStr">
        <is>
          <t>what the partner actually brings at close</t>
        </is>
      </c>
    </row>
    <row r="15">
      <c r="A15" s="279" t="inlineStr">
        <is>
          <t>less: bonds settled at close (by SB)</t>
        </is>
      </c>
      <c r="B15" s="285">
        <f>B8</f>
        <v/>
      </c>
    </row>
    <row r="16">
      <c r="A16" s="279" t="inlineStr">
        <is>
          <t>SB NEW cash at close</t>
        </is>
      </c>
      <c r="B16" s="293">
        <f>B14-B15</f>
        <v/>
      </c>
      <c r="C16" s="329" t="inlineStr">
        <is>
          <t>partner new cash − bonds settled (R1.0m not counted again)</t>
        </is>
      </c>
    </row>
    <row r="17">
      <c r="A17" s="279" t="inlineStr">
        <is>
          <t>memo: SB total cash incl. prior R1.0m</t>
        </is>
      </c>
      <c r="B17" s="285">
        <f>B16+B13</f>
        <v/>
      </c>
      <c r="C17" s="329" t="inlineStr">
        <is>
          <t>over the whole deal (R1.0m already received)</t>
        </is>
      </c>
    </row>
    <row r="18">
      <c r="A18" s="279" t="inlineStr">
        <is>
          <t>NewCo debt AFTER close</t>
        </is>
      </c>
      <c r="B18" s="293">
        <f>B8-B15</f>
        <v/>
      </c>
      <c r="C18" s="329" t="inlineStr">
        <is>
          <t>→ 0 · debt-free</t>
        </is>
      </c>
    </row>
    <row r="19">
      <c r="A19" s="279" t="inlineStr">
        <is>
          <t>Partner ownership of NewCo</t>
        </is>
      </c>
      <c r="B19" s="13">
        <f>IFERROR(Valuation!F10/Valuation!F9,0)</f>
        <v/>
      </c>
      <c r="C19" s="329" t="inlineStr">
        <is>
          <t>value-weighted; 50% at base</t>
        </is>
      </c>
    </row>
    <row r="20">
      <c r="A20" s="279" t="inlineStr">
        <is>
          <t>Entry vs value (debt-free)</t>
        </is>
      </c>
      <c r="B20" s="290">
        <f>B12/Valuation!F10-1</f>
        <v/>
      </c>
      <c r="C20" s="329" t="inlineStr">
        <is>
          <t>0% — fair</t>
        </is>
      </c>
    </row>
    <row r="21"/>
    <row r="22">
      <c r="A22" s="278" t="inlineStr">
        <is>
          <t>C · TRANSFER &amp; DEAL TAXES (GATED — accountant)</t>
        </is>
      </c>
    </row>
    <row r="23">
      <c r="A23" s="279" t="inlineStr">
        <is>
          <t>s42 asset-for-share rollover applies? (1=Yes/0=No)</t>
        </is>
      </c>
      <c r="B23" s="280" t="n">
        <v>0</v>
      </c>
      <c r="C23" s="329" t="inlineStr">
        <is>
          <t>if Yes, transfer duty defers to ~nil</t>
        </is>
      </c>
    </row>
    <row r="24">
      <c r="A24" s="279" t="inlineStr">
        <is>
          <t>Transfer duty — African Sky (gated)</t>
        </is>
      </c>
      <c r="B24" s="285">
        <f>IF(Control!$B$5&gt;0,0.03*MAX(0,MIN(Valuation!C9,1663800)-1210000)+0.06*MAX(0,MIN(Valuation!C9,2329300)-1663800)+0.08*MAX(0,MIN(Valuation!C9,2994800)-2329300)+0.11*MAX(0,MIN(Valuation!C9,13310000)-2994800)+0.13*MAX(0,Valuation!C9-13310000),0)</f>
        <v/>
      </c>
    </row>
    <row r="25">
      <c r="A25" s="279" t="inlineStr">
        <is>
          <t>Transfer duty — Beachside (gated)</t>
        </is>
      </c>
      <c r="B25" s="285">
        <f>IF(Control!$B$7&gt;0,0.03*MAX(0,MIN(Valuation!D9,1663800)-1210000)+0.06*MAX(0,MIN(Valuation!D9,2329300)-1663800)+0.08*MAX(0,MIN(Valuation!D9,2994800)-2329300)+0.11*MAX(0,MIN(Valuation!D9,13310000)-2994800)+0.13*MAX(0,Valuation!D9-13310000),0)</f>
        <v/>
      </c>
    </row>
    <row r="26">
      <c r="A26" s="279" t="inlineStr">
        <is>
          <t>Transfer duty — Menlyn (gated)</t>
        </is>
      </c>
      <c r="B26" s="285">
        <f>IF(Control!$B$8&gt;0,0.03*MAX(0,MIN(Valuation!E9,1663800)-1210000)+0.06*MAX(0,MIN(Valuation!E9,2329300)-1663800)+0.08*MAX(0,MIN(Valuation!E9,2994800)-2329300)+0.11*MAX(0,MIN(Valuation!E9,13310000)-2994800)+0.13*MAX(0,Valuation!E9-13310000),0)</f>
        <v/>
      </c>
    </row>
    <row r="27">
      <c r="A27" s="279" t="inlineStr">
        <is>
          <t>Transfer duty payable (nil if rollover)</t>
        </is>
      </c>
      <c r="B27" s="294">
        <f>(B24+B25+B26)*(1-B23)</f>
        <v/>
      </c>
    </row>
    <row r="28">
      <c r="A28" s="279" t="inlineStr">
        <is>
          <t>Securities Transfer Tax on shares (0.25%)</t>
        </is>
      </c>
      <c r="B28" s="285">
        <f>0.0025*B12</f>
        <v/>
      </c>
    </row>
    <row r="29">
      <c r="A29" s="279" t="inlineStr">
        <is>
          <t>TOTAL DEAL TAXES (borne by NewCo, 50/50)</t>
        </is>
      </c>
      <c r="B29" s="284">
        <f>B27+B28</f>
        <v/>
      </c>
    </row>
    <row r="30">
      <c r="A30" s="279" t="inlineStr">
        <is>
          <t>— SB 50% share</t>
        </is>
      </c>
      <c r="B30" s="285">
        <f>B29*(1-B19)</f>
        <v/>
      </c>
    </row>
    <row r="31">
      <c r="A31" s="279" t="inlineStr">
        <is>
          <t>— Partner 50% share</t>
        </is>
      </c>
      <c r="B31" s="285">
        <f>B29*B19</f>
        <v/>
      </c>
    </row>
    <row r="32">
      <c r="A32" s="279" t="inlineStr">
        <is>
          <t>SB net cash AFTER its tax share</t>
        </is>
      </c>
      <c r="B32" s="293">
        <f>B16-B30</f>
        <v/>
      </c>
      <c r="C32" s="329" t="inlineStr">
        <is>
          <t>real cash to SB at close, after tax</t>
        </is>
      </c>
    </row>
    <row r="33">
      <c r="A33" s="279" t="inlineStr">
        <is>
          <t>NOTE</t>
        </is>
      </c>
      <c r="C33" s="329" t="inlineStr">
        <is>
          <t>s42 asset-for-share rollover or a VAT going-concern sale can reduce transfer duty toward nil — confirm with the accountant. STT on shares is unavoidable but tiny.</t>
        </is>
      </c>
    </row>
    <row r="34"/>
    <row r="35">
      <c r="A35" s="278" t="inlineStr">
        <is>
          <t>D · PARTNER RETURN BASIS (no debt)</t>
        </is>
      </c>
    </row>
    <row r="36">
      <c r="A36" s="279" t="inlineStr">
        <is>
          <t>Portfolio NOI (Yr1, gated)</t>
        </is>
      </c>
      <c r="B36" s="285">
        <f>'Portfolio NewCo'!B9</f>
        <v/>
      </c>
    </row>
    <row r="37">
      <c r="A37" s="279" t="inlineStr">
        <is>
          <t>Company tax rate</t>
        </is>
      </c>
      <c r="B37" s="13">
        <f>Control!B23</f>
        <v/>
      </c>
    </row>
    <row r="38">
      <c r="A38" s="279" t="inlineStr">
        <is>
          <t>After-tax distributable (no debt service)</t>
        </is>
      </c>
      <c r="B38" s="285">
        <f>B36*(1-B37)</f>
        <v/>
      </c>
    </row>
    <row r="39">
      <c r="A39" s="279" t="inlineStr">
        <is>
          <t>Partner distribution — Year 1</t>
        </is>
      </c>
      <c r="B39" s="284">
        <f>B38*B19</f>
        <v/>
      </c>
    </row>
    <row r="40">
      <c r="A40" s="279" t="inlineStr">
        <is>
          <t>Partner Year-1 cash yield (on buy-in)</t>
        </is>
      </c>
      <c r="B40" s="290">
        <f>IFERROR(B39/B12,0)</f>
        <v/>
      </c>
    </row>
    <row r="41"/>
    <row r="42">
      <c r="A42" s="278" t="inlineStr">
        <is>
          <t>E · OPTIONAL PRE-CLOSE BRIDGE (timing only)</t>
        </is>
      </c>
    </row>
    <row r="43">
      <c r="A43" s="279" t="inlineStr">
        <is>
          <t>SB cash needed BEFORE close</t>
        </is>
      </c>
      <c r="B43" s="282" t="n">
        <v>1800000</v>
      </c>
    </row>
    <row r="44">
      <c r="A44" s="279" t="inlineStr">
        <is>
          <t>Bridge on African Sky — LTV</t>
        </is>
      </c>
      <c r="B44" s="283" t="n">
        <v>0.5</v>
      </c>
    </row>
    <row r="45">
      <c r="A45" s="279" t="inlineStr">
        <is>
          <t>Bridge max facility (AS, gated)</t>
        </is>
      </c>
      <c r="B45" s="285">
        <f>IF(Control!$B$5&gt;0,Valuation!C9*B44,0)</f>
        <v/>
      </c>
    </row>
    <row r="46">
      <c r="A46" s="279" t="inlineStr">
        <is>
          <t>Bridge origination fee %</t>
        </is>
      </c>
      <c r="B46" s="283" t="n">
        <v>0.02</v>
      </c>
    </row>
    <row r="47">
      <c r="A47" s="279" t="inlineStr">
        <is>
          <t>Bridge monthly rate</t>
        </is>
      </c>
      <c r="B47" s="283" t="n">
        <v>0.025</v>
      </c>
    </row>
    <row r="48">
      <c r="A48" s="279" t="inlineStr">
        <is>
          <t>Bridge holding to close (months)</t>
        </is>
      </c>
      <c r="B48" s="280" t="n">
        <v>3</v>
      </c>
    </row>
    <row r="49">
      <c r="A49" s="279" t="inlineStr">
        <is>
          <t>Bridge draw (sized to need, capped)</t>
        </is>
      </c>
      <c r="B49" s="285">
        <f>MIN(B43/(1-B46),B45)</f>
        <v/>
      </c>
    </row>
    <row r="50">
      <c r="A50" s="279" t="inlineStr">
        <is>
          <t>Net advance to SB now</t>
        </is>
      </c>
      <c r="B50" s="284">
        <f>B49*(1-B46)</f>
        <v/>
      </c>
    </row>
    <row r="51">
      <c r="A51" s="279" t="inlineStr">
        <is>
          <t>Bridge cost (repaid at close from buy-in)</t>
        </is>
      </c>
      <c r="B51" s="285">
        <f>B49*B47*B48+B49*B46</f>
        <v/>
      </c>
    </row>
    <row r="52"/>
    <row r="53">
      <c r="A53" s="278" t="inlineStr">
        <is>
          <t>F · AFRICAN SKY VALUE SENSITIVITY</t>
        </is>
      </c>
    </row>
    <row r="54">
      <c r="A54" s="279" t="inlineStr">
        <is>
          <t>African Sky value — base</t>
        </is>
      </c>
      <c r="B54" s="285">
        <f>Valuation!C9</f>
        <v/>
      </c>
    </row>
    <row r="55">
      <c r="A55" s="279" t="inlineStr">
        <is>
          <t>African Sky value — low (CMA high)</t>
        </is>
      </c>
      <c r="B55" s="282" t="n">
        <v>4800000</v>
      </c>
    </row>
    <row r="56">
      <c r="A56" s="279" t="inlineStr">
        <is>
          <t>Buy-in at AS-low</t>
        </is>
      </c>
      <c r="B56" s="285">
        <f>B12-Control!$B$5*(B54-B55)</f>
        <v/>
      </c>
    </row>
    <row r="57">
      <c r="A57" s="279" t="inlineStr">
        <is>
          <t>Year-1 yield at AS-low</t>
        </is>
      </c>
      <c r="B57" s="13">
        <f>IFERROR(B39/B56,0)</f>
        <v/>
      </c>
    </row>
    <row r="58"/>
    <row r="59">
      <c r="A59" s="278" t="inlineStr">
        <is>
          <t>G · EXIT ASSUMPTIONS</t>
        </is>
      </c>
    </row>
    <row r="60">
      <c r="A60" s="279" t="inlineStr">
        <is>
          <t>NOI escalation p.a.</t>
        </is>
      </c>
      <c r="B60" s="13">
        <f>Control!B17</f>
        <v/>
      </c>
    </row>
    <row r="61">
      <c r="A61" s="279" t="inlineStr">
        <is>
          <t>Property appreciation p.a.</t>
        </is>
      </c>
      <c r="B61" s="13">
        <f>Control!B80</f>
        <v/>
      </c>
    </row>
    <row r="62">
      <c r="A62" s="279" t="inlineStr">
        <is>
          <t>Exit friction %</t>
        </is>
      </c>
      <c r="B62" s="283" t="n">
        <v>0.06</v>
      </c>
    </row>
    <row r="63">
      <c r="A63" s="279" t="inlineStr">
        <is>
          <t>Minority / illiquidity discount %</t>
        </is>
      </c>
      <c r="B63" s="283" t="n">
        <v>0.2</v>
      </c>
    </row>
    <row r="64"/>
    <row r="65">
      <c r="A65" s="279" t="inlineStr">
        <is>
          <t>CHECK — NewCo debt-free after close</t>
        </is>
      </c>
      <c r="B65" s="295">
        <f>B18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4.4"/>
  <cols>
    <col width="42" customWidth="1" style="313" min="1" max="1"/>
    <col width="13" customWidth="1" style="313" min="2" max="11"/>
  </cols>
  <sheetData>
    <row r="1" ht="17.4" customHeight="1" s="313">
      <c r="A1" s="276" t="inlineStr">
        <is>
          <t>YOUR INVESTMENT — AT A GLANCE</t>
        </is>
      </c>
    </row>
    <row r="2">
      <c r="A2" s="277" t="inlineStr">
        <is>
          <t>50% of a debt-free portfolio. Every figure links to the model. Ranges, not promises. Not FAIS advice.</t>
        </is>
      </c>
    </row>
    <row r="3"/>
    <row r="4">
      <c r="A4" s="278" t="inlineStr">
        <is>
          <t>WHAT YOU PUT IN</t>
        </is>
      </c>
    </row>
    <row r="5">
      <c r="A5" s="279" t="inlineStr">
        <is>
          <t>Already advanced (converts to equity)</t>
        </is>
      </c>
      <c r="B5" s="285">
        <f>'STRAT — Control'!B13</f>
        <v/>
      </c>
    </row>
    <row r="6">
      <c r="A6" s="279" t="inlineStr">
        <is>
          <t>Cash % of new capital (you choose)</t>
        </is>
      </c>
      <c r="B6" s="283" t="n">
        <v>0.5</v>
      </c>
      <c r="C6" s="329" t="inlineStr">
        <is>
          <t>balance via your own bond</t>
        </is>
      </c>
    </row>
    <row r="7">
      <c r="A7" s="279" t="inlineStr">
        <is>
          <t>Cash at close</t>
        </is>
      </c>
      <c r="B7" s="285">
        <f>'STRAT — Control'!B14*B6</f>
        <v/>
      </c>
    </row>
    <row r="8">
      <c r="A8" s="279" t="inlineStr">
        <is>
          <t>Personal-bond funded at close</t>
        </is>
      </c>
      <c r="B8" s="285">
        <f>'STRAT — Control'!B14*(1-B6)</f>
        <v/>
      </c>
    </row>
    <row r="9">
      <c r="A9" s="279" t="inlineStr">
        <is>
          <t>Buy-in (= 50% of values)</t>
        </is>
      </c>
      <c r="B9" s="284">
        <f>'STRAT — Control'!B12</f>
        <v/>
      </c>
    </row>
    <row r="10">
      <c r="A10" s="279" t="inlineStr">
        <is>
          <t>Plus your 50% share of deal taxes</t>
        </is>
      </c>
      <c r="B10" s="285">
        <f>'STRAT — Control'!B31</f>
        <v/>
      </c>
      <c r="C10" s="329" t="inlineStr">
        <is>
          <t>transfer duty (if no rollover) + STT</t>
        </is>
      </c>
    </row>
    <row r="11">
      <c r="A11" s="279" t="inlineStr">
        <is>
          <t>TOTAL OUTLAY</t>
        </is>
      </c>
      <c r="B11" s="284">
        <f>B9+B10</f>
        <v/>
      </c>
    </row>
    <row r="12"/>
    <row r="13">
      <c r="A13" s="278" t="inlineStr">
        <is>
          <t>WHAT YOU OWN</t>
        </is>
      </c>
    </row>
    <row r="14">
      <c r="A14" s="279" t="inlineStr">
        <is>
          <t>Ownership of NewCo</t>
        </is>
      </c>
      <c r="B14" s="289">
        <f>'STRAT — Control'!B19</f>
        <v/>
      </c>
    </row>
    <row r="15">
      <c r="A15" s="279" t="inlineStr">
        <is>
          <t>Entry vs asset value</t>
        </is>
      </c>
      <c r="B15" s="290">
        <f>'STRAT — Control'!B20</f>
        <v/>
      </c>
      <c r="C15" s="329" t="inlineStr">
        <is>
          <t>fair — debt-free stake at 50% of value</t>
        </is>
      </c>
    </row>
    <row r="16">
      <c r="A16" s="279" t="inlineStr">
        <is>
          <t>Year-1 cash yield</t>
        </is>
      </c>
      <c r="B16" s="290">
        <f>'STRAT — Control'!B40</f>
        <v/>
      </c>
    </row>
    <row r="17"/>
    <row r="18">
      <c r="A18" s="278" t="inlineStr">
        <is>
          <t>YOUR CASH EACH YEAR (debt-free, after tax)</t>
        </is>
      </c>
    </row>
    <row r="19">
      <c r="A19" t="inlineStr">
        <is>
          <t>Year</t>
        </is>
      </c>
      <c r="B19" s="291" t="n">
        <v>1</v>
      </c>
      <c r="C19" s="291" t="n">
        <v>2</v>
      </c>
      <c r="D19" s="291" t="n">
        <v>3</v>
      </c>
      <c r="E19" s="291" t="n">
        <v>4</v>
      </c>
      <c r="F19" s="291" t="n">
        <v>5</v>
      </c>
      <c r="G19" s="291" t="n">
        <v>6</v>
      </c>
      <c r="H19" s="291" t="n">
        <v>7</v>
      </c>
      <c r="I19" s="291" t="n">
        <v>8</v>
      </c>
      <c r="J19" s="291" t="n">
        <v>9</v>
      </c>
      <c r="K19" s="291" t="n">
        <v>10</v>
      </c>
    </row>
    <row r="20">
      <c r="A20" s="279" t="inlineStr">
        <is>
          <t>Portfolio NOI (escalated)</t>
        </is>
      </c>
      <c r="B20" s="285">
        <f>'Portfolio NewCo'!B9</f>
        <v/>
      </c>
      <c r="C20" s="285">
        <f>'Portfolio NewCo'!C9</f>
        <v/>
      </c>
      <c r="D20" s="285">
        <f>'Portfolio NewCo'!D9</f>
        <v/>
      </c>
      <c r="E20" s="285">
        <f>'Portfolio NewCo'!E9</f>
        <v/>
      </c>
      <c r="F20" s="285">
        <f>'Portfolio NewCo'!F9</f>
        <v/>
      </c>
      <c r="G20" s="285">
        <f>'Portfolio NewCo'!G9</f>
        <v/>
      </c>
      <c r="H20" s="285">
        <f>'Portfolio NewCo'!H9</f>
        <v/>
      </c>
      <c r="I20" s="285">
        <f>'Portfolio NewCo'!I9</f>
        <v/>
      </c>
      <c r="J20" s="285">
        <f>'Portfolio NewCo'!J9</f>
        <v/>
      </c>
      <c r="K20" s="285">
        <f>'Portfolio NewCo'!K9</f>
        <v/>
      </c>
    </row>
    <row r="21">
      <c r="A21" s="279" t="inlineStr">
        <is>
          <t>After-tax distributable</t>
        </is>
      </c>
      <c r="B21" s="285">
        <f>B20*(1-'STRAT — Control'!$B$37)</f>
        <v/>
      </c>
      <c r="C21" s="285">
        <f>C20*(1-'STRAT — Control'!$B$37)</f>
        <v/>
      </c>
      <c r="D21" s="285">
        <f>D20*(1-'STRAT — Control'!$B$37)</f>
        <v/>
      </c>
      <c r="E21" s="285">
        <f>E20*(1-'STRAT — Control'!$B$37)</f>
        <v/>
      </c>
      <c r="F21" s="285">
        <f>F20*(1-'STRAT — Control'!$B$37)</f>
        <v/>
      </c>
      <c r="G21" s="285">
        <f>G20*(1-'STRAT — Control'!$B$37)</f>
        <v/>
      </c>
      <c r="H21" s="285">
        <f>H20*(1-'STRAT — Control'!$B$37)</f>
        <v/>
      </c>
      <c r="I21" s="285">
        <f>I20*(1-'STRAT — Control'!$B$37)</f>
        <v/>
      </c>
      <c r="J21" s="285">
        <f>J20*(1-'STRAT — Control'!$B$37)</f>
        <v/>
      </c>
      <c r="K21" s="285">
        <f>K20*(1-'STRAT — Control'!$B$37)</f>
        <v/>
      </c>
    </row>
    <row r="22">
      <c r="A22" s="279" t="inlineStr">
        <is>
          <t>YOUR distribution</t>
        </is>
      </c>
      <c r="B22" s="285">
        <f>B21*$B$14</f>
        <v/>
      </c>
      <c r="C22" s="285">
        <f>C21*$B$14</f>
        <v/>
      </c>
      <c r="D22" s="285">
        <f>D21*$B$14</f>
        <v/>
      </c>
      <c r="E22" s="285">
        <f>E21*$B$14</f>
        <v/>
      </c>
      <c r="F22" s="285">
        <f>F21*$B$14</f>
        <v/>
      </c>
      <c r="G22" s="285">
        <f>G21*$B$14</f>
        <v/>
      </c>
      <c r="H22" s="285">
        <f>H21*$B$14</f>
        <v/>
      </c>
      <c r="I22" s="285">
        <f>I21*$B$14</f>
        <v/>
      </c>
      <c r="J22" s="285">
        <f>J21*$B$14</f>
        <v/>
      </c>
      <c r="K22" s="285">
        <f>K21*$B$14</f>
        <v/>
      </c>
    </row>
    <row r="23">
      <c r="A23" s="279" t="inlineStr">
        <is>
          <t>Cumulative to you</t>
        </is>
      </c>
      <c r="B23" s="285">
        <f>B22</f>
        <v/>
      </c>
      <c r="C23" s="285">
        <f>B23+C22</f>
        <v/>
      </c>
      <c r="D23" s="285">
        <f>C23+D22</f>
        <v/>
      </c>
      <c r="E23" s="285">
        <f>D23+E22</f>
        <v/>
      </c>
      <c r="F23" s="285">
        <f>E23+F22</f>
        <v/>
      </c>
      <c r="G23" s="285">
        <f>F23+G22</f>
        <v/>
      </c>
      <c r="H23" s="285">
        <f>G23+H22</f>
        <v/>
      </c>
      <c r="I23" s="285">
        <f>H23+I22</f>
        <v/>
      </c>
      <c r="J23" s="285">
        <f>I23+J22</f>
        <v/>
      </c>
      <c r="K23" s="285">
        <f>J23+K22</f>
        <v/>
      </c>
    </row>
    <row r="24"/>
    <row r="25">
      <c r="A25" s="278" t="inlineStr">
        <is>
          <t>YOUR RETURN (ranges, incl. deal taxes)</t>
        </is>
      </c>
    </row>
    <row r="26">
      <c r="A26" s="279" t="inlineStr">
        <is>
          <t>Cash flow (yr0 … yr10)</t>
        </is>
      </c>
      <c r="B26" s="285">
        <f>-B11</f>
        <v/>
      </c>
      <c r="C26" s="285">
        <f>B22</f>
        <v/>
      </c>
      <c r="D26" s="285">
        <f>C22</f>
        <v/>
      </c>
      <c r="E26" s="285">
        <f>D22</f>
        <v/>
      </c>
      <c r="F26" s="285">
        <f>E22</f>
        <v/>
      </c>
      <c r="G26" s="285">
        <f>F22</f>
        <v/>
      </c>
      <c r="H26" s="285">
        <f>G22</f>
        <v/>
      </c>
      <c r="I26" s="285">
        <f>H22</f>
        <v/>
      </c>
      <c r="J26" s="285">
        <f>I22</f>
        <v/>
      </c>
      <c r="K26" s="285">
        <f>J22</f>
        <v/>
      </c>
      <c r="L26" s="285">
        <f>K22</f>
        <v/>
      </c>
    </row>
    <row r="27">
      <c r="A27" s="279" t="inlineStr">
        <is>
          <t>Stake value at exit (yr10, after costs)</t>
        </is>
      </c>
      <c r="B27" s="285">
        <f>IFERROR($B$9*(1+'STRAT — Control'!$B$61)^10*(1-'STRAT — Control'!$B$63)*(1-'STRAT — Control'!$B$62),0)</f>
        <v/>
      </c>
      <c r="C27" s="329" t="inlineStr">
        <is>
          <t>debt-free: grows with property value</t>
        </is>
      </c>
    </row>
    <row r="28">
      <c r="A28" s="279" t="inlineStr">
        <is>
          <t>Total cash flow (yr10 incl. exit)</t>
        </is>
      </c>
      <c r="B28" s="285">
        <f>-B11</f>
        <v/>
      </c>
      <c r="C28" s="285">
        <f>B22</f>
        <v/>
      </c>
      <c r="D28" s="285">
        <f>C22</f>
        <v/>
      </c>
      <c r="E28" s="285">
        <f>D22</f>
        <v/>
      </c>
      <c r="F28" s="285">
        <f>E22</f>
        <v/>
      </c>
      <c r="G28" s="285">
        <f>F22</f>
        <v/>
      </c>
      <c r="H28" s="285">
        <f>G22</f>
        <v/>
      </c>
      <c r="I28" s="285">
        <f>H22</f>
        <v/>
      </c>
      <c r="J28" s="285">
        <f>I22</f>
        <v/>
      </c>
      <c r="K28" s="285">
        <f>J22</f>
        <v/>
      </c>
      <c r="L28" s="285">
        <f>K22+$B$27</f>
        <v/>
      </c>
    </row>
    <row r="29"/>
    <row r="30">
      <c r="A30" s="279" t="inlineStr">
        <is>
          <t>Cash-only IRR (10y)</t>
        </is>
      </c>
      <c r="B30" s="289">
        <f>IFERROR(IRR(B26:L26),0)</f>
        <v/>
      </c>
      <c r="C30" s="329" t="inlineStr">
        <is>
          <t>distributions only</t>
        </is>
      </c>
    </row>
    <row r="31">
      <c r="A31" s="279" t="inlineStr">
        <is>
          <t>Cash MOIC (10y)</t>
        </is>
      </c>
      <c r="B31" s="288">
        <f>IFERROR(K23/B11,0)</f>
        <v/>
      </c>
    </row>
    <row r="32">
      <c r="A32" s="279" t="inlineStr">
        <is>
          <t>Total IRR (10y, incl. exit)</t>
        </is>
      </c>
      <c r="B32" s="290">
        <f>IFERROR(IRR(B28:L28),0)</f>
        <v/>
      </c>
    </row>
    <row r="33">
      <c r="A33" s="279" t="inlineStr">
        <is>
          <t>Total MOIC (10y, incl. exit)</t>
        </is>
      </c>
      <c r="B33" s="287">
        <f>IFERROR((K23+B27)/B11,0)</f>
        <v/>
      </c>
    </row>
    <row r="34"/>
    <row r="35">
      <c r="A35" s="278" t="inlineStr">
        <is>
          <t>In plain terms</t>
        </is>
      </c>
    </row>
    <row r="36" ht="94.95" customHeight="1" s="313">
      <c r="A36" s="324" t="inlineStr">
        <is>
          <t>You pay 50% of the full property values for 50% of NewCo — a debt-free portfolio (SB settles the existing bonds at close). You then receive half of the rental, accommodation and tour income each year after tax, with no debt to service — a Year-1 cash yield shown above, rising with escalation. Your total return adds the growth in your 50% stake at exit and is shown after your half of the one-off transfer/deal taxes. Entry is at fair value, not a premium. All figures are assumptions and ranges. Not financial advice.</t>
        </is>
      </c>
    </row>
  </sheetData>
  <mergeCells count="1">
    <mergeCell ref="A36:K3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4.4"/>
  <cols>
    <col width="40" customWidth="1" style="313" min="1" max="1"/>
    <col width="13" customWidth="1" style="313" min="2" max="11"/>
  </cols>
  <sheetData>
    <row r="1" ht="17.4" customHeight="1" s="313">
      <c r="A1" s="276" t="inlineStr">
        <is>
          <t>STRAT 2 — PARTNER ALL-CASH (no bond for buy-in)</t>
        </is>
      </c>
    </row>
    <row r="2">
      <c r="A2" s="277" t="inlineStr">
        <is>
          <t>Same Option-1 deal (NewCo debt-free); partner funds his 50% entirely with cash. Simplest, lowest risk. Links to STRAT — Control / STRAT 1.</t>
        </is>
      </c>
    </row>
    <row r="3"/>
    <row r="4">
      <c r="A4" s="278" t="inlineStr">
        <is>
          <t>HOW YOU FUND IT</t>
        </is>
      </c>
    </row>
    <row r="5">
      <c r="A5" s="279" t="inlineStr">
        <is>
          <t>Cash invested (all cash)</t>
        </is>
      </c>
      <c r="B5" s="284">
        <f>'STRAT — Control'!B12</f>
        <v/>
      </c>
      <c r="C5" s="329" t="inlineStr">
        <is>
          <t>the full buy-in, paid in cash</t>
        </is>
      </c>
    </row>
    <row r="6">
      <c r="A6" s="279" t="inlineStr">
        <is>
          <t>Personal bond</t>
        </is>
      </c>
      <c r="B6" s="285" t="n">
        <v>0</v>
      </c>
      <c r="C6" s="329" t="inlineStr">
        <is>
          <t>none</t>
        </is>
      </c>
    </row>
    <row r="7">
      <c r="A7" s="279" t="inlineStr">
        <is>
          <t>Ownership of NewCo</t>
        </is>
      </c>
      <c r="B7" s="289">
        <f>'STRAT — Control'!B19</f>
        <v/>
      </c>
    </row>
    <row r="8">
      <c r="A8" s="279" t="inlineStr">
        <is>
          <t>Year-1 cash-on-cash yield</t>
        </is>
      </c>
      <c r="B8" s="290">
        <f>IFERROR('STRAT 1 — Partner view'!B22/B5,0)</f>
        <v/>
      </c>
    </row>
    <row r="9"/>
    <row r="10">
      <c r="A10" s="278" t="inlineStr">
        <is>
          <t>YOUR CASH EACH YEAR (after tax, no debt)</t>
        </is>
      </c>
    </row>
    <row r="11">
      <c r="A11" t="inlineStr">
        <is>
          <t>Year</t>
        </is>
      </c>
      <c r="B11" s="291" t="n">
        <v>1</v>
      </c>
      <c r="C11" s="291" t="n">
        <v>2</v>
      </c>
      <c r="D11" s="291" t="n">
        <v>3</v>
      </c>
      <c r="E11" s="291" t="n">
        <v>4</v>
      </c>
      <c r="F11" s="291" t="n">
        <v>5</v>
      </c>
      <c r="G11" s="291" t="n">
        <v>6</v>
      </c>
      <c r="H11" s="291" t="n">
        <v>7</v>
      </c>
      <c r="I11" s="291" t="n">
        <v>8</v>
      </c>
      <c r="J11" s="291" t="n">
        <v>9</v>
      </c>
      <c r="K11" s="291" t="n">
        <v>10</v>
      </c>
    </row>
    <row r="12">
      <c r="A12" s="279" t="inlineStr">
        <is>
          <t>Your distribution (= net)</t>
        </is>
      </c>
      <c r="B12" s="285">
        <f>'STRAT 1 — Partner view'!B22</f>
        <v/>
      </c>
      <c r="C12" s="285">
        <f>'STRAT 1 — Partner view'!C22</f>
        <v/>
      </c>
      <c r="D12" s="285">
        <f>'STRAT 1 — Partner view'!D22</f>
        <v/>
      </c>
      <c r="E12" s="285">
        <f>'STRAT 1 — Partner view'!E22</f>
        <v/>
      </c>
      <c r="F12" s="285">
        <f>'STRAT 1 — Partner view'!F22</f>
        <v/>
      </c>
      <c r="G12" s="285">
        <f>'STRAT 1 — Partner view'!G22</f>
        <v/>
      </c>
      <c r="H12" s="285">
        <f>'STRAT 1 — Partner view'!H22</f>
        <v/>
      </c>
      <c r="I12" s="285">
        <f>'STRAT 1 — Partner view'!I22</f>
        <v/>
      </c>
      <c r="J12" s="285">
        <f>'STRAT 1 — Partner view'!J22</f>
        <v/>
      </c>
      <c r="K12" s="285">
        <f>'STRAT 1 — Partner view'!K22</f>
        <v/>
      </c>
    </row>
    <row r="13">
      <c r="A13" s="279" t="inlineStr">
        <is>
          <t>Cumulative to you</t>
        </is>
      </c>
      <c r="B13" s="285">
        <f>B12</f>
        <v/>
      </c>
      <c r="C13" s="285">
        <f>B13+C12</f>
        <v/>
      </c>
      <c r="D13" s="285">
        <f>C13+D12</f>
        <v/>
      </c>
      <c r="E13" s="285">
        <f>D13+E12</f>
        <v/>
      </c>
      <c r="F13" s="285">
        <f>E13+F12</f>
        <v/>
      </c>
      <c r="G13" s="285">
        <f>F13+G12</f>
        <v/>
      </c>
      <c r="H13" s="285">
        <f>G13+H12</f>
        <v/>
      </c>
      <c r="I13" s="285">
        <f>H13+I12</f>
        <v/>
      </c>
      <c r="J13" s="285">
        <f>I13+J12</f>
        <v/>
      </c>
      <c r="K13" s="285">
        <f>J13+K12</f>
        <v/>
      </c>
    </row>
    <row r="14"/>
    <row r="15">
      <c r="A15" s="278" t="inlineStr">
        <is>
          <t>YOUR RETURN</t>
        </is>
      </c>
    </row>
    <row r="16">
      <c r="A16" s="279" t="inlineStr">
        <is>
          <t>Cash flow (yr0 … yr10)</t>
        </is>
      </c>
      <c r="B16" s="285">
        <f>-B5</f>
        <v/>
      </c>
      <c r="C16" s="285">
        <f>B12</f>
        <v/>
      </c>
      <c r="D16" s="285">
        <f>C12</f>
        <v/>
      </c>
      <c r="E16" s="285">
        <f>D12</f>
        <v/>
      </c>
      <c r="F16" s="285">
        <f>E12</f>
        <v/>
      </c>
      <c r="G16" s="285">
        <f>F12</f>
        <v/>
      </c>
      <c r="H16" s="285">
        <f>G12</f>
        <v/>
      </c>
      <c r="I16" s="285">
        <f>H12</f>
        <v/>
      </c>
      <c r="J16" s="285">
        <f>I12</f>
        <v/>
      </c>
      <c r="K16" s="285">
        <f>J12</f>
        <v/>
      </c>
      <c r="L16" s="285">
        <f>K12</f>
        <v/>
      </c>
    </row>
    <row r="17">
      <c r="A17" s="279" t="inlineStr">
        <is>
          <t>Stake value at exit (yr10)</t>
        </is>
      </c>
      <c r="B17" s="285">
        <f>'STRAT 1 — Partner view'!B27</f>
        <v/>
      </c>
      <c r="C17" s="329" t="inlineStr">
        <is>
          <t>your 50% stake, grown, after costs</t>
        </is>
      </c>
    </row>
    <row r="18">
      <c r="A18" s="279" t="inlineStr">
        <is>
          <t>Total cash flow (yr10 incl. exit)</t>
        </is>
      </c>
      <c r="B18" s="285">
        <f>-B5</f>
        <v/>
      </c>
      <c r="C18" s="285">
        <f>B12</f>
        <v/>
      </c>
      <c r="D18" s="285">
        <f>C12</f>
        <v/>
      </c>
      <c r="E18" s="285">
        <f>D12</f>
        <v/>
      </c>
      <c r="F18" s="285">
        <f>E12</f>
        <v/>
      </c>
      <c r="G18" s="285">
        <f>F12</f>
        <v/>
      </c>
      <c r="H18" s="285">
        <f>G12</f>
        <v/>
      </c>
      <c r="I18" s="285">
        <f>H12</f>
        <v/>
      </c>
      <c r="J18" s="285">
        <f>I12</f>
        <v/>
      </c>
      <c r="K18" s="285">
        <f>J12</f>
        <v/>
      </c>
      <c r="L18" s="285">
        <f>K12+$B$17</f>
        <v/>
      </c>
    </row>
    <row r="19"/>
    <row r="20">
      <c r="A20" s="279" t="inlineStr">
        <is>
          <t>Cash-only IRR (10y)</t>
        </is>
      </c>
      <c r="B20" s="289">
        <f>IFERROR(IRR(B16:L16),0)</f>
        <v/>
      </c>
    </row>
    <row r="21">
      <c r="A21" s="279" t="inlineStr">
        <is>
          <t>Cash MOIC (10y)</t>
        </is>
      </c>
      <c r="B21" s="288">
        <f>IFERROR(K13/B5,0)</f>
        <v/>
      </c>
    </row>
    <row r="22">
      <c r="A22" s="279" t="inlineStr">
        <is>
          <t>Total IRR (10y, incl. exit)</t>
        </is>
      </c>
      <c r="B22" s="290">
        <f>IFERROR(IRR(B18:L18),0)</f>
        <v/>
      </c>
    </row>
    <row r="23">
      <c r="A23" s="279" t="inlineStr">
        <is>
          <t>Total MOIC (10y, incl. exit)</t>
        </is>
      </c>
      <c r="B23" s="287">
        <f>IFERROR((K13+B17)/B5,0)</f>
        <v/>
      </c>
    </row>
    <row r="24"/>
    <row r="25">
      <c r="A25" s="278" t="inlineStr">
        <is>
          <t>Trade-off</t>
        </is>
      </c>
    </row>
    <row r="26" ht="60" customHeight="1" s="313">
      <c r="A26" s="324" t="inlineStr">
        <is>
          <t>All cash: you tie up the full buy-in but carry no personal debt — the steadiest, lowest-risk version. Your yield is the property yield, and your whole return is yours. Compare with STRAT 3 (fully bonded), which frees your cash but adds a personal bond to service.</t>
        </is>
      </c>
    </row>
  </sheetData>
  <mergeCells count="1">
    <mergeCell ref="A26:K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4.4"/>
  <cols>
    <col width="40" customWidth="1" style="313" min="1" max="1"/>
    <col width="13" customWidth="1" style="313" min="2" max="11"/>
  </cols>
  <sheetData>
    <row r="1" ht="17.4" customHeight="1" s="313">
      <c r="A1" s="276" t="inlineStr">
        <is>
          <t>STRAT 3 — PARTNER FULL-BOND (~no cash for buy-in)</t>
        </is>
      </c>
    </row>
    <row r="2">
      <c r="A2" s="277" t="inlineStr">
        <is>
          <t>Same Option-1 deal (NewCo stays debt-free); partner funds his buy-in with his OWN bond (secured on his assets, not NewCo). Leveraged — higher cash-on-cash, higher risk.</t>
        </is>
      </c>
    </row>
    <row r="3"/>
    <row r="4">
      <c r="A4" s="278" t="inlineStr">
        <is>
          <t>HOW YOU FUND IT</t>
        </is>
      </c>
    </row>
    <row r="5">
      <c r="A5" s="279" t="inlineStr">
        <is>
          <t>Personal bond (you borrow)</t>
        </is>
      </c>
      <c r="B5" s="282">
        <f>'STRAT — Control'!B14</f>
        <v/>
      </c>
      <c r="C5" s="329" t="inlineStr">
        <is>
          <t>default = new cash at close; your own facility</t>
        </is>
      </c>
    </row>
    <row r="6">
      <c r="A6" s="279" t="inlineStr">
        <is>
          <t>Bond rate p.a.</t>
        </is>
      </c>
      <c r="B6" s="283" t="n">
        <v>0.115</v>
      </c>
      <c r="C6" s="329" t="inlineStr">
        <is>
          <t>personal/bank bond</t>
        </is>
      </c>
    </row>
    <row r="7">
      <c r="A7" s="279" t="inlineStr">
        <is>
          <t>Bond term (yrs)</t>
        </is>
      </c>
      <c r="B7" s="280" t="n">
        <v>20</v>
      </c>
    </row>
    <row r="8">
      <c r="A8" s="279" t="inlineStr">
        <is>
          <t>Bond annual service</t>
        </is>
      </c>
      <c r="B8" s="294">
        <f>IFERROR(PMT(B6,B7,-B5),0)</f>
        <v/>
      </c>
    </row>
    <row r="9">
      <c r="A9" s="279" t="inlineStr">
        <is>
          <t>Your equity (cash actually in)</t>
        </is>
      </c>
      <c r="B9" s="284">
        <f>'STRAT — Control'!B12-B5</f>
        <v/>
      </c>
      <c r="C9" s="329" t="inlineStr">
        <is>
          <t>buy-in minus the bonded amount (≈ the R1.0m already advanced)</t>
        </is>
      </c>
    </row>
    <row r="10">
      <c r="A10" s="279" t="inlineStr">
        <is>
          <t>Ownership of NewCo</t>
        </is>
      </c>
      <c r="B10" s="289">
        <f>'STRAT — Control'!B19</f>
        <v/>
      </c>
    </row>
    <row r="11"/>
    <row r="12">
      <c r="A12" s="278" t="inlineStr">
        <is>
          <t>YOUR NET CASH EACH YEAR (after your bond)</t>
        </is>
      </c>
    </row>
    <row r="13">
      <c r="A13" t="inlineStr">
        <is>
          <t>Year</t>
        </is>
      </c>
      <c r="B13" s="291" t="n">
        <v>1</v>
      </c>
      <c r="C13" s="291" t="n">
        <v>2</v>
      </c>
      <c r="D13" s="291" t="n">
        <v>3</v>
      </c>
      <c r="E13" s="291" t="n">
        <v>4</v>
      </c>
      <c r="F13" s="291" t="n">
        <v>5</v>
      </c>
      <c r="G13" s="291" t="n">
        <v>6</v>
      </c>
      <c r="H13" s="291" t="n">
        <v>7</v>
      </c>
      <c r="I13" s="291" t="n">
        <v>8</v>
      </c>
      <c r="J13" s="291" t="n">
        <v>9</v>
      </c>
      <c r="K13" s="291" t="n">
        <v>10</v>
      </c>
    </row>
    <row r="14">
      <c r="A14" s="279" t="inlineStr">
        <is>
          <t>Gross distribution (your 50%)</t>
        </is>
      </c>
      <c r="B14" s="285">
        <f>'STRAT 1 — Partner view'!B22</f>
        <v/>
      </c>
      <c r="C14" s="285">
        <f>'STRAT 1 — Partner view'!C22</f>
        <v/>
      </c>
      <c r="D14" s="285">
        <f>'STRAT 1 — Partner view'!D22</f>
        <v/>
      </c>
      <c r="E14" s="285">
        <f>'STRAT 1 — Partner view'!E22</f>
        <v/>
      </c>
      <c r="F14" s="285">
        <f>'STRAT 1 — Partner view'!F22</f>
        <v/>
      </c>
      <c r="G14" s="285">
        <f>'STRAT 1 — Partner view'!G22</f>
        <v/>
      </c>
      <c r="H14" s="285">
        <f>'STRAT 1 — Partner view'!H22</f>
        <v/>
      </c>
      <c r="I14" s="285">
        <f>'STRAT 1 — Partner view'!I22</f>
        <v/>
      </c>
      <c r="J14" s="285">
        <f>'STRAT 1 — Partner view'!J22</f>
        <v/>
      </c>
      <c r="K14" s="285">
        <f>'STRAT 1 — Partner view'!K22</f>
        <v/>
      </c>
    </row>
    <row r="15">
      <c r="A15" s="279" t="inlineStr">
        <is>
          <t>Bond opening balance</t>
        </is>
      </c>
      <c r="B15" s="285">
        <f>B5</f>
        <v/>
      </c>
      <c r="C15" s="285">
        <f>B15-B17</f>
        <v/>
      </c>
      <c r="D15" s="285">
        <f>C15-C17</f>
        <v/>
      </c>
      <c r="E15" s="285">
        <f>D15-D17</f>
        <v/>
      </c>
      <c r="F15" s="285">
        <f>E15-E17</f>
        <v/>
      </c>
      <c r="G15" s="285">
        <f>F15-F17</f>
        <v/>
      </c>
      <c r="H15" s="285">
        <f>G15-G17</f>
        <v/>
      </c>
      <c r="I15" s="285">
        <f>H15-H17</f>
        <v/>
      </c>
      <c r="J15" s="285">
        <f>I15-I17</f>
        <v/>
      </c>
      <c r="K15" s="285">
        <f>J15-J17</f>
        <v/>
      </c>
    </row>
    <row r="16">
      <c r="A16" s="279" t="inlineStr">
        <is>
          <t>Interest</t>
        </is>
      </c>
      <c r="B16" s="285">
        <f>B15*$B$6</f>
        <v/>
      </c>
      <c r="C16" s="285">
        <f>C15*$B$6</f>
        <v/>
      </c>
      <c r="D16" s="285">
        <f>D15*$B$6</f>
        <v/>
      </c>
      <c r="E16" s="285">
        <f>E15*$B$6</f>
        <v/>
      </c>
      <c r="F16" s="285">
        <f>F15*$B$6</f>
        <v/>
      </c>
      <c r="G16" s="285">
        <f>G15*$B$6</f>
        <v/>
      </c>
      <c r="H16" s="285">
        <f>H15*$B$6</f>
        <v/>
      </c>
      <c r="I16" s="285">
        <f>I15*$B$6</f>
        <v/>
      </c>
      <c r="J16" s="285">
        <f>J15*$B$6</f>
        <v/>
      </c>
      <c r="K16" s="285">
        <f>K15*$B$6</f>
        <v/>
      </c>
    </row>
    <row r="17">
      <c r="A17" s="279" t="inlineStr">
        <is>
          <t>Principal</t>
        </is>
      </c>
      <c r="B17" s="285">
        <f>$B$8-B16</f>
        <v/>
      </c>
      <c r="C17" s="285">
        <f>$B$8-C16</f>
        <v/>
      </c>
      <c r="D17" s="285">
        <f>$B$8-D16</f>
        <v/>
      </c>
      <c r="E17" s="285">
        <f>$B$8-E16</f>
        <v/>
      </c>
      <c r="F17" s="285">
        <f>$B$8-F16</f>
        <v/>
      </c>
      <c r="G17" s="285">
        <f>$B$8-G16</f>
        <v/>
      </c>
      <c r="H17" s="285">
        <f>$B$8-H16</f>
        <v/>
      </c>
      <c r="I17" s="285">
        <f>$B$8-I16</f>
        <v/>
      </c>
      <c r="J17" s="285">
        <f>$B$8-J16</f>
        <v/>
      </c>
      <c r="K17" s="285">
        <f>$B$8-K16</f>
        <v/>
      </c>
    </row>
    <row r="18">
      <c r="A18" s="279" t="inlineStr">
        <is>
          <t>Your bond service</t>
        </is>
      </c>
      <c r="B18" s="285">
        <f>$B$8</f>
        <v/>
      </c>
      <c r="C18" s="285">
        <f>$B$8</f>
        <v/>
      </c>
      <c r="D18" s="285">
        <f>$B$8</f>
        <v/>
      </c>
      <c r="E18" s="285">
        <f>$B$8</f>
        <v/>
      </c>
      <c r="F18" s="285">
        <f>$B$8</f>
        <v/>
      </c>
      <c r="G18" s="285">
        <f>$B$8</f>
        <v/>
      </c>
      <c r="H18" s="285">
        <f>$B$8</f>
        <v/>
      </c>
      <c r="I18" s="285">
        <f>$B$8</f>
        <v/>
      </c>
      <c r="J18" s="285">
        <f>$B$8</f>
        <v/>
      </c>
      <c r="K18" s="285">
        <f>$B$8</f>
        <v/>
      </c>
    </row>
    <row r="19">
      <c r="A19" s="279" t="inlineStr">
        <is>
          <t>NET to you (after bond)</t>
        </is>
      </c>
      <c r="B19" s="285">
        <f>B14-B18</f>
        <v/>
      </c>
      <c r="C19" s="285">
        <f>C14-C18</f>
        <v/>
      </c>
      <c r="D19" s="285">
        <f>D14-D18</f>
        <v/>
      </c>
      <c r="E19" s="285">
        <f>E14-E18</f>
        <v/>
      </c>
      <c r="F19" s="285">
        <f>F14-F18</f>
        <v/>
      </c>
      <c r="G19" s="285">
        <f>G14-G18</f>
        <v/>
      </c>
      <c r="H19" s="285">
        <f>H14-H18</f>
        <v/>
      </c>
      <c r="I19" s="285">
        <f>I14-I18</f>
        <v/>
      </c>
      <c r="J19" s="285">
        <f>J14-J18</f>
        <v/>
      </c>
      <c r="K19" s="285">
        <f>K14-K18</f>
        <v/>
      </c>
    </row>
    <row r="20">
      <c r="A20" s="279" t="inlineStr">
        <is>
          <t>Cumulative net to you</t>
        </is>
      </c>
      <c r="B20" s="285">
        <f>B19</f>
        <v/>
      </c>
      <c r="C20" s="285">
        <f>B20+C19</f>
        <v/>
      </c>
      <c r="D20" s="285">
        <f>C20+D19</f>
        <v/>
      </c>
      <c r="E20" s="285">
        <f>D20+E19</f>
        <v/>
      </c>
      <c r="F20" s="285">
        <f>E20+F19</f>
        <v/>
      </c>
      <c r="G20" s="285">
        <f>F20+G19</f>
        <v/>
      </c>
      <c r="H20" s="285">
        <f>G20+H19</f>
        <v/>
      </c>
      <c r="I20" s="285">
        <f>H20+I19</f>
        <v/>
      </c>
      <c r="J20" s="285">
        <f>I20+J19</f>
        <v/>
      </c>
      <c r="K20" s="285">
        <f>J20+K19</f>
        <v/>
      </c>
    </row>
    <row r="21"/>
    <row r="22">
      <c r="A22" s="278" t="inlineStr">
        <is>
          <t>YOUR RETURN (leveraged)</t>
        </is>
      </c>
    </row>
    <row r="23">
      <c r="A23" s="279" t="inlineStr">
        <is>
          <t>Year-1 cash-on-cash (net ÷ equity)</t>
        </is>
      </c>
      <c r="B23" s="290">
        <f>IFERROR(B19/B9,0)</f>
        <v/>
      </c>
    </row>
    <row r="24">
      <c r="A24" s="279" t="inlineStr">
        <is>
          <t>Cash flow (yr0 … yr10)</t>
        </is>
      </c>
      <c r="B24" s="285">
        <f>-B9</f>
        <v/>
      </c>
      <c r="C24" s="285">
        <f>B19</f>
        <v/>
      </c>
      <c r="D24" s="285">
        <f>C19</f>
        <v/>
      </c>
      <c r="E24" s="285">
        <f>D19</f>
        <v/>
      </c>
      <c r="F24" s="285">
        <f>E19</f>
        <v/>
      </c>
      <c r="G24" s="285">
        <f>F19</f>
        <v/>
      </c>
      <c r="H24" s="285">
        <f>G19</f>
        <v/>
      </c>
      <c r="I24" s="285">
        <f>H19</f>
        <v/>
      </c>
      <c r="J24" s="285">
        <f>I19</f>
        <v/>
      </c>
      <c r="K24" s="285">
        <f>J19</f>
        <v/>
      </c>
      <c r="L24" s="285">
        <f>K19</f>
        <v/>
      </c>
    </row>
    <row r="25">
      <c r="A25" s="279" t="inlineStr">
        <is>
          <t>Remaining bond at exit (yr10)</t>
        </is>
      </c>
      <c r="B25" s="285">
        <f>K15-K17</f>
        <v/>
      </c>
    </row>
    <row r="26">
      <c r="A26" s="279" t="inlineStr">
        <is>
          <t>Stake value at exit, net of bond</t>
        </is>
      </c>
      <c r="B26" s="285">
        <f>'STRAT 1 — Partner view'!B27-B25</f>
        <v/>
      </c>
      <c r="C26" s="329" t="inlineStr">
        <is>
          <t>your 50% stake grown, minus what you still owe</t>
        </is>
      </c>
    </row>
    <row r="27">
      <c r="A27" s="279" t="inlineStr">
        <is>
          <t>Total cash flow (yr10 incl. exit)</t>
        </is>
      </c>
      <c r="B27" s="285">
        <f>-B9</f>
        <v/>
      </c>
      <c r="C27" s="285">
        <f>B19</f>
        <v/>
      </c>
      <c r="D27" s="285">
        <f>C19</f>
        <v/>
      </c>
      <c r="E27" s="285">
        <f>D19</f>
        <v/>
      </c>
      <c r="F27" s="285">
        <f>E19</f>
        <v/>
      </c>
      <c r="G27" s="285">
        <f>F19</f>
        <v/>
      </c>
      <c r="H27" s="285">
        <f>G19</f>
        <v/>
      </c>
      <c r="I27" s="285">
        <f>H19</f>
        <v/>
      </c>
      <c r="J27" s="285">
        <f>I19</f>
        <v/>
      </c>
      <c r="K27" s="285">
        <f>J19</f>
        <v/>
      </c>
      <c r="L27" s="285">
        <f>K19+$B$26</f>
        <v/>
      </c>
    </row>
    <row r="28"/>
    <row r="29">
      <c r="A29" s="279" t="inlineStr">
        <is>
          <t>Cash-only IRR (10y, on equity)</t>
        </is>
      </c>
      <c r="B29" s="289">
        <f>IFERROR(IRR(B24:L24),0)</f>
        <v/>
      </c>
    </row>
    <row r="30">
      <c r="A30" s="279" t="inlineStr">
        <is>
          <t>Cash MOIC (10y, on equity)</t>
        </is>
      </c>
      <c r="B30" s="288">
        <f>IFERROR(K20/B9,0)</f>
        <v/>
      </c>
    </row>
    <row r="31">
      <c r="A31" s="279" t="inlineStr">
        <is>
          <t>Total IRR (10y, incl. exit)</t>
        </is>
      </c>
      <c r="B31" s="290">
        <f>IFERROR(IRR(B27:L27),0)</f>
        <v/>
      </c>
    </row>
    <row r="32">
      <c r="A32" s="279" t="inlineStr">
        <is>
          <t>Total MOIC (10y, incl. exit)</t>
        </is>
      </c>
      <c r="B32" s="287">
        <f>IFERROR((K20+B26)/B9,0)</f>
        <v/>
      </c>
    </row>
    <row r="33"/>
    <row r="34">
      <c r="A34" s="278" t="inlineStr">
        <is>
          <t>Trade-off</t>
        </is>
      </c>
    </row>
    <row r="35"/>
    <row r="36" ht="79.95" customHeight="1" s="313">
      <c r="A36" s="324" t="inlineStr">
        <is>
          <t>Full bond: you put in almost no cash — the property income services your personal bond and still pays you a surplus, so your return on the little equity you commit is high (leveraged). The risks: your bond is a personal liability secured on your own assets, distributions must keep covering the service (occupancy risk bites harder), and your net cash is thinner early on. NewCo itself stays debt-free — this bond is yours alone. Not financial advice.</t>
        </is>
      </c>
    </row>
  </sheetData>
  <mergeCells count="1">
    <mergeCell ref="A36:K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4.4"/>
  <cols>
    <col width="34" customWidth="1" style="313" min="1" max="1"/>
    <col width="13" customWidth="1" style="313" min="2" max="2"/>
    <col width="17" customWidth="1" style="313" min="3" max="5"/>
  </cols>
  <sheetData>
    <row r="1" ht="17.4" customHeight="1" s="313">
      <c r="A1" s="276" t="inlineStr">
        <is>
          <t>STRAT — COMPARE · how the partner funds his 50%</t>
        </is>
      </c>
    </row>
    <row r="2">
      <c r="A2" s="277" t="inlineStr">
        <is>
          <t>Same debt-free Option-1 deal in all three. Only the partner’s own financing changes. Self-contained engine (cross-checks STRAT 2 &amp; 3). Toggles live with Menlyn and values.</t>
        </is>
      </c>
    </row>
    <row r="3"/>
    <row r="4">
      <c r="A4" s="278" t="inlineStr">
        <is>
          <t>Shared inputs</t>
        </is>
      </c>
    </row>
    <row r="5">
      <c r="A5" s="279" t="inlineStr">
        <is>
          <t>Bond rate p.a. (from STRAT 3)</t>
        </is>
      </c>
      <c r="B5" s="13">
        <f>'STRAT 3 — Partner full-bond'!B6</f>
        <v/>
      </c>
    </row>
    <row r="6">
      <c r="A6" s="279" t="inlineStr">
        <is>
          <t>Bond term (yrs)</t>
        </is>
      </c>
      <c r="B6" s="286">
        <f>'STRAT 3 — Partner full-bond'!B7</f>
        <v/>
      </c>
    </row>
    <row r="7">
      <c r="A7" s="279" t="inlineStr">
        <is>
          <t>Partner new cash at close</t>
        </is>
      </c>
      <c r="B7" s="285">
        <f>'STRAT — Control'!B14</f>
        <v/>
      </c>
    </row>
    <row r="8">
      <c r="A8" s="279" t="inlineStr">
        <is>
          <t>Partner buy-in (= 50% of values)</t>
        </is>
      </c>
      <c r="B8" s="285">
        <f>'STRAT — Control'!B12</f>
        <v/>
      </c>
    </row>
    <row r="9">
      <c r="A9" s="279" t="inlineStr">
        <is>
          <t>Gross Yr-1 distribution (50% stake)</t>
        </is>
      </c>
      <c r="B9" s="285">
        <f>'STRAT — Control'!B39</f>
        <v/>
      </c>
    </row>
    <row r="10">
      <c r="A10" s="279" t="inlineStr">
        <is>
          <t>Cumulative gross distributions, 10y</t>
        </is>
      </c>
      <c r="B10" s="285">
        <f>'STRAT 1 — Partner view'!K23</f>
        <v/>
      </c>
    </row>
    <row r="11">
      <c r="A11" s="279" t="inlineStr">
        <is>
          <t>Gross stake value at exit (yr10)</t>
        </is>
      </c>
      <c r="B11" s="285">
        <f>'STRAT 1 — Partner view'!B27</f>
        <v/>
      </c>
    </row>
    <row r="12"/>
    <row r="13" ht="27.6" customHeight="1" s="313">
      <c r="A13" s="278" t="inlineStr">
        <is>
          <t>COMPARISON</t>
        </is>
      </c>
      <c r="C13" s="296" t="inlineStr">
        <is>
          <t>STRAT 1 · Mix (50/50)</t>
        </is>
      </c>
      <c r="D13" s="296" t="inlineStr">
        <is>
          <t>STRAT 2 · All cash</t>
        </is>
      </c>
      <c r="E13" s="296" t="inlineStr">
        <is>
          <t>STRAT 3 · Full bond</t>
        </is>
      </c>
    </row>
    <row r="14">
      <c r="A14" s="279" t="inlineStr">
        <is>
          <t>Bond % of new cash</t>
        </is>
      </c>
      <c r="C14" s="297" t="n">
        <v>0.5</v>
      </c>
      <c r="D14" s="297" t="n">
        <v>0</v>
      </c>
      <c r="E14" s="297" t="n">
        <v>1</v>
      </c>
    </row>
    <row r="15">
      <c r="A15" s="291" t="inlineStr">
        <is>
          <t>Cash / equity you put in</t>
        </is>
      </c>
      <c r="C15" s="284">
        <f>$B$8-C14*$B$7</f>
        <v/>
      </c>
      <c r="D15" s="284">
        <f>$B$8-D14*$B$7</f>
        <v/>
      </c>
      <c r="E15" s="284">
        <f>$B$8-E14*$B$7</f>
        <v/>
      </c>
    </row>
    <row r="16">
      <c r="A16" s="279" t="inlineStr">
        <is>
          <t>Your own personal bond</t>
        </is>
      </c>
      <c r="C16" s="285">
        <f>C14*$B$7</f>
        <v/>
      </c>
      <c r="D16" s="285">
        <f>D14*$B$7</f>
        <v/>
      </c>
      <c r="E16" s="285">
        <f>E14*$B$7</f>
        <v/>
      </c>
    </row>
    <row r="17">
      <c r="A17" s="279" t="inlineStr">
        <is>
          <t>Your bond service (yr1)</t>
        </is>
      </c>
      <c r="C17" s="285">
        <f>IFERROR(PMT($B$5,$B$6,-C16),0)</f>
        <v/>
      </c>
      <c r="D17" s="285">
        <f>IFERROR(PMT($B$5,$B$6,-D16),0)</f>
        <v/>
      </c>
      <c r="E17" s="285">
        <f>IFERROR(PMT($B$5,$B$6,-E16),0)</f>
        <v/>
      </c>
    </row>
    <row r="18">
      <c r="A18" s="279" t="inlineStr">
        <is>
          <t>Gross Yr-1 distribution</t>
        </is>
      </c>
      <c r="C18" s="285">
        <f>$B$9</f>
        <v/>
      </c>
      <c r="D18" s="285">
        <f>$B$9</f>
        <v/>
      </c>
      <c r="E18" s="285">
        <f>$B$9</f>
        <v/>
      </c>
    </row>
    <row r="19">
      <c r="A19" s="291" t="inlineStr">
        <is>
          <t>NET Yr-1 cash to you</t>
        </is>
      </c>
      <c r="C19" s="284">
        <f>C18-C17</f>
        <v/>
      </c>
      <c r="D19" s="284">
        <f>D18-D17</f>
        <v/>
      </c>
      <c r="E19" s="284">
        <f>E18-E17</f>
        <v/>
      </c>
    </row>
    <row r="20">
      <c r="A20" s="291" t="inlineStr">
        <is>
          <t>Yr-1 cash-on-cash</t>
        </is>
      </c>
      <c r="C20" s="290">
        <f>IFERROR(C19/C15,0)</f>
        <v/>
      </c>
      <c r="D20" s="290">
        <f>IFERROR(D19/D15,0)</f>
        <v/>
      </c>
      <c r="E20" s="290">
        <f>IFERROR(E19/E15,0)</f>
        <v/>
      </c>
    </row>
    <row r="21">
      <c r="A21" s="279" t="inlineStr">
        <is>
          <t>Remaining bond at exit</t>
        </is>
      </c>
      <c r="C21" s="285">
        <f>C16*(1+$B$5)^10-C17*((1+$B$5)^10-1)/$B$5</f>
        <v/>
      </c>
      <c r="D21" s="285">
        <f>D16*(1+$B$5)^10-D17*((1+$B$5)^10-1)/$B$5</f>
        <v/>
      </c>
      <c r="E21" s="285">
        <f>E16*(1+$B$5)^10-E17*((1+$B$5)^10-1)/$B$5</f>
        <v/>
      </c>
    </row>
    <row r="22">
      <c r="A22" s="279" t="inlineStr">
        <is>
          <t>Stake value at exit (net of bond)</t>
        </is>
      </c>
      <c r="C22" s="285">
        <f>$B$11-C21</f>
        <v/>
      </c>
      <c r="D22" s="285">
        <f>$B$11-D21</f>
        <v/>
      </c>
      <c r="E22" s="285">
        <f>$B$11-E21</f>
        <v/>
      </c>
    </row>
    <row r="23">
      <c r="A23" s="279" t="inlineStr">
        <is>
          <t>Cash MOIC (10y)</t>
        </is>
      </c>
      <c r="C23" s="288">
        <f>IFERROR(($B$10-10*C17)/C15,0)</f>
        <v/>
      </c>
      <c r="D23" s="288">
        <f>IFERROR(($B$10-10*D17)/D15,0)</f>
        <v/>
      </c>
      <c r="E23" s="288">
        <f>IFERROR(($B$10-10*E17)/E15,0)</f>
        <v/>
      </c>
    </row>
    <row r="24">
      <c r="A24" s="291" t="inlineStr">
        <is>
          <t>Total IRR (10y, incl. exit)</t>
        </is>
      </c>
      <c r="C24" s="290">
        <f>IFERROR(IRR(C27:C37),0)</f>
        <v/>
      </c>
      <c r="D24" s="290">
        <f>IFERROR(IRR(D27:D37),0)</f>
        <v/>
      </c>
      <c r="E24" s="290">
        <f>IFERROR(IRR(E27:E37),0)</f>
        <v/>
      </c>
    </row>
    <row r="25">
      <c r="A25" s="291" t="inlineStr">
        <is>
          <t>Total MOIC (10y, incl. exit)</t>
        </is>
      </c>
      <c r="C25" s="287">
        <f>IFERROR(($B$10-10*C17+C22)/C15,0)</f>
        <v/>
      </c>
      <c r="D25" s="287">
        <f>IFERROR(($B$10-10*D17+D22)/D15,0)</f>
        <v/>
      </c>
      <c r="E25" s="287">
        <f>IFERROR(($B$10-10*E17+E22)/E15,0)</f>
        <v/>
      </c>
    </row>
    <row r="26"/>
    <row r="27">
      <c r="A27" s="329" t="inlineStr">
        <is>
          <t>(cashflow engine — yr0…yr10)</t>
        </is>
      </c>
      <c r="C27" s="285">
        <f>-C15</f>
        <v/>
      </c>
      <c r="D27" s="285">
        <f>-D15</f>
        <v/>
      </c>
      <c r="E27" s="285">
        <f>-E15</f>
        <v/>
      </c>
    </row>
    <row r="28">
      <c r="C28" s="285">
        <f>'STRAT 1 — Partner view'!B22-C$17</f>
        <v/>
      </c>
      <c r="D28" s="285">
        <f>'STRAT 1 — Partner view'!B22-D$17</f>
        <v/>
      </c>
      <c r="E28" s="285">
        <f>'STRAT 1 — Partner view'!B22-E$17</f>
        <v/>
      </c>
    </row>
    <row r="29">
      <c r="C29" s="285">
        <f>'STRAT 1 — Partner view'!C22-C$17</f>
        <v/>
      </c>
      <c r="D29" s="285">
        <f>'STRAT 1 — Partner view'!C22-D$17</f>
        <v/>
      </c>
      <c r="E29" s="285">
        <f>'STRAT 1 — Partner view'!C22-E$17</f>
        <v/>
      </c>
    </row>
    <row r="30">
      <c r="C30" s="285">
        <f>'STRAT 1 — Partner view'!D22-C$17</f>
        <v/>
      </c>
      <c r="D30" s="285">
        <f>'STRAT 1 — Partner view'!D22-D$17</f>
        <v/>
      </c>
      <c r="E30" s="285">
        <f>'STRAT 1 — Partner view'!D22-E$17</f>
        <v/>
      </c>
    </row>
    <row r="31">
      <c r="C31" s="285">
        <f>'STRAT 1 — Partner view'!E22-C$17</f>
        <v/>
      </c>
      <c r="D31" s="285">
        <f>'STRAT 1 — Partner view'!E22-D$17</f>
        <v/>
      </c>
      <c r="E31" s="285">
        <f>'STRAT 1 — Partner view'!E22-E$17</f>
        <v/>
      </c>
    </row>
    <row r="32">
      <c r="C32" s="285">
        <f>'STRAT 1 — Partner view'!F22-C$17</f>
        <v/>
      </c>
      <c r="D32" s="285">
        <f>'STRAT 1 — Partner view'!F22-D$17</f>
        <v/>
      </c>
      <c r="E32" s="285">
        <f>'STRAT 1 — Partner view'!F22-E$17</f>
        <v/>
      </c>
    </row>
    <row r="33">
      <c r="C33" s="285">
        <f>'STRAT 1 — Partner view'!G22-C$17</f>
        <v/>
      </c>
      <c r="D33" s="285">
        <f>'STRAT 1 — Partner view'!G22-D$17</f>
        <v/>
      </c>
      <c r="E33" s="285">
        <f>'STRAT 1 — Partner view'!G22-E$17</f>
        <v/>
      </c>
    </row>
    <row r="34">
      <c r="C34" s="285">
        <f>'STRAT 1 — Partner view'!H22-C$17</f>
        <v/>
      </c>
      <c r="D34" s="285">
        <f>'STRAT 1 — Partner view'!H22-D$17</f>
        <v/>
      </c>
      <c r="E34" s="285">
        <f>'STRAT 1 — Partner view'!H22-E$17</f>
        <v/>
      </c>
    </row>
    <row r="35">
      <c r="C35" s="285">
        <f>'STRAT 1 — Partner view'!I22-C$17</f>
        <v/>
      </c>
      <c r="D35" s="285">
        <f>'STRAT 1 — Partner view'!I22-D$17</f>
        <v/>
      </c>
      <c r="E35" s="285">
        <f>'STRAT 1 — Partner view'!I22-E$17</f>
        <v/>
      </c>
    </row>
    <row r="36">
      <c r="C36" s="285">
        <f>'STRAT 1 — Partner view'!J22-C$17</f>
        <v/>
      </c>
      <c r="D36" s="285">
        <f>'STRAT 1 — Partner view'!J22-D$17</f>
        <v/>
      </c>
      <c r="E36" s="285">
        <f>'STRAT 1 — Partner view'!J22-E$17</f>
        <v/>
      </c>
    </row>
    <row r="37">
      <c r="C37" s="285">
        <f>'STRAT 1 — Partner view'!K22-C$17+C$22</f>
        <v/>
      </c>
      <c r="D37" s="285">
        <f>'STRAT 1 — Partner view'!K22-D$17+D$22</f>
        <v/>
      </c>
      <c r="E37" s="285">
        <f>'STRAT 1 — Partner view'!K22-E$17+E$22</f>
        <v/>
      </c>
    </row>
    <row r="38"/>
    <row r="39">
      <c r="A39" s="278" t="inlineStr">
        <is>
          <t>How to read</t>
        </is>
      </c>
    </row>
    <row r="40" ht="94.95" customHeight="1" s="313">
      <c r="A40" s="324" t="inlineStr">
        <is>
          <t>All three own the same 50% of the same debt-free portfolio, so SB’s outcome is identical in every column. Moving left→right, the partner swaps cash for his own bond: he commits less equity, services a personal bond, and his return on that smaller equity rises (leverage) — at higher risk. STRAT 2 (all cash) is the steady base; STRAT 3 (full bond) is the aggressive end; STRAT 1 is the middle. The bond is the partner’s own liability — NewCo stays debt-free. Ranges, not promises. Not financial advice.</t>
        </is>
      </c>
    </row>
  </sheetData>
  <mergeCells count="1">
    <mergeCell ref="A40:E4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:G1"/>
    </sheetView>
  </sheetViews>
  <sheetFormatPr baseColWidth="8" defaultRowHeight="14.4"/>
  <cols>
    <col width="33.33203125" customWidth="1" style="313" min="1" max="1"/>
    <col width="22.21875" customWidth="1" style="313" min="2" max="4"/>
  </cols>
  <sheetData>
    <row r="1" ht="18" customHeight="1" s="313">
      <c r="A1" s="338" t="inlineStr">
        <is>
          <t>ASKY Stay Calc Cross-Check against ASKY Bookings Raw Data</t>
        </is>
      </c>
    </row>
    <row r="2">
      <c r="A2" s="339" t="inlineStr">
        <is>
          <t>Verifying booking counts and room-nights from source data</t>
        </is>
      </c>
    </row>
    <row r="3"/>
    <row r="4">
      <c r="A4" s="345" t="inlineStr">
        <is>
          <t>ASKY Stay Calc — Stated Values (C5:D6)</t>
        </is>
      </c>
    </row>
    <row r="5">
      <c r="A5" s="337" t="inlineStr">
        <is>
          <t>Unit</t>
        </is>
      </c>
      <c r="B5" s="337" t="inlineStr">
        <is>
          <t>Bookings</t>
        </is>
      </c>
      <c r="C5" s="337" t="inlineStr">
        <is>
          <t>Room-nights</t>
        </is>
      </c>
      <c r="D5" s="337" t="inlineStr">
        <is>
          <t>Scope</t>
        </is>
      </c>
    </row>
    <row r="6">
      <c r="A6" t="inlineStr">
        <is>
          <t>African Sky Villa (ASV)</t>
        </is>
      </c>
      <c r="B6">
        <f>'ASKY Stay Calc'!C5</f>
        <v/>
      </c>
      <c r="C6">
        <f>'ASKY Stay Calc'!D5</f>
        <v/>
      </c>
      <c r="D6">
        <f>'ASKY Stay Calc'!B5</f>
        <v/>
      </c>
    </row>
    <row r="7">
      <c r="A7" t="inlineStr">
        <is>
          <t>Remington Villa</t>
        </is>
      </c>
      <c r="B7">
        <f>'ASKY Stay Calc'!C6</f>
        <v/>
      </c>
      <c r="C7">
        <f>'ASKY Stay Calc'!D6</f>
        <v/>
      </c>
      <c r="D7">
        <f>'ASKY Stay Calc'!B6</f>
        <v/>
      </c>
    </row>
    <row r="8"/>
    <row r="9">
      <c r="A9" s="345" t="inlineStr">
        <is>
          <t>ASKY Bookings — Calculated from Raw Data</t>
        </is>
      </c>
    </row>
    <row r="10">
      <c r="A10" s="337" t="inlineStr">
        <is>
          <t>Unit</t>
        </is>
      </c>
      <c r="B10" s="337" t="inlineStr">
        <is>
          <t>Bookings</t>
        </is>
      </c>
      <c r="C10" s="337" t="inlineStr">
        <is>
          <t>Room-nights</t>
        </is>
      </c>
      <c r="D10" s="337" t="inlineStr">
        <is>
          <t>Cutoff Date</t>
        </is>
      </c>
    </row>
    <row r="11">
      <c r="A11" t="inlineStr">
        <is>
          <t>African Sky Villa (ASV)</t>
        </is>
      </c>
      <c r="B11">
        <f>COUNTIFS('ASKY Bookings'!C:C,"*Sky*",'ASKY Bookings'!A:A,"&lt;="&amp;46204)</f>
        <v/>
      </c>
      <c r="C11">
        <f>SUMIFS('ASKY Bookings'!E:E,'ASKY Bookings'!C:C,"*Sky*",'ASKY Bookings'!A:A,"&lt;="&amp;46204)</f>
        <v/>
      </c>
      <c r="D11">
        <f>TEXT(46204,"YYYY-MM-DD")</f>
        <v/>
      </c>
    </row>
    <row r="12">
      <c r="A12" t="inlineStr">
        <is>
          <t>Remington Villa</t>
        </is>
      </c>
      <c r="B12">
        <f>COUNTIFS('ASKY Bookings'!C:C,"*Remington*",'ASKY Bookings'!A:A,"&lt;="&amp;46204)</f>
        <v/>
      </c>
      <c r="C12">
        <f>SUMIFS('ASKY Bookings'!E:E,'ASKY Bookings'!C:C,"*Remington*",'ASKY Bookings'!A:A,"&lt;="&amp;46204)</f>
        <v/>
      </c>
      <c r="D12">
        <f>D11</f>
        <v/>
      </c>
    </row>
    <row r="13"/>
    <row r="14">
      <c r="A14" s="349" t="inlineStr">
        <is>
          <t>Variance Analysis (Stated − Calculated)</t>
        </is>
      </c>
    </row>
    <row r="15">
      <c r="A15" s="337" t="inlineStr">
        <is>
          <t>Unit</t>
        </is>
      </c>
      <c r="B15" s="337" t="inlineStr">
        <is>
          <t>Bookings Δ</t>
        </is>
      </c>
      <c r="C15" s="337" t="inlineStr">
        <is>
          <t>Room-nights Δ</t>
        </is>
      </c>
      <c r="D15" s="337" t="inlineStr">
        <is>
          <t>Status</t>
        </is>
      </c>
    </row>
    <row r="16">
      <c r="A16" t="inlineStr">
        <is>
          <t>African Sky Villa (ASV)</t>
        </is>
      </c>
      <c r="B16">
        <f>B6-B11</f>
        <v/>
      </c>
      <c r="C16">
        <f>C6-C11</f>
        <v/>
      </c>
      <c r="D16">
        <f>IF(AND(B16=0,C16=0),"✓ Match","⚠ Variance")</f>
        <v/>
      </c>
    </row>
    <row r="17">
      <c r="A17" t="inlineStr">
        <is>
          <t>Remington Villa</t>
        </is>
      </c>
      <c r="B17">
        <f>B7-B12</f>
        <v/>
      </c>
      <c r="C17">
        <f>C7-C12</f>
        <v/>
      </c>
      <c r="D17">
        <f>IF(AND(B17=0,C17=0),"✓ Match","⚠ Variance")</f>
        <v/>
      </c>
    </row>
    <row r="18"/>
    <row r="19">
      <c r="A19" s="345" t="inlineStr">
        <is>
          <t>All Bookings Cross-Check (ASKY Stay Calc rows 11-14)</t>
        </is>
      </c>
    </row>
    <row r="20">
      <c r="A20" s="337" t="inlineStr">
        <is>
          <t>Unit</t>
        </is>
      </c>
      <c r="B20" s="337" t="inlineStr">
        <is>
          <t>Stated Bookings</t>
        </is>
      </c>
      <c r="C20" s="337" t="inlineStr">
        <is>
          <t>Calculated Bookings</t>
        </is>
      </c>
      <c r="D20" s="337" t="inlineStr">
        <is>
          <t>Status</t>
        </is>
      </c>
    </row>
    <row r="21">
      <c r="A21" t="inlineStr">
        <is>
          <t>Sky Villa (All)</t>
        </is>
      </c>
      <c r="B21">
        <f>'ASKY Stay Calc'!C11</f>
        <v/>
      </c>
      <c r="C21">
        <f>COUNTIF('ASKY Bookings'!C:C,"*Sky*")</f>
        <v/>
      </c>
      <c r="D21">
        <f>IF(B21=C21,"✓ Match","⚠ Variance: "&amp;(B21-C21))</f>
        <v/>
      </c>
    </row>
    <row r="22">
      <c r="A22" t="inlineStr">
        <is>
          <t>Remington (All)</t>
        </is>
      </c>
      <c r="B22">
        <f>'ASKY Stay Calc'!C13</f>
        <v/>
      </c>
      <c r="C22">
        <f>COUNTIF('ASKY Bookings'!C:C,"*Remington*")</f>
        <v/>
      </c>
      <c r="D22">
        <f>IF(B22=C22,"✓ Match","⚠ Variance: "&amp;(B22-C22))</f>
        <v/>
      </c>
    </row>
    <row r="23"/>
    <row r="24">
      <c r="A24" s="337" t="inlineStr">
        <is>
          <t>Unit</t>
        </is>
      </c>
      <c r="B24" s="337" t="inlineStr">
        <is>
          <t>Stated Nights</t>
        </is>
      </c>
      <c r="C24" s="337" t="inlineStr">
        <is>
          <t>Calculated Nights</t>
        </is>
      </c>
      <c r="D24" s="337" t="inlineStr">
        <is>
          <t>Status</t>
        </is>
      </c>
    </row>
    <row r="25">
      <c r="A25" t="inlineStr">
        <is>
          <t>Sky Villa (All)</t>
        </is>
      </c>
      <c r="B25">
        <f>'ASKY Stay Calc'!D11</f>
        <v/>
      </c>
      <c r="C25">
        <f>SUMIF('ASKY Bookings'!C:C,"*Sky*",'ASKY Bookings'!E:E)</f>
        <v/>
      </c>
      <c r="D25">
        <f>IF(B25=C25,"✓ Match","⚠ Variance: "&amp;(B25-C25))</f>
        <v/>
      </c>
    </row>
    <row r="26">
      <c r="A26" t="inlineStr">
        <is>
          <t>Remington (All)</t>
        </is>
      </c>
      <c r="B26">
        <f>'ASKY Stay Calc'!D13</f>
        <v/>
      </c>
      <c r="C26">
        <f>SUMIF('ASKY Bookings'!C:C,"*Remington*",'ASKY Bookings'!E:E)</f>
        <v/>
      </c>
      <c r="D26">
        <f>IF(B26=C26,"✓ Match","⚠ Variance: "&amp;(B26-C26))</f>
        <v/>
      </c>
    </row>
    <row r="27"/>
    <row r="28">
      <c r="A28" s="353" t="inlineStr">
        <is>
          <t>Summary</t>
        </is>
      </c>
    </row>
    <row r="29">
      <c r="A29">
        <f>IF(AND(D16="✓ Match",D17="✓ Match",D21="✓ Match",D22="✓ Match",D25="✓ Match",D26="✓ Match"),"✓ All figures verified — ASKY Stay Calc matches raw booking data","⚠ Some variances detected — review above")</f>
        <v/>
      </c>
    </row>
    <row r="30"/>
    <row r="31">
      <c r="A31" s="343" t="inlineStr">
        <is>
          <t>Note: The "realised" dataset spans the dates shown below. The ASKY Stay Calc label "Jan 2025–Jun 2026" is approximate.</t>
        </is>
      </c>
    </row>
    <row r="32"/>
    <row r="33">
      <c r="A33" s="345" t="inlineStr">
        <is>
          <t>Date Range Analysis</t>
        </is>
      </c>
    </row>
    <row r="34">
      <c r="A34" s="337" t="inlineStr">
        <is>
          <t>Metric</t>
        </is>
      </c>
      <c r="B34" s="337" t="inlineStr">
        <is>
          <t>Date (Serial)</t>
        </is>
      </c>
      <c r="C34" s="337" t="inlineStr">
        <is>
          <t>Date (Formatted)</t>
        </is>
      </c>
      <c r="D34" s="337" t="inlineStr">
        <is>
          <t>Notes</t>
        </is>
      </c>
    </row>
    <row r="35">
      <c r="A35" t="inlineStr">
        <is>
          <t>Earliest booking (realised)</t>
        </is>
      </c>
      <c r="B35">
        <f>MIN('ASKY Bookings'!A:A)</f>
        <v/>
      </c>
      <c r="C35">
        <f>TEXT(B35,"YYYY-MM-DD")</f>
        <v/>
      </c>
      <c r="D35" t="inlineStr">
        <is>
          <t>First arrival date in dataset</t>
        </is>
      </c>
    </row>
    <row r="36">
      <c r="A36" t="inlineStr">
        <is>
          <t>Latest booking (realised cutoff)</t>
        </is>
      </c>
      <c r="B36">
        <f>_xlfn.MAXIFS('ASKY Bookings'!A:A,'ASKY Bookings'!A:A,"&lt;="&amp;46204)</f>
        <v/>
      </c>
      <c r="C36">
        <f>TEXT(B36,"YYYY-MM-DD")</f>
        <v/>
      </c>
      <c r="D36" t="inlineStr">
        <is>
          <t>Last arrival in realised subset</t>
        </is>
      </c>
    </row>
    <row r="37">
      <c r="A37" t="inlineStr">
        <is>
          <t>Timeframe (months)</t>
        </is>
      </c>
      <c r="B37">
        <f>DATEDIF(B35,B36,"M")</f>
        <v/>
      </c>
      <c r="C37">
        <f>B37&amp;" months"</f>
        <v/>
      </c>
      <c r="D37" t="inlineStr">
        <is>
          <t>Duration of realised booking period</t>
        </is>
      </c>
    </row>
    <row r="38">
      <c r="A38" t="inlineStr">
        <is>
          <t>Timeframe (days)</t>
        </is>
      </c>
      <c r="B38">
        <f>B36-B35</f>
        <v/>
      </c>
      <c r="C38">
        <f>B38&amp;" days"</f>
        <v/>
      </c>
    </row>
  </sheetData>
  <mergeCells count="10">
    <mergeCell ref="A9:D9"/>
    <mergeCell ref="A1:G1"/>
    <mergeCell ref="A31:G31"/>
    <mergeCell ref="A28:G28"/>
    <mergeCell ref="A4:D4"/>
    <mergeCell ref="A2:G2"/>
    <mergeCell ref="A29:G29"/>
    <mergeCell ref="A33:D33"/>
    <mergeCell ref="A19:D19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2026-07-10T23:13:20Z</dcterms:created>
  <dcterms:modified xmlns:dcterms="http://purl.org/dc/terms/" xmlns:xsi="http://www.w3.org/2001/XMLSchema-instance" xsi:type="dcterms:W3CDTF">2026-07-16T07:49:59Z</dcterms:modified>
  <cp:lastModifiedBy>Tyron Bos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2026-07-11T10:36:47Z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a4230c13-796f-4a3f-87db-865b43115932</vt:lpwstr>
  </property>
  <property name="MSIP_Label_defa4170-0d19-0005-0004-bc88714345d2_ActionId" fmtid="{D5CDD505-2E9C-101B-9397-08002B2CF9AE}" pid="7">
    <vt:lpwstr xmlns:vt="http://schemas.openxmlformats.org/officeDocument/2006/docPropsVTypes">d4058115-74e0-44ff-9e48-5134d07624fe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